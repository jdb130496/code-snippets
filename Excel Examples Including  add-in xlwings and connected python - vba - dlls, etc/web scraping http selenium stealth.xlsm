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14" codeName="{1976965A-4D05-D629-99FE-D24ACEFE15D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127" documentId="13_ncr:1_{7DB1A0F1-43A8-4308-A834-7DFE3C0E0644}" xr6:coauthVersionLast="47" xr6:coauthVersionMax="47" xr10:uidLastSave="{CB37ED0F-7C41-47F3-8646-EE4896E5B809}"/>
  <bookViews>
    <workbookView xWindow="-120" yWindow="-120" windowWidth="20730" windowHeight="11040" activeTab="2" xr2:uid="{D4E0BCDB-0EA7-47C2-B7B2-5B0FB57B3E30}"/>
  </bookViews>
  <sheets>
    <sheet name="Cadila healthcare investing.com" sheetId="1" r:id="rId1"/>
    <sheet name="Cadila healthcare yahoo fin" sheetId="2" r:id="rId2"/>
    <sheet name="Gold Prices Daily" sheetId="3" r:id="rId3"/>
  </sheets>
  <functionGroups builtInGroupCount="19">
    <functionGroup name="xlwings"/>
  </functionGroups>
  <definedNames>
    <definedName name="_xleta.MATCH" hidden="1" xlm="1">#NAME?</definedName>
    <definedName name="_xlpm.x" hidden="1" xlm="1">#NAME?</definedName>
    <definedName name="_xlpm.y" hidden="1" xlm="1">#NAME?</definedName>
  </definedNames>
  <calcPr calcId="191029" calcMode="manual"/>
  <extLst>
    <ext xmlns:x14="http://schemas.microsoft.com/office/spreadsheetml/2009/9/main" uri="{8193D73E-4604-4355-AFF4-8A2333D13BE4}">
      <x14:definedNames>
        <x14:definedName name="get_historical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historical_data_gol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old_historical_dat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 a="1"/>
  <c r="H2" i="3" s="1"/>
  <c r="I2" i="3" a="1"/>
  <c r="I2" i="3" s="1"/>
  <c r="J2" i="3" s="1"/>
  <c r="A1" i="3" a="1"/>
  <c r="A1" i="2" a="1"/>
  <c r="A1" i="1" a="1"/>
  <c r="H2" i="1" l="1" a="1"/>
  <c r="H2" i="1" s="1"/>
  <c r="I2" i="1" a="1"/>
  <c r="I2" i="1" s="1"/>
  <c r="A1" i="3"/>
  <c r="J3" i="3"/>
  <c r="J4" i="3"/>
  <c r="J2" i="2"/>
  <c r="L2" i="2" s="1"/>
  <c r="K2" i="2"/>
  <c r="A1" i="2"/>
  <c r="N2" i="2" a="1"/>
  <c r="N2" i="2" s="1"/>
  <c r="L2" i="1"/>
  <c r="K2" i="1"/>
  <c r="A1" i="1"/>
  <c r="O2" i="1" a="1"/>
  <c r="O2" i="1" s="1"/>
  <c r="M2" i="1" l="1"/>
  <c r="M5" i="1"/>
  <c r="L5" i="1"/>
  <c r="K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<sst xmlns="http://schemas.openxmlformats.org/spreadsheetml/2006/main" count="16" uniqueCount="11">
  <si>
    <t>STDEV</t>
  </si>
  <si>
    <t>MEAN</t>
  </si>
  <si>
    <t>COV</t>
  </si>
  <si>
    <t>Average of maximum and minimum</t>
  </si>
  <si>
    <t>R-squared</t>
  </si>
  <si>
    <t>Regression - Slope</t>
  </si>
  <si>
    <t>Regression - intercept</t>
  </si>
  <si>
    <t>Rsquared</t>
  </si>
  <si>
    <t>Reg Slope</t>
  </si>
  <si>
    <t>Reg Intercept</t>
  </si>
  <si>
    <t>Dates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</si>
</sst>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/mm\/yyyy"/>
    <numFmt numFmtId="165" formatCode="0.0000%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165" fontId="0" fillId="0" borderId="0" xfId="1" applyNumberFormat="1" applyFont="1"/>
    <xf numFmtId="164" fontId="0" fillId="0" borderId="0" xfId="0" applyNumberFormat="1" applyAlignment="1">
      <alignment vertical="top"/>
    </xf>
    <xf numFmtId="0" fontId="0" fillId="0" borderId="0" xfId="0" applyAlignment="1">
      <alignment vertical="top"/>
    </xf>
    <xf numFmtId="164" fontId="2" fillId="0" borderId="0" xfId="0" applyNumberFormat="1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vertical="top"/>
    </xf>
    <xf numFmtId="165" fontId="0" fillId="0" borderId="0" xfId="1" applyNumberFormat="1" applyFont="1" applyAlignment="1">
      <alignment vertical="top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F61C-D1E9-475C-935A-23E145F090A8}">
  <sheetPr codeName="Sheet1"/>
  <dimension ref="A1:O1538"/>
  <sheetViews>
    <sheetView workbookViewId="0">
      <selection activeCell="K4" sqref="K4"/>
    </sheetView>
  </sheetViews>
  <sheetFormatPr defaultRowHeight="15" x14ac:dyDescent="0.25"/>
  <cols>
    <col min="1" max="1" width="13.7109375" style="3" bestFit="1" customWidth="1"/>
    <col min="2" max="2" width="13.42578125" style="4" bestFit="1" customWidth="1"/>
    <col min="3" max="3" width="13.140625" style="4" bestFit="1" customWidth="1"/>
    <col min="4" max="4" width="12.28515625" style="4" bestFit="1" customWidth="1"/>
    <col min="5" max="5" width="12" style="4" bestFit="1" customWidth="1"/>
    <col min="6" max="6" width="10.85546875" style="4" bestFit="1" customWidth="1"/>
    <col min="7" max="7" width="18.5703125" style="4" bestFit="1" customWidth="1"/>
    <col min="8" max="8" width="13.7109375" style="3" bestFit="1" customWidth="1"/>
    <col min="9" max="10" width="15.5703125" style="4" customWidth="1"/>
    <col min="11" max="12" width="12" style="4" bestFit="1" customWidth="1"/>
    <col min="13" max="13" width="13.28515625" style="4" bestFit="1" customWidth="1"/>
    <col min="14" max="16384" width="9.140625" style="4"/>
  </cols>
  <sheetData>
    <row r="1" spans="1:15" s="6" customFormat="1" ht="45" x14ac:dyDescent="0.25">
      <c r="A1" s="5" t="str" cm="1">
        <f t="array" ref="A1:G1538">get_historical_data("cadila-healthcare","15/03/2024","01/01/2018")</f>
        <v>col-rowDate</v>
      </c>
      <c r="B1" s="6" t="str">
        <v>col-last_close</v>
      </c>
      <c r="C1" s="6" t="str">
        <v>col-last_open</v>
      </c>
      <c r="D1" s="6" t="str">
        <v>col-last_max</v>
      </c>
      <c r="E1" s="6" t="str">
        <v>col-last_min</v>
      </c>
      <c r="F1" s="6" t="str">
        <v>col-volume</v>
      </c>
      <c r="G1" s="6" t="str">
        <v>col-change_percent</v>
      </c>
      <c r="H1" s="5" t="s">
        <v>10</v>
      </c>
      <c r="I1" s="7" t="s">
        <v>3</v>
      </c>
      <c r="K1" s="6" t="s">
        <v>0</v>
      </c>
      <c r="L1" s="6" t="s">
        <v>1</v>
      </c>
      <c r="M1" s="6" t="s">
        <v>2</v>
      </c>
    </row>
    <row r="2" spans="1:15" x14ac:dyDescent="0.25">
      <c r="A2" s="3">
        <v>45365</v>
      </c>
      <c r="B2" s="4">
        <v>995.3</v>
      </c>
      <c r="C2" s="4">
        <v>970.95</v>
      </c>
      <c r="D2" s="4">
        <v>999.9</v>
      </c>
      <c r="E2" s="4">
        <v>962.15</v>
      </c>
      <c r="F2" s="4" t="str">
        <v>1.28M</v>
      </c>
      <c r="G2" s="4" t="str">
        <v>2.75%</v>
      </c>
      <c r="H2" s="3" cm="1">
        <f t="array" ref="H2:H1538">A2:A1538</f>
        <v>45365</v>
      </c>
      <c r="I2" s="4" cm="1">
        <f t="array" ref="I2:I1538">_xlfn.MAP(D2:D1538,E2:E1538,_xlfn.LAMBDA(_xlpm.x,_xlpm.y,AVERAGE(_xlpm.x,_xlpm.y)))</f>
        <v>981.02499999999998</v>
      </c>
      <c r="K2" s="4">
        <f>_xlfn.STDEV.S(B2:B1537)</f>
        <v>135.40502015093574</v>
      </c>
      <c r="L2" s="4">
        <f>AVERAGE(B2:B1537)</f>
        <v>428.12509765624969</v>
      </c>
      <c r="M2" s="9">
        <f>K2/L2</f>
        <v>0.31627442747973439</v>
      </c>
      <c r="O2" s="4" cm="1">
        <f t="array" ref="O2:O1538">MATCH(A2:A1538,'Cadila healthcare yahoo fin'!A2:A1533,0)</f>
        <v>1532</v>
      </c>
    </row>
    <row r="3" spans="1:15" x14ac:dyDescent="0.25">
      <c r="A3" s="3">
        <v>45364</v>
      </c>
      <c r="B3" s="4">
        <v>968.65</v>
      </c>
      <c r="C3" s="4">
        <v>984.2</v>
      </c>
      <c r="D3" s="4">
        <v>996.9</v>
      </c>
      <c r="E3" s="4">
        <v>960.85</v>
      </c>
      <c r="F3" s="4" t="str">
        <v>1.22M</v>
      </c>
      <c r="G3" s="4" t="str">
        <v>-1.93%</v>
      </c>
      <c r="H3" s="3">
        <v>45364</v>
      </c>
      <c r="I3" s="4">
        <v>978.875</v>
      </c>
      <c r="O3" s="4">
        <v>1531</v>
      </c>
    </row>
    <row r="4" spans="1:15" x14ac:dyDescent="0.25">
      <c r="A4" s="3">
        <v>45363</v>
      </c>
      <c r="B4" s="4">
        <v>987.7</v>
      </c>
      <c r="C4" s="4">
        <v>999.7</v>
      </c>
      <c r="D4" s="4">
        <v>1007.45</v>
      </c>
      <c r="E4" s="4">
        <v>980</v>
      </c>
      <c r="F4" s="4" t="str">
        <v>1.14M</v>
      </c>
      <c r="G4" s="4" t="str">
        <v>-0.68%</v>
      </c>
      <c r="H4" s="3">
        <v>45363</v>
      </c>
      <c r="I4" s="4">
        <v>993.72500000000002</v>
      </c>
      <c r="K4" s="8" t="s">
        <v>7</v>
      </c>
      <c r="L4" s="8" t="s">
        <v>8</v>
      </c>
      <c r="M4" s="8" t="s">
        <v>9</v>
      </c>
      <c r="O4" s="4">
        <v>1530</v>
      </c>
    </row>
    <row r="5" spans="1:15" x14ac:dyDescent="0.25">
      <c r="A5" s="3">
        <v>45362</v>
      </c>
      <c r="B5" s="4">
        <v>994.45</v>
      </c>
      <c r="C5" s="4">
        <v>985.95</v>
      </c>
      <c r="D5" s="4">
        <v>1015.5</v>
      </c>
      <c r="E5" s="4">
        <v>980.5</v>
      </c>
      <c r="F5" s="4" t="str">
        <v>1.93M</v>
      </c>
      <c r="G5" s="4" t="str">
        <v>1.81%</v>
      </c>
      <c r="H5" s="3">
        <v>45362</v>
      </c>
      <c r="I5" s="4">
        <v>998</v>
      </c>
      <c r="K5" s="4">
        <f>RSQ(_xlfn.ANCHORARRAY(I2),_xlfn.ANCHORARRAY(H2))</f>
        <v>0.41183859605709194</v>
      </c>
      <c r="L5" s="4">
        <f>INDEX(LINEST(_xlfn.ANCHORARRAY(I2),_xlfn.ANCHORARRAY(H2)),1,1)</f>
        <v>0.13249161214867164</v>
      </c>
      <c r="M5" s="4">
        <f>INDEX(LINEST(_xlfn.ANCHORARRAY(I2),_xlfn.ANCHORARRAY(H2)),1,2)</f>
        <v>-5432.3706187182715</v>
      </c>
      <c r="O5" s="4">
        <v>1529</v>
      </c>
    </row>
    <row r="6" spans="1:15" x14ac:dyDescent="0.25">
      <c r="A6" s="3">
        <v>45358</v>
      </c>
      <c r="B6" s="4">
        <v>976.75</v>
      </c>
      <c r="C6" s="4">
        <v>962</v>
      </c>
      <c r="D6" s="4">
        <v>981.95</v>
      </c>
      <c r="E6" s="4">
        <v>958.05</v>
      </c>
      <c r="F6" s="4" t="str">
        <v>921.52K</v>
      </c>
      <c r="G6" s="4" t="str">
        <v>1.55%</v>
      </c>
      <c r="H6" s="3">
        <v>45358</v>
      </c>
      <c r="I6" s="4">
        <v>970</v>
      </c>
      <c r="O6" s="4">
        <v>1528</v>
      </c>
    </row>
    <row r="7" spans="1:15" x14ac:dyDescent="0.25">
      <c r="A7" s="3">
        <v>45357</v>
      </c>
      <c r="B7" s="4">
        <v>961.85</v>
      </c>
      <c r="C7" s="4">
        <v>952.9</v>
      </c>
      <c r="D7" s="4">
        <v>964.9</v>
      </c>
      <c r="E7" s="4">
        <v>934.35</v>
      </c>
      <c r="F7" s="4" t="str">
        <v>840.12K</v>
      </c>
      <c r="G7" s="4" t="str">
        <v>0.85%</v>
      </c>
      <c r="H7" s="3">
        <v>45357</v>
      </c>
      <c r="I7" s="4">
        <v>949.625</v>
      </c>
      <c r="O7" s="4">
        <v>1527</v>
      </c>
    </row>
    <row r="8" spans="1:15" x14ac:dyDescent="0.25">
      <c r="A8" s="3">
        <v>45356</v>
      </c>
      <c r="B8" s="4">
        <v>953.75</v>
      </c>
      <c r="C8" s="4">
        <v>953</v>
      </c>
      <c r="D8" s="4">
        <v>956.6</v>
      </c>
      <c r="E8" s="4">
        <v>939.3</v>
      </c>
      <c r="F8" s="4" t="str">
        <v>928.70K</v>
      </c>
      <c r="G8" s="4" t="str">
        <v>0.79%</v>
      </c>
      <c r="H8" s="3">
        <v>45356</v>
      </c>
      <c r="I8" s="4">
        <v>947.95</v>
      </c>
      <c r="O8" s="4">
        <v>1526</v>
      </c>
    </row>
    <row r="9" spans="1:15" x14ac:dyDescent="0.25">
      <c r="A9" s="3">
        <v>45355</v>
      </c>
      <c r="B9" s="4">
        <v>946.25</v>
      </c>
      <c r="C9" s="4">
        <v>921.7</v>
      </c>
      <c r="D9" s="4">
        <v>952.05</v>
      </c>
      <c r="E9" s="4">
        <v>921.7</v>
      </c>
      <c r="F9" s="4" t="str">
        <v>1.54M</v>
      </c>
      <c r="G9" s="4" t="str">
        <v>2.66%</v>
      </c>
      <c r="H9" s="3">
        <v>45355</v>
      </c>
      <c r="I9" s="4">
        <v>936.875</v>
      </c>
      <c r="O9" s="4">
        <v>1525</v>
      </c>
    </row>
    <row r="10" spans="1:15" x14ac:dyDescent="0.25">
      <c r="A10" s="3">
        <v>45353</v>
      </c>
      <c r="B10" s="4">
        <v>921.7</v>
      </c>
      <c r="C10" s="4">
        <v>928.05</v>
      </c>
      <c r="D10" s="4">
        <v>931</v>
      </c>
      <c r="E10" s="4">
        <v>920</v>
      </c>
      <c r="F10" s="4" t="str">
        <v>97.01K</v>
      </c>
      <c r="G10" s="4" t="str">
        <v>-0.39%</v>
      </c>
      <c r="H10" s="3">
        <v>45353</v>
      </c>
      <c r="I10" s="4">
        <v>925.5</v>
      </c>
      <c r="O10" s="4" t="e">
        <v>#N/A</v>
      </c>
    </row>
    <row r="11" spans="1:15" x14ac:dyDescent="0.25">
      <c r="A11" s="3">
        <v>45352</v>
      </c>
      <c r="B11" s="4">
        <v>925.35</v>
      </c>
      <c r="C11" s="4">
        <v>948.35</v>
      </c>
      <c r="D11" s="4">
        <v>948.35</v>
      </c>
      <c r="E11" s="4">
        <v>923.6</v>
      </c>
      <c r="F11" s="4" t="str">
        <v>1.10M</v>
      </c>
      <c r="G11" s="4" t="str">
        <v>-1.76%</v>
      </c>
      <c r="H11" s="3">
        <v>45352</v>
      </c>
      <c r="I11" s="4">
        <v>935.97500000000002</v>
      </c>
      <c r="O11" s="4">
        <v>1524</v>
      </c>
    </row>
    <row r="12" spans="1:15" x14ac:dyDescent="0.25">
      <c r="A12" s="3">
        <v>45351</v>
      </c>
      <c r="B12" s="4">
        <v>941.9</v>
      </c>
      <c r="C12" s="4">
        <v>934.45</v>
      </c>
      <c r="D12" s="4">
        <v>948.65</v>
      </c>
      <c r="E12" s="4">
        <v>922.55</v>
      </c>
      <c r="F12" s="4" t="str">
        <v>1.15M</v>
      </c>
      <c r="G12" s="4" t="str">
        <v>1.00%</v>
      </c>
      <c r="H12" s="3">
        <v>45351</v>
      </c>
      <c r="I12" s="4">
        <v>935.59999999999991</v>
      </c>
      <c r="O12" s="4">
        <v>1523</v>
      </c>
    </row>
    <row r="13" spans="1:15" x14ac:dyDescent="0.25">
      <c r="A13" s="3">
        <v>45350</v>
      </c>
      <c r="B13" s="4">
        <v>932.6</v>
      </c>
      <c r="C13" s="4">
        <v>946.45</v>
      </c>
      <c r="D13" s="4">
        <v>951.95</v>
      </c>
      <c r="E13" s="4">
        <v>925.05</v>
      </c>
      <c r="F13" s="4" t="str">
        <v>643.02K</v>
      </c>
      <c r="G13" s="4" t="str">
        <v>-1.09%</v>
      </c>
      <c r="H13" s="3">
        <v>45350</v>
      </c>
      <c r="I13" s="4">
        <v>938.5</v>
      </c>
      <c r="O13" s="4">
        <v>1522</v>
      </c>
    </row>
    <row r="14" spans="1:15" x14ac:dyDescent="0.25">
      <c r="A14" s="3">
        <v>45349</v>
      </c>
      <c r="B14" s="4">
        <v>942.85</v>
      </c>
      <c r="C14" s="4">
        <v>947</v>
      </c>
      <c r="D14" s="4">
        <v>953.65</v>
      </c>
      <c r="E14" s="4">
        <v>938.5</v>
      </c>
      <c r="F14" s="4" t="str">
        <v>860.50K</v>
      </c>
      <c r="G14" s="4" t="str">
        <v>0.03%</v>
      </c>
      <c r="H14" s="3">
        <v>45349</v>
      </c>
      <c r="I14" s="4">
        <v>946.07500000000005</v>
      </c>
      <c r="O14" s="4">
        <v>1521</v>
      </c>
    </row>
    <row r="15" spans="1:15" x14ac:dyDescent="0.25">
      <c r="A15" s="3">
        <v>45348</v>
      </c>
      <c r="B15" s="4">
        <v>942.55</v>
      </c>
      <c r="C15" s="4">
        <v>928.1</v>
      </c>
      <c r="D15" s="4">
        <v>948.15</v>
      </c>
      <c r="E15" s="4">
        <v>922.55</v>
      </c>
      <c r="F15" s="4" t="str">
        <v>1.42M</v>
      </c>
      <c r="G15" s="4" t="str">
        <v>2.09%</v>
      </c>
      <c r="H15" s="3">
        <v>45348</v>
      </c>
      <c r="I15" s="4">
        <v>935.34999999999991</v>
      </c>
      <c r="O15" s="4">
        <v>1520</v>
      </c>
    </row>
    <row r="16" spans="1:15" x14ac:dyDescent="0.25">
      <c r="A16" s="3">
        <v>45345</v>
      </c>
      <c r="B16" s="4">
        <v>923.25</v>
      </c>
      <c r="C16" s="4">
        <v>900.05</v>
      </c>
      <c r="D16" s="4">
        <v>937</v>
      </c>
      <c r="E16" s="4">
        <v>898.1</v>
      </c>
      <c r="F16" s="4" t="str">
        <v>1.57M</v>
      </c>
      <c r="G16" s="4" t="str">
        <v>2.10%</v>
      </c>
      <c r="H16" s="3">
        <v>45345</v>
      </c>
      <c r="I16" s="4">
        <v>917.55</v>
      </c>
      <c r="O16" s="4">
        <v>1519</v>
      </c>
    </row>
    <row r="17" spans="1:15" x14ac:dyDescent="0.25">
      <c r="A17" s="3">
        <v>45344</v>
      </c>
      <c r="B17" s="4">
        <v>904.3</v>
      </c>
      <c r="C17" s="4">
        <v>896</v>
      </c>
      <c r="D17" s="4">
        <v>907.5</v>
      </c>
      <c r="E17" s="4">
        <v>889</v>
      </c>
      <c r="F17" s="4" t="str">
        <v>940.03K</v>
      </c>
      <c r="G17" s="4" t="str">
        <v>1.17%</v>
      </c>
      <c r="H17" s="3">
        <v>45344</v>
      </c>
      <c r="I17" s="4">
        <v>898.25</v>
      </c>
      <c r="O17" s="4">
        <v>1518</v>
      </c>
    </row>
    <row r="18" spans="1:15" x14ac:dyDescent="0.25">
      <c r="A18" s="3">
        <v>45343</v>
      </c>
      <c r="B18" s="4">
        <v>893.8</v>
      </c>
      <c r="C18" s="4">
        <v>896.95</v>
      </c>
      <c r="D18" s="4">
        <v>902.65</v>
      </c>
      <c r="E18" s="4">
        <v>889</v>
      </c>
      <c r="F18" s="4" t="str">
        <v>795.92K</v>
      </c>
      <c r="G18" s="4" t="str">
        <v>-0.22%</v>
      </c>
      <c r="H18" s="3">
        <v>45343</v>
      </c>
      <c r="I18" s="4">
        <v>895.82500000000005</v>
      </c>
      <c r="O18" s="4">
        <v>1517</v>
      </c>
    </row>
    <row r="19" spans="1:15" x14ac:dyDescent="0.25">
      <c r="A19" s="3">
        <v>45342</v>
      </c>
      <c r="B19" s="4">
        <v>895.75</v>
      </c>
      <c r="C19" s="4">
        <v>908</v>
      </c>
      <c r="D19" s="4">
        <v>912.8</v>
      </c>
      <c r="E19" s="4">
        <v>892.5</v>
      </c>
      <c r="F19" s="4" t="str">
        <v>1.01M</v>
      </c>
      <c r="G19" s="4" t="str">
        <v>-1.30%</v>
      </c>
      <c r="H19" s="3">
        <v>45342</v>
      </c>
      <c r="I19" s="4">
        <v>902.65</v>
      </c>
      <c r="O19" s="4">
        <v>1516</v>
      </c>
    </row>
    <row r="20" spans="1:15" x14ac:dyDescent="0.25">
      <c r="A20" s="3">
        <v>45341</v>
      </c>
      <c r="B20" s="4">
        <v>907.55</v>
      </c>
      <c r="C20" s="4">
        <v>897.15</v>
      </c>
      <c r="D20" s="4">
        <v>910</v>
      </c>
      <c r="E20" s="4">
        <v>892.4</v>
      </c>
      <c r="F20" s="4" t="str">
        <v>1.03M</v>
      </c>
      <c r="G20" s="4" t="str">
        <v>1.75%</v>
      </c>
      <c r="H20" s="3">
        <v>45341</v>
      </c>
      <c r="I20" s="4">
        <v>901.2</v>
      </c>
      <c r="O20" s="4">
        <v>1515</v>
      </c>
    </row>
    <row r="21" spans="1:15" x14ac:dyDescent="0.25">
      <c r="A21" s="3">
        <v>45338</v>
      </c>
      <c r="B21" s="4">
        <v>891.9</v>
      </c>
      <c r="C21" s="4">
        <v>885.65</v>
      </c>
      <c r="D21" s="4">
        <v>893.75</v>
      </c>
      <c r="E21" s="4">
        <v>880.35</v>
      </c>
      <c r="F21" s="4" t="str">
        <v>826.13K</v>
      </c>
      <c r="G21" s="4" t="str">
        <v>1.47%</v>
      </c>
      <c r="H21" s="3">
        <v>45338</v>
      </c>
      <c r="I21" s="4">
        <v>887.05</v>
      </c>
      <c r="O21" s="4">
        <v>1514</v>
      </c>
    </row>
    <row r="22" spans="1:15" x14ac:dyDescent="0.25">
      <c r="A22" s="3">
        <v>45337</v>
      </c>
      <c r="B22" s="4">
        <v>878.95</v>
      </c>
      <c r="C22" s="4">
        <v>872</v>
      </c>
      <c r="D22" s="4">
        <v>885</v>
      </c>
      <c r="E22" s="4">
        <v>863.45</v>
      </c>
      <c r="F22" s="4" t="str">
        <v>622.90K</v>
      </c>
      <c r="G22" s="4" t="str">
        <v>1.28%</v>
      </c>
      <c r="H22" s="3">
        <v>45337</v>
      </c>
      <c r="I22" s="4">
        <v>874.22500000000002</v>
      </c>
      <c r="O22" s="4">
        <v>1513</v>
      </c>
    </row>
    <row r="23" spans="1:15" x14ac:dyDescent="0.25">
      <c r="A23" s="3">
        <v>45336</v>
      </c>
      <c r="B23" s="4">
        <v>867.8</v>
      </c>
      <c r="C23" s="4">
        <v>846</v>
      </c>
      <c r="D23" s="4">
        <v>872</v>
      </c>
      <c r="E23" s="4">
        <v>844.65</v>
      </c>
      <c r="F23" s="4" t="str">
        <v>884.54K</v>
      </c>
      <c r="G23" s="4" t="str">
        <v>1.17%</v>
      </c>
      <c r="H23" s="3">
        <v>45336</v>
      </c>
      <c r="I23" s="4">
        <v>858.32500000000005</v>
      </c>
      <c r="O23" s="4">
        <v>1512</v>
      </c>
    </row>
    <row r="24" spans="1:15" x14ac:dyDescent="0.25">
      <c r="A24" s="3">
        <v>45335</v>
      </c>
      <c r="B24" s="4">
        <v>857.8</v>
      </c>
      <c r="C24" s="4">
        <v>856</v>
      </c>
      <c r="D24" s="4">
        <v>866.85</v>
      </c>
      <c r="E24" s="4">
        <v>844.85</v>
      </c>
      <c r="F24" s="4" t="str">
        <v>1.51M</v>
      </c>
      <c r="G24" s="4" t="str">
        <v>0.13%</v>
      </c>
      <c r="H24" s="3">
        <v>45335</v>
      </c>
      <c r="I24" s="4">
        <v>855.85</v>
      </c>
      <c r="O24" s="4">
        <v>1511</v>
      </c>
    </row>
    <row r="25" spans="1:15" x14ac:dyDescent="0.25">
      <c r="A25" s="3">
        <v>45334</v>
      </c>
      <c r="B25" s="4">
        <v>856.65</v>
      </c>
      <c r="C25" s="4">
        <v>809.75</v>
      </c>
      <c r="D25" s="4">
        <v>863.35</v>
      </c>
      <c r="E25" s="4">
        <v>803.05</v>
      </c>
      <c r="F25" s="4" t="str">
        <v>6.95M</v>
      </c>
      <c r="G25" s="4" t="str">
        <v>6.41%</v>
      </c>
      <c r="H25" s="3">
        <v>45334</v>
      </c>
      <c r="I25" s="4">
        <v>833.2</v>
      </c>
      <c r="O25" s="4">
        <v>1510</v>
      </c>
    </row>
    <row r="26" spans="1:15" x14ac:dyDescent="0.25">
      <c r="A26" s="3">
        <v>45331</v>
      </c>
      <c r="B26" s="4">
        <v>805.05</v>
      </c>
      <c r="C26" s="4">
        <v>806</v>
      </c>
      <c r="D26" s="4">
        <v>820.95</v>
      </c>
      <c r="E26" s="4">
        <v>768.8</v>
      </c>
      <c r="F26" s="4" t="str">
        <v>2.72M</v>
      </c>
      <c r="G26" s="4" t="str">
        <v>0.37%</v>
      </c>
      <c r="H26" s="3">
        <v>45331</v>
      </c>
      <c r="I26" s="4">
        <v>794.875</v>
      </c>
      <c r="O26" s="4">
        <v>1509</v>
      </c>
    </row>
    <row r="27" spans="1:15" x14ac:dyDescent="0.25">
      <c r="A27" s="3">
        <v>45330</v>
      </c>
      <c r="B27" s="4">
        <v>802.05</v>
      </c>
      <c r="C27" s="4">
        <v>795.45</v>
      </c>
      <c r="D27" s="4">
        <v>808</v>
      </c>
      <c r="E27" s="4">
        <v>792.3</v>
      </c>
      <c r="F27" s="4" t="str">
        <v>746.67K</v>
      </c>
      <c r="G27" s="4" t="str">
        <v>1.32%</v>
      </c>
      <c r="H27" s="3">
        <v>45330</v>
      </c>
      <c r="I27" s="4">
        <v>800.15</v>
      </c>
      <c r="O27" s="4">
        <v>1508</v>
      </c>
    </row>
    <row r="28" spans="1:15" x14ac:dyDescent="0.25">
      <c r="A28" s="3">
        <v>45329</v>
      </c>
      <c r="B28" s="4">
        <v>791.6</v>
      </c>
      <c r="C28" s="4">
        <v>804.85</v>
      </c>
      <c r="D28" s="4">
        <v>804.85</v>
      </c>
      <c r="E28" s="4">
        <v>786.55</v>
      </c>
      <c r="F28" s="4" t="str">
        <v>1.10M</v>
      </c>
      <c r="G28" s="4" t="str">
        <v>-0.73%</v>
      </c>
      <c r="H28" s="3">
        <v>45329</v>
      </c>
      <c r="I28" s="4">
        <v>795.7</v>
      </c>
      <c r="O28" s="4">
        <v>1507</v>
      </c>
    </row>
    <row r="29" spans="1:15" x14ac:dyDescent="0.25">
      <c r="A29" s="3">
        <v>45328</v>
      </c>
      <c r="B29" s="4">
        <v>797.4</v>
      </c>
      <c r="C29" s="4">
        <v>780</v>
      </c>
      <c r="D29" s="4">
        <v>809.2</v>
      </c>
      <c r="E29" s="4">
        <v>775</v>
      </c>
      <c r="F29" s="4" t="str">
        <v>3.63M</v>
      </c>
      <c r="G29" s="4" t="str">
        <v>4.80%</v>
      </c>
      <c r="H29" s="3">
        <v>45328</v>
      </c>
      <c r="I29" s="4">
        <v>792.1</v>
      </c>
      <c r="O29" s="4">
        <v>1506</v>
      </c>
    </row>
    <row r="30" spans="1:15" x14ac:dyDescent="0.25">
      <c r="A30" s="3">
        <v>45327</v>
      </c>
      <c r="B30" s="4">
        <v>760.9</v>
      </c>
      <c r="C30" s="4">
        <v>761.5</v>
      </c>
      <c r="D30" s="4">
        <v>777.95</v>
      </c>
      <c r="E30" s="4">
        <v>754.1</v>
      </c>
      <c r="F30" s="4" t="str">
        <v>1.16M</v>
      </c>
      <c r="G30" s="4" t="str">
        <v>-0.03%</v>
      </c>
      <c r="H30" s="3">
        <v>45327</v>
      </c>
      <c r="I30" s="4">
        <v>766.02500000000009</v>
      </c>
      <c r="O30" s="4">
        <v>1505</v>
      </c>
    </row>
    <row r="31" spans="1:15" x14ac:dyDescent="0.25">
      <c r="A31" s="3">
        <v>45324</v>
      </c>
      <c r="B31" s="4">
        <v>761.15</v>
      </c>
      <c r="C31" s="4">
        <v>760</v>
      </c>
      <c r="D31" s="4">
        <v>766.9</v>
      </c>
      <c r="E31" s="4">
        <v>752</v>
      </c>
      <c r="F31" s="4" t="str">
        <v>511.33K</v>
      </c>
      <c r="G31" s="4" t="str">
        <v>0.21%</v>
      </c>
      <c r="H31" s="3">
        <v>45324</v>
      </c>
      <c r="I31" s="4">
        <v>759.45</v>
      </c>
      <c r="O31" s="4">
        <v>1504</v>
      </c>
    </row>
    <row r="32" spans="1:15" x14ac:dyDescent="0.25">
      <c r="A32" s="3">
        <v>45323</v>
      </c>
      <c r="B32" s="4">
        <v>759.55</v>
      </c>
      <c r="C32" s="4">
        <v>763</v>
      </c>
      <c r="D32" s="4">
        <v>766.95</v>
      </c>
      <c r="E32" s="4">
        <v>749.2</v>
      </c>
      <c r="F32" s="4" t="str">
        <v>471.18K</v>
      </c>
      <c r="G32" s="4" t="str">
        <v>-0.16%</v>
      </c>
      <c r="H32" s="3">
        <v>45323</v>
      </c>
      <c r="I32" s="4">
        <v>758.07500000000005</v>
      </c>
      <c r="O32" s="4">
        <v>1503</v>
      </c>
    </row>
    <row r="33" spans="1:15" x14ac:dyDescent="0.25">
      <c r="A33" s="3">
        <v>45322</v>
      </c>
      <c r="B33" s="4">
        <v>760.8</v>
      </c>
      <c r="C33" s="4">
        <v>755.9</v>
      </c>
      <c r="D33" s="4">
        <v>766</v>
      </c>
      <c r="E33" s="4">
        <v>745</v>
      </c>
      <c r="F33" s="4" t="str">
        <v>993.27K</v>
      </c>
      <c r="G33" s="4" t="str">
        <v>0.65%</v>
      </c>
      <c r="H33" s="3">
        <v>45322</v>
      </c>
      <c r="I33" s="4">
        <v>755.5</v>
      </c>
      <c r="O33" s="4">
        <v>1502</v>
      </c>
    </row>
    <row r="34" spans="1:15" x14ac:dyDescent="0.25">
      <c r="A34" s="3">
        <v>45321</v>
      </c>
      <c r="B34" s="4">
        <v>755.9</v>
      </c>
      <c r="C34" s="4">
        <v>750.3</v>
      </c>
      <c r="D34" s="4">
        <v>764.5</v>
      </c>
      <c r="E34" s="4">
        <v>750</v>
      </c>
      <c r="F34" s="4" t="str">
        <v>1.13M</v>
      </c>
      <c r="G34" s="4" t="str">
        <v>0.99%</v>
      </c>
      <c r="H34" s="3">
        <v>45321</v>
      </c>
      <c r="I34" s="4">
        <v>757.25</v>
      </c>
      <c r="O34" s="4">
        <v>1501</v>
      </c>
    </row>
    <row r="35" spans="1:15" x14ac:dyDescent="0.25">
      <c r="A35" s="3">
        <v>45320</v>
      </c>
      <c r="B35" s="4">
        <v>748.5</v>
      </c>
      <c r="C35" s="4">
        <v>739.9</v>
      </c>
      <c r="D35" s="4">
        <v>750.45</v>
      </c>
      <c r="E35" s="4">
        <v>733.55</v>
      </c>
      <c r="F35" s="4" t="str">
        <v>517.78K</v>
      </c>
      <c r="G35" s="4" t="str">
        <v>1.63%</v>
      </c>
      <c r="H35" s="3">
        <v>45320</v>
      </c>
      <c r="I35" s="4">
        <v>742</v>
      </c>
      <c r="O35" s="4">
        <v>1500</v>
      </c>
    </row>
    <row r="36" spans="1:15" x14ac:dyDescent="0.25">
      <c r="A36" s="3">
        <v>45316</v>
      </c>
      <c r="B36" s="4">
        <v>736.5</v>
      </c>
      <c r="C36" s="4">
        <v>753.4</v>
      </c>
      <c r="D36" s="4">
        <v>753.4</v>
      </c>
      <c r="E36" s="4">
        <v>732.9</v>
      </c>
      <c r="F36" s="4" t="str">
        <v>768.08K</v>
      </c>
      <c r="G36" s="4" t="str">
        <v>-2.11%</v>
      </c>
      <c r="H36" s="3">
        <v>45316</v>
      </c>
      <c r="I36" s="4">
        <v>743.15</v>
      </c>
      <c r="O36" s="4">
        <v>1499</v>
      </c>
    </row>
    <row r="37" spans="1:15" x14ac:dyDescent="0.25">
      <c r="A37" s="3">
        <v>45315</v>
      </c>
      <c r="B37" s="4">
        <v>752.4</v>
      </c>
      <c r="C37" s="4">
        <v>733.8</v>
      </c>
      <c r="D37" s="4">
        <v>753.9</v>
      </c>
      <c r="E37" s="4">
        <v>726.45</v>
      </c>
      <c r="F37" s="4" t="str">
        <v>2.33M</v>
      </c>
      <c r="G37" s="4" t="str">
        <v>3.19%</v>
      </c>
      <c r="H37" s="3">
        <v>45315</v>
      </c>
      <c r="I37" s="4">
        <v>740.17499999999995</v>
      </c>
      <c r="O37" s="4">
        <v>1498</v>
      </c>
    </row>
    <row r="38" spans="1:15" x14ac:dyDescent="0.25">
      <c r="A38" s="3">
        <v>45314</v>
      </c>
      <c r="B38" s="4">
        <v>729.15</v>
      </c>
      <c r="C38" s="4">
        <v>706.6</v>
      </c>
      <c r="D38" s="4">
        <v>732.5</v>
      </c>
      <c r="E38" s="4">
        <v>706.6</v>
      </c>
      <c r="F38" s="4" t="str">
        <v>2.53M</v>
      </c>
      <c r="G38" s="4" t="str">
        <v>3.61%</v>
      </c>
      <c r="H38" s="3">
        <v>45314</v>
      </c>
      <c r="I38" s="4">
        <v>719.55</v>
      </c>
      <c r="O38" s="4">
        <v>1497</v>
      </c>
    </row>
    <row r="39" spans="1:15" x14ac:dyDescent="0.25">
      <c r="A39" s="3">
        <v>45311</v>
      </c>
      <c r="B39" s="4">
        <v>703.75</v>
      </c>
      <c r="C39" s="4">
        <v>725.25</v>
      </c>
      <c r="D39" s="4">
        <v>725.95</v>
      </c>
      <c r="E39" s="4">
        <v>701.1</v>
      </c>
      <c r="F39" s="4" t="str">
        <v>443.77K</v>
      </c>
      <c r="G39" s="4" t="str">
        <v>-2.33%</v>
      </c>
      <c r="H39" s="3">
        <v>45311</v>
      </c>
      <c r="I39" s="4">
        <v>713.52500000000009</v>
      </c>
      <c r="O39" s="4" t="e">
        <v>#N/A</v>
      </c>
    </row>
    <row r="40" spans="1:15" x14ac:dyDescent="0.25">
      <c r="A40" s="3">
        <v>45310</v>
      </c>
      <c r="B40" s="4">
        <v>720.55</v>
      </c>
      <c r="C40" s="4">
        <v>714.45</v>
      </c>
      <c r="D40" s="4">
        <v>727.5</v>
      </c>
      <c r="E40" s="4">
        <v>710</v>
      </c>
      <c r="F40" s="4" t="str">
        <v>1.16M</v>
      </c>
      <c r="G40" s="4" t="str">
        <v>1.64%</v>
      </c>
      <c r="H40" s="3">
        <v>45310</v>
      </c>
      <c r="I40" s="4">
        <v>718.75</v>
      </c>
      <c r="O40" s="4">
        <v>1496</v>
      </c>
    </row>
    <row r="41" spans="1:15" x14ac:dyDescent="0.25">
      <c r="A41" s="3">
        <v>45309</v>
      </c>
      <c r="B41" s="4">
        <v>708.9</v>
      </c>
      <c r="C41" s="4">
        <v>711.4</v>
      </c>
      <c r="D41" s="4">
        <v>713.65</v>
      </c>
      <c r="E41" s="4">
        <v>686</v>
      </c>
      <c r="F41" s="4" t="str">
        <v>768.45K</v>
      </c>
      <c r="G41" s="4" t="str">
        <v>-0.11%</v>
      </c>
      <c r="H41" s="3">
        <v>45309</v>
      </c>
      <c r="I41" s="4">
        <v>699.82500000000005</v>
      </c>
      <c r="O41" s="4">
        <v>1495</v>
      </c>
    </row>
    <row r="42" spans="1:15" x14ac:dyDescent="0.25">
      <c r="A42" s="3">
        <v>45308</v>
      </c>
      <c r="B42" s="4">
        <v>709.7</v>
      </c>
      <c r="C42" s="4">
        <v>705.9</v>
      </c>
      <c r="D42" s="4">
        <v>711</v>
      </c>
      <c r="E42" s="4">
        <v>698.8</v>
      </c>
      <c r="F42" s="4" t="str">
        <v>918.67K</v>
      </c>
      <c r="G42" s="4" t="str">
        <v>0.40%</v>
      </c>
      <c r="H42" s="3">
        <v>45308</v>
      </c>
      <c r="I42" s="4">
        <v>704.9</v>
      </c>
      <c r="O42" s="4">
        <v>1494</v>
      </c>
    </row>
    <row r="43" spans="1:15" x14ac:dyDescent="0.25">
      <c r="A43" s="3">
        <v>45307</v>
      </c>
      <c r="B43" s="4">
        <v>706.85</v>
      </c>
      <c r="C43" s="4">
        <v>716.95</v>
      </c>
      <c r="D43" s="4">
        <v>717.05</v>
      </c>
      <c r="E43" s="4">
        <v>698.9</v>
      </c>
      <c r="F43" s="4" t="str">
        <v>1.12M</v>
      </c>
      <c r="G43" s="4" t="str">
        <v>-1.39%</v>
      </c>
      <c r="H43" s="3">
        <v>45307</v>
      </c>
      <c r="I43" s="4">
        <v>707.97499999999991</v>
      </c>
      <c r="O43" s="4">
        <v>1493</v>
      </c>
    </row>
    <row r="44" spans="1:15" x14ac:dyDescent="0.25">
      <c r="A44" s="3">
        <v>45306</v>
      </c>
      <c r="B44" s="4">
        <v>716.85</v>
      </c>
      <c r="C44" s="4">
        <v>704.35</v>
      </c>
      <c r="D44" s="4">
        <v>724.45</v>
      </c>
      <c r="E44" s="4">
        <v>700.3</v>
      </c>
      <c r="F44" s="4" t="str">
        <v>1.15M</v>
      </c>
      <c r="G44" s="4" t="str">
        <v>1.83%</v>
      </c>
      <c r="H44" s="3">
        <v>45306</v>
      </c>
      <c r="I44" s="4">
        <v>712.375</v>
      </c>
      <c r="O44" s="4">
        <v>1492</v>
      </c>
    </row>
    <row r="45" spans="1:15" x14ac:dyDescent="0.25">
      <c r="A45" s="3">
        <v>45303</v>
      </c>
      <c r="B45" s="4">
        <v>703.95</v>
      </c>
      <c r="C45" s="4">
        <v>708.05</v>
      </c>
      <c r="D45" s="4">
        <v>708.25</v>
      </c>
      <c r="E45" s="4">
        <v>696.65</v>
      </c>
      <c r="F45" s="4" t="str">
        <v>642.16K</v>
      </c>
      <c r="G45" s="4" t="str">
        <v>-0.04%</v>
      </c>
      <c r="H45" s="3">
        <v>45303</v>
      </c>
      <c r="I45" s="4">
        <v>702.45</v>
      </c>
      <c r="O45" s="4">
        <v>1491</v>
      </c>
    </row>
    <row r="46" spans="1:15" x14ac:dyDescent="0.25">
      <c r="A46" s="3">
        <v>45302</v>
      </c>
      <c r="B46" s="4">
        <v>704.25</v>
      </c>
      <c r="C46" s="4">
        <v>706.6</v>
      </c>
      <c r="D46" s="4">
        <v>711.6</v>
      </c>
      <c r="E46" s="4">
        <v>700.9</v>
      </c>
      <c r="F46" s="4" t="str">
        <v>535.44K</v>
      </c>
      <c r="G46" s="4" t="str">
        <v>-0.37%</v>
      </c>
      <c r="H46" s="3">
        <v>45302</v>
      </c>
      <c r="I46" s="4">
        <v>706.25</v>
      </c>
      <c r="O46" s="4">
        <v>1490</v>
      </c>
    </row>
    <row r="47" spans="1:15" x14ac:dyDescent="0.25">
      <c r="A47" s="3">
        <v>45301</v>
      </c>
      <c r="B47" s="4">
        <v>706.9</v>
      </c>
      <c r="C47" s="4">
        <v>713.65</v>
      </c>
      <c r="D47" s="4">
        <v>718</v>
      </c>
      <c r="E47" s="4">
        <v>699.1</v>
      </c>
      <c r="F47" s="4" t="str">
        <v>1.08M</v>
      </c>
      <c r="G47" s="4" t="str">
        <v>-0.86%</v>
      </c>
      <c r="H47" s="3">
        <v>45301</v>
      </c>
      <c r="I47" s="4">
        <v>708.55</v>
      </c>
      <c r="O47" s="4">
        <v>1489</v>
      </c>
    </row>
    <row r="48" spans="1:15" x14ac:dyDescent="0.25">
      <c r="A48" s="3">
        <v>45300</v>
      </c>
      <c r="B48" s="4">
        <v>713</v>
      </c>
      <c r="C48" s="4">
        <v>714.75</v>
      </c>
      <c r="D48" s="4">
        <v>719</v>
      </c>
      <c r="E48" s="4">
        <v>711.1</v>
      </c>
      <c r="F48" s="4" t="str">
        <v>689.02K</v>
      </c>
      <c r="G48" s="4" t="str">
        <v>0.32%</v>
      </c>
      <c r="H48" s="3">
        <v>45300</v>
      </c>
      <c r="I48" s="4">
        <v>715.05</v>
      </c>
      <c r="O48" s="4">
        <v>1488</v>
      </c>
    </row>
    <row r="49" spans="1:15" x14ac:dyDescent="0.25">
      <c r="A49" s="3">
        <v>45299</v>
      </c>
      <c r="B49" s="4">
        <v>710.7</v>
      </c>
      <c r="C49" s="4">
        <v>717</v>
      </c>
      <c r="D49" s="4">
        <v>720.7</v>
      </c>
      <c r="E49" s="4">
        <v>708.6</v>
      </c>
      <c r="F49" s="4" t="str">
        <v>1.50M</v>
      </c>
      <c r="G49" s="4" t="str">
        <v>-0.50%</v>
      </c>
      <c r="H49" s="3">
        <v>45299</v>
      </c>
      <c r="I49" s="4">
        <v>714.65000000000009</v>
      </c>
      <c r="O49" s="4">
        <v>1487</v>
      </c>
    </row>
    <row r="50" spans="1:15" x14ac:dyDescent="0.25">
      <c r="A50" s="3">
        <v>45296</v>
      </c>
      <c r="B50" s="4">
        <v>714.25</v>
      </c>
      <c r="C50" s="4">
        <v>713</v>
      </c>
      <c r="D50" s="4">
        <v>715.35</v>
      </c>
      <c r="E50" s="4">
        <v>706</v>
      </c>
      <c r="F50" s="4" t="str">
        <v>1.04M</v>
      </c>
      <c r="G50" s="4" t="str">
        <v>0.72%</v>
      </c>
      <c r="H50" s="3">
        <v>45296</v>
      </c>
      <c r="I50" s="4">
        <v>710.67499999999995</v>
      </c>
      <c r="O50" s="4">
        <v>1486</v>
      </c>
    </row>
    <row r="51" spans="1:15" x14ac:dyDescent="0.25">
      <c r="A51" s="3">
        <v>45295</v>
      </c>
      <c r="B51" s="4">
        <v>709.15</v>
      </c>
      <c r="C51" s="4">
        <v>712</v>
      </c>
      <c r="D51" s="4">
        <v>715.85</v>
      </c>
      <c r="E51" s="4">
        <v>707</v>
      </c>
      <c r="F51" s="4" t="str">
        <v>1.12M</v>
      </c>
      <c r="G51" s="4" t="str">
        <v>-0.18%</v>
      </c>
      <c r="H51" s="3">
        <v>45295</v>
      </c>
      <c r="I51" s="4">
        <v>711.42499999999995</v>
      </c>
      <c r="O51" s="4">
        <v>1485</v>
      </c>
    </row>
    <row r="52" spans="1:15" x14ac:dyDescent="0.25">
      <c r="A52" s="3">
        <v>45294</v>
      </c>
      <c r="B52" s="4">
        <v>710.4</v>
      </c>
      <c r="C52" s="4">
        <v>712.4</v>
      </c>
      <c r="D52" s="4">
        <v>716</v>
      </c>
      <c r="E52" s="4">
        <v>708.95</v>
      </c>
      <c r="F52" s="4" t="str">
        <v>921.91K</v>
      </c>
      <c r="G52" s="4" t="str">
        <v>-0.26%</v>
      </c>
      <c r="H52" s="3">
        <v>45294</v>
      </c>
      <c r="I52" s="4">
        <v>712.47500000000002</v>
      </c>
      <c r="O52" s="4">
        <v>1484</v>
      </c>
    </row>
    <row r="53" spans="1:15" x14ac:dyDescent="0.25">
      <c r="A53" s="3">
        <v>45293</v>
      </c>
      <c r="B53" s="4">
        <v>712.25</v>
      </c>
      <c r="C53" s="4">
        <v>707.45</v>
      </c>
      <c r="D53" s="4">
        <v>715</v>
      </c>
      <c r="E53" s="4">
        <v>699.65</v>
      </c>
      <c r="F53" s="4" t="str">
        <v>2.43M</v>
      </c>
      <c r="G53" s="4" t="str">
        <v>1.87%</v>
      </c>
      <c r="H53" s="3">
        <v>45293</v>
      </c>
      <c r="I53" s="4">
        <v>707.32500000000005</v>
      </c>
      <c r="O53" s="4">
        <v>1483</v>
      </c>
    </row>
    <row r="54" spans="1:15" x14ac:dyDescent="0.25">
      <c r="A54" s="3">
        <v>45292</v>
      </c>
      <c r="B54" s="4">
        <v>699.15</v>
      </c>
      <c r="C54" s="4">
        <v>688.1</v>
      </c>
      <c r="D54" s="4">
        <v>707.2</v>
      </c>
      <c r="E54" s="4">
        <v>685</v>
      </c>
      <c r="F54" s="4" t="str">
        <v>2.37M</v>
      </c>
      <c r="G54" s="4" t="str">
        <v>1.44%</v>
      </c>
      <c r="H54" s="3">
        <v>45292</v>
      </c>
      <c r="I54" s="4">
        <v>696.1</v>
      </c>
      <c r="O54" s="4">
        <v>1482</v>
      </c>
    </row>
    <row r="55" spans="1:15" x14ac:dyDescent="0.25">
      <c r="A55" s="3">
        <v>45289</v>
      </c>
      <c r="B55" s="4">
        <v>689.2</v>
      </c>
      <c r="C55" s="4">
        <v>687.95</v>
      </c>
      <c r="D55" s="4">
        <v>691.8</v>
      </c>
      <c r="E55" s="4">
        <v>683.35</v>
      </c>
      <c r="F55" s="4" t="str">
        <v>786.85K</v>
      </c>
      <c r="G55" s="4" t="str">
        <v>0.41%</v>
      </c>
      <c r="H55" s="3">
        <v>45289</v>
      </c>
      <c r="I55" s="4">
        <v>687.57500000000005</v>
      </c>
      <c r="O55" s="4">
        <v>1481</v>
      </c>
    </row>
    <row r="56" spans="1:15" x14ac:dyDescent="0.25">
      <c r="A56" s="3">
        <v>45288</v>
      </c>
      <c r="B56" s="4">
        <v>686.4</v>
      </c>
      <c r="C56" s="4">
        <v>688.65</v>
      </c>
      <c r="D56" s="4">
        <v>692.35</v>
      </c>
      <c r="E56" s="4">
        <v>681.4</v>
      </c>
      <c r="F56" s="4" t="str">
        <v>972.28K</v>
      </c>
      <c r="G56" s="4" t="str">
        <v>-0.33%</v>
      </c>
      <c r="H56" s="3">
        <v>45288</v>
      </c>
      <c r="I56" s="4">
        <v>686.875</v>
      </c>
      <c r="O56" s="4">
        <v>1480</v>
      </c>
    </row>
    <row r="57" spans="1:15" x14ac:dyDescent="0.25">
      <c r="A57" s="3">
        <v>45287</v>
      </c>
      <c r="B57" s="4">
        <v>688.65</v>
      </c>
      <c r="C57" s="4">
        <v>673</v>
      </c>
      <c r="D57" s="4">
        <v>693.25</v>
      </c>
      <c r="E57" s="4">
        <v>666.75</v>
      </c>
      <c r="F57" s="4" t="str">
        <v>2.11M</v>
      </c>
      <c r="G57" s="4" t="str">
        <v>1.84%</v>
      </c>
      <c r="H57" s="3">
        <v>45287</v>
      </c>
      <c r="I57" s="4">
        <v>680</v>
      </c>
      <c r="O57" s="4">
        <v>1479</v>
      </c>
    </row>
    <row r="58" spans="1:15" x14ac:dyDescent="0.25">
      <c r="A58" s="3">
        <v>45286</v>
      </c>
      <c r="B58" s="4">
        <v>676.2</v>
      </c>
      <c r="C58" s="4">
        <v>679</v>
      </c>
      <c r="D58" s="4">
        <v>686.85</v>
      </c>
      <c r="E58" s="4">
        <v>674.5</v>
      </c>
      <c r="F58" s="4" t="str">
        <v>1.32M</v>
      </c>
      <c r="G58" s="4" t="str">
        <v>-0.55%</v>
      </c>
      <c r="H58" s="3">
        <v>45286</v>
      </c>
      <c r="I58" s="4">
        <v>680.67499999999995</v>
      </c>
      <c r="O58" s="4">
        <v>1478</v>
      </c>
    </row>
    <row r="59" spans="1:15" x14ac:dyDescent="0.25">
      <c r="A59" s="3">
        <v>45282</v>
      </c>
      <c r="B59" s="4">
        <v>679.95</v>
      </c>
      <c r="C59" s="4">
        <v>675</v>
      </c>
      <c r="D59" s="4">
        <v>689.4</v>
      </c>
      <c r="E59" s="4">
        <v>673.05</v>
      </c>
      <c r="F59" s="4" t="str">
        <v>2.03M</v>
      </c>
      <c r="G59" s="4" t="str">
        <v>1.27%</v>
      </c>
      <c r="H59" s="3">
        <v>45282</v>
      </c>
      <c r="I59" s="4">
        <v>681.22499999999991</v>
      </c>
      <c r="O59" s="4">
        <v>1477</v>
      </c>
    </row>
    <row r="60" spans="1:15" x14ac:dyDescent="0.25">
      <c r="A60" s="3">
        <v>45281</v>
      </c>
      <c r="B60" s="4">
        <v>671.45</v>
      </c>
      <c r="C60" s="4">
        <v>657.55</v>
      </c>
      <c r="D60" s="4">
        <v>674.5</v>
      </c>
      <c r="E60" s="4">
        <v>648.15</v>
      </c>
      <c r="F60" s="4" t="str">
        <v>1.40M</v>
      </c>
      <c r="G60" s="4" t="str">
        <v>1.16%</v>
      </c>
      <c r="H60" s="3">
        <v>45281</v>
      </c>
      <c r="I60" s="4">
        <v>661.32500000000005</v>
      </c>
      <c r="O60" s="4">
        <v>1476</v>
      </c>
    </row>
    <row r="61" spans="1:15" x14ac:dyDescent="0.25">
      <c r="A61" s="3">
        <v>45280</v>
      </c>
      <c r="B61" s="4">
        <v>663.75</v>
      </c>
      <c r="C61" s="4">
        <v>686</v>
      </c>
      <c r="D61" s="4">
        <v>696.5</v>
      </c>
      <c r="E61" s="4">
        <v>659.1</v>
      </c>
      <c r="F61" s="4" t="str">
        <v>2.16M</v>
      </c>
      <c r="G61" s="4" t="str">
        <v>-3.22%</v>
      </c>
      <c r="H61" s="3">
        <v>45280</v>
      </c>
      <c r="I61" s="4">
        <v>677.8</v>
      </c>
      <c r="O61" s="4">
        <v>1475</v>
      </c>
    </row>
    <row r="62" spans="1:15" x14ac:dyDescent="0.25">
      <c r="A62" s="3">
        <v>45279</v>
      </c>
      <c r="B62" s="4">
        <v>685.85</v>
      </c>
      <c r="C62" s="4">
        <v>684.8</v>
      </c>
      <c r="D62" s="4">
        <v>694</v>
      </c>
      <c r="E62" s="4">
        <v>671.35</v>
      </c>
      <c r="F62" s="4" t="str">
        <v>2.82M</v>
      </c>
      <c r="G62" s="4" t="str">
        <v>0.77%</v>
      </c>
      <c r="H62" s="3">
        <v>45279</v>
      </c>
      <c r="I62" s="4">
        <v>682.67499999999995</v>
      </c>
      <c r="O62" s="4">
        <v>1474</v>
      </c>
    </row>
    <row r="63" spans="1:15" x14ac:dyDescent="0.25">
      <c r="A63" s="3">
        <v>45278</v>
      </c>
      <c r="B63" s="4">
        <v>680.6</v>
      </c>
      <c r="C63" s="4">
        <v>655</v>
      </c>
      <c r="D63" s="4">
        <v>682.35</v>
      </c>
      <c r="E63" s="4">
        <v>651.1</v>
      </c>
      <c r="F63" s="4" t="str">
        <v>6.97M</v>
      </c>
      <c r="G63" s="4" t="str">
        <v>5.37%</v>
      </c>
      <c r="H63" s="3">
        <v>45278</v>
      </c>
      <c r="I63" s="4">
        <v>666.72500000000002</v>
      </c>
      <c r="O63" s="4">
        <v>1473</v>
      </c>
    </row>
    <row r="64" spans="1:15" x14ac:dyDescent="0.25">
      <c r="A64" s="3">
        <v>45275</v>
      </c>
      <c r="B64" s="4">
        <v>645.9</v>
      </c>
      <c r="C64" s="4">
        <v>647</v>
      </c>
      <c r="D64" s="4">
        <v>650.54999999999995</v>
      </c>
      <c r="E64" s="4">
        <v>642.35</v>
      </c>
      <c r="F64" s="4" t="str">
        <v>953.71K</v>
      </c>
      <c r="G64" s="4" t="str">
        <v>0.33%</v>
      </c>
      <c r="H64" s="3">
        <v>45275</v>
      </c>
      <c r="I64" s="4">
        <v>646.45000000000005</v>
      </c>
      <c r="O64" s="4">
        <v>1472</v>
      </c>
    </row>
    <row r="65" spans="1:15" x14ac:dyDescent="0.25">
      <c r="A65" s="3">
        <v>45274</v>
      </c>
      <c r="B65" s="4">
        <v>643.79999999999995</v>
      </c>
      <c r="C65" s="4">
        <v>647</v>
      </c>
      <c r="D65" s="4">
        <v>650</v>
      </c>
      <c r="E65" s="4">
        <v>640.95000000000005</v>
      </c>
      <c r="F65" s="4" t="str">
        <v>1.19M</v>
      </c>
      <c r="G65" s="4" t="str">
        <v>0.22%</v>
      </c>
      <c r="H65" s="3">
        <v>45274</v>
      </c>
      <c r="I65" s="4">
        <v>645.47500000000002</v>
      </c>
      <c r="O65" s="4">
        <v>1471</v>
      </c>
    </row>
    <row r="66" spans="1:15" x14ac:dyDescent="0.25">
      <c r="A66" s="3">
        <v>45273</v>
      </c>
      <c r="B66" s="4">
        <v>642.4</v>
      </c>
      <c r="C66" s="4">
        <v>635</v>
      </c>
      <c r="D66" s="4">
        <v>648.6</v>
      </c>
      <c r="E66" s="4">
        <v>633.29999999999995</v>
      </c>
      <c r="F66" s="4" t="str">
        <v>1.42M</v>
      </c>
      <c r="G66" s="4" t="str">
        <v>1.10%</v>
      </c>
      <c r="H66" s="3">
        <v>45273</v>
      </c>
      <c r="I66" s="4">
        <v>640.95000000000005</v>
      </c>
      <c r="O66" s="4">
        <v>1470</v>
      </c>
    </row>
    <row r="67" spans="1:15" x14ac:dyDescent="0.25">
      <c r="A67" s="3">
        <v>45272</v>
      </c>
      <c r="B67" s="4">
        <v>635.4</v>
      </c>
      <c r="C67" s="4">
        <v>636.79999999999995</v>
      </c>
      <c r="D67" s="4">
        <v>640.29999999999995</v>
      </c>
      <c r="E67" s="4">
        <v>633.6</v>
      </c>
      <c r="F67" s="4" t="str">
        <v>1.11M</v>
      </c>
      <c r="G67" s="4" t="str">
        <v>0.28%</v>
      </c>
      <c r="H67" s="3">
        <v>45272</v>
      </c>
      <c r="I67" s="4">
        <v>636.95000000000005</v>
      </c>
      <c r="O67" s="4">
        <v>1469</v>
      </c>
    </row>
    <row r="68" spans="1:15" x14ac:dyDescent="0.25">
      <c r="A68" s="3">
        <v>45271</v>
      </c>
      <c r="B68" s="4">
        <v>633.6</v>
      </c>
      <c r="C68" s="4">
        <v>644.45000000000005</v>
      </c>
      <c r="D68" s="4">
        <v>645.29999999999995</v>
      </c>
      <c r="E68" s="4">
        <v>632</v>
      </c>
      <c r="F68" s="4" t="str">
        <v>1.40M</v>
      </c>
      <c r="G68" s="4" t="str">
        <v>-0.78%</v>
      </c>
      <c r="H68" s="3">
        <v>45271</v>
      </c>
      <c r="I68" s="4">
        <v>638.65</v>
      </c>
      <c r="O68" s="4">
        <v>1468</v>
      </c>
    </row>
    <row r="69" spans="1:15" x14ac:dyDescent="0.25">
      <c r="A69" s="3">
        <v>45268</v>
      </c>
      <c r="B69" s="4">
        <v>638.54999999999995</v>
      </c>
      <c r="C69" s="4">
        <v>661.3</v>
      </c>
      <c r="D69" s="4">
        <v>664.95</v>
      </c>
      <c r="E69" s="4">
        <v>630.85</v>
      </c>
      <c r="F69" s="4" t="str">
        <v>2.33M</v>
      </c>
      <c r="G69" s="4" t="str">
        <v>-2.95%</v>
      </c>
      <c r="H69" s="3">
        <v>45268</v>
      </c>
      <c r="I69" s="4">
        <v>647.90000000000009</v>
      </c>
      <c r="O69" s="4">
        <v>1467</v>
      </c>
    </row>
    <row r="70" spans="1:15" x14ac:dyDescent="0.25">
      <c r="A70" s="3">
        <v>45267</v>
      </c>
      <c r="B70" s="4">
        <v>657.95</v>
      </c>
      <c r="C70" s="4">
        <v>639.20000000000005</v>
      </c>
      <c r="D70" s="4">
        <v>659.6</v>
      </c>
      <c r="E70" s="4">
        <v>634.9</v>
      </c>
      <c r="F70" s="4" t="str">
        <v>2.53M</v>
      </c>
      <c r="G70" s="4" t="str">
        <v>3.54%</v>
      </c>
      <c r="H70" s="3">
        <v>45267</v>
      </c>
      <c r="I70" s="4">
        <v>647.25</v>
      </c>
      <c r="O70" s="4">
        <v>1466</v>
      </c>
    </row>
    <row r="71" spans="1:15" x14ac:dyDescent="0.25">
      <c r="A71" s="3">
        <v>45266</v>
      </c>
      <c r="B71" s="4">
        <v>635.45000000000005</v>
      </c>
      <c r="C71" s="4">
        <v>637.65</v>
      </c>
      <c r="D71" s="4">
        <v>644</v>
      </c>
      <c r="E71" s="4">
        <v>634</v>
      </c>
      <c r="F71" s="4" t="str">
        <v>1.50M</v>
      </c>
      <c r="G71" s="4" t="str">
        <v>0.22%</v>
      </c>
      <c r="H71" s="3">
        <v>45266</v>
      </c>
      <c r="I71" s="4">
        <v>639</v>
      </c>
      <c r="O71" s="4">
        <v>1465</v>
      </c>
    </row>
    <row r="72" spans="1:15" x14ac:dyDescent="0.25">
      <c r="A72" s="3">
        <v>45265</v>
      </c>
      <c r="B72" s="4">
        <v>634.04999999999995</v>
      </c>
      <c r="C72" s="4">
        <v>637.9</v>
      </c>
      <c r="D72" s="4">
        <v>643.45000000000005</v>
      </c>
      <c r="E72" s="4">
        <v>632.4</v>
      </c>
      <c r="F72" s="4" t="str">
        <v>718.01K</v>
      </c>
      <c r="G72" s="4" t="str">
        <v>0.10%</v>
      </c>
      <c r="H72" s="3">
        <v>45265</v>
      </c>
      <c r="I72" s="4">
        <v>637.92499999999995</v>
      </c>
      <c r="O72" s="4">
        <v>1464</v>
      </c>
    </row>
    <row r="73" spans="1:15" x14ac:dyDescent="0.25">
      <c r="A73" s="3">
        <v>45264</v>
      </c>
      <c r="B73" s="4">
        <v>633.4</v>
      </c>
      <c r="C73" s="4">
        <v>648</v>
      </c>
      <c r="D73" s="4">
        <v>648.35</v>
      </c>
      <c r="E73" s="4">
        <v>630</v>
      </c>
      <c r="F73" s="4" t="str">
        <v>883.82K</v>
      </c>
      <c r="G73" s="4" t="str">
        <v>-0.98%</v>
      </c>
      <c r="H73" s="3">
        <v>45264</v>
      </c>
      <c r="I73" s="4">
        <v>639.17499999999995</v>
      </c>
      <c r="O73" s="4">
        <v>1463</v>
      </c>
    </row>
    <row r="74" spans="1:15" x14ac:dyDescent="0.25">
      <c r="A74" s="3">
        <v>45261</v>
      </c>
      <c r="B74" s="4">
        <v>639.70000000000005</v>
      </c>
      <c r="C74" s="4">
        <v>641.70000000000005</v>
      </c>
      <c r="D74" s="4">
        <v>648.95000000000005</v>
      </c>
      <c r="E74" s="4">
        <v>637.5</v>
      </c>
      <c r="F74" s="4" t="str">
        <v>1.14M</v>
      </c>
      <c r="G74" s="4" t="str">
        <v>0.34%</v>
      </c>
      <c r="H74" s="3">
        <v>45261</v>
      </c>
      <c r="I74" s="4">
        <v>643.22500000000002</v>
      </c>
      <c r="O74" s="4">
        <v>1462</v>
      </c>
    </row>
    <row r="75" spans="1:15" x14ac:dyDescent="0.25">
      <c r="A75" s="3">
        <v>45260</v>
      </c>
      <c r="B75" s="4">
        <v>637.54999999999995</v>
      </c>
      <c r="C75" s="4">
        <v>635.54999999999995</v>
      </c>
      <c r="D75" s="4">
        <v>640.75</v>
      </c>
      <c r="E75" s="4">
        <v>633.45000000000005</v>
      </c>
      <c r="F75" s="4" t="str">
        <v>1.36M</v>
      </c>
      <c r="G75" s="4" t="str">
        <v>0.39%</v>
      </c>
      <c r="H75" s="3">
        <v>45260</v>
      </c>
      <c r="I75" s="4">
        <v>637.1</v>
      </c>
      <c r="O75" s="4">
        <v>1461</v>
      </c>
    </row>
    <row r="76" spans="1:15" x14ac:dyDescent="0.25">
      <c r="A76" s="3">
        <v>45259</v>
      </c>
      <c r="B76" s="4">
        <v>635.04999999999995</v>
      </c>
      <c r="C76" s="4">
        <v>633.25</v>
      </c>
      <c r="D76" s="4">
        <v>637.85</v>
      </c>
      <c r="E76" s="4">
        <v>630.04999999999995</v>
      </c>
      <c r="F76" s="4" t="str">
        <v>777.48K</v>
      </c>
      <c r="G76" s="4" t="str">
        <v>0.83%</v>
      </c>
      <c r="H76" s="3">
        <v>45259</v>
      </c>
      <c r="I76" s="4">
        <v>633.95000000000005</v>
      </c>
      <c r="O76" s="4">
        <v>1460</v>
      </c>
    </row>
    <row r="77" spans="1:15" x14ac:dyDescent="0.25">
      <c r="A77" s="3">
        <v>45258</v>
      </c>
      <c r="B77" s="4">
        <v>629.79999999999995</v>
      </c>
      <c r="C77" s="4">
        <v>639.9</v>
      </c>
      <c r="D77" s="4">
        <v>641.04999999999995</v>
      </c>
      <c r="E77" s="4">
        <v>628.1</v>
      </c>
      <c r="F77" s="4" t="str">
        <v>606.27K</v>
      </c>
      <c r="G77" s="4" t="str">
        <v>-1.58%</v>
      </c>
      <c r="H77" s="3">
        <v>45258</v>
      </c>
      <c r="I77" s="4">
        <v>634.57500000000005</v>
      </c>
      <c r="O77" s="4">
        <v>1459</v>
      </c>
    </row>
    <row r="78" spans="1:15" x14ac:dyDescent="0.25">
      <c r="A78" s="3">
        <v>45254</v>
      </c>
      <c r="B78" s="4">
        <v>639.9</v>
      </c>
      <c r="C78" s="4">
        <v>634.79999999999995</v>
      </c>
      <c r="D78" s="4">
        <v>648</v>
      </c>
      <c r="E78" s="4">
        <v>634</v>
      </c>
      <c r="F78" s="4" t="str">
        <v>690.40K</v>
      </c>
      <c r="G78" s="4" t="str">
        <v>1.31%</v>
      </c>
      <c r="H78" s="3">
        <v>45254</v>
      </c>
      <c r="I78" s="4">
        <v>641</v>
      </c>
      <c r="O78" s="4">
        <v>1458</v>
      </c>
    </row>
    <row r="79" spans="1:15" x14ac:dyDescent="0.25">
      <c r="A79" s="3">
        <v>45253</v>
      </c>
      <c r="B79" s="4">
        <v>631.6</v>
      </c>
      <c r="C79" s="4">
        <v>645.45000000000005</v>
      </c>
      <c r="D79" s="4">
        <v>645.45000000000005</v>
      </c>
      <c r="E79" s="4">
        <v>629.45000000000005</v>
      </c>
      <c r="F79" s="4" t="str">
        <v>1.01M</v>
      </c>
      <c r="G79" s="4" t="str">
        <v>-1.63%</v>
      </c>
      <c r="H79" s="3">
        <v>45253</v>
      </c>
      <c r="I79" s="4">
        <v>637.45000000000005</v>
      </c>
      <c r="O79" s="4">
        <v>1457</v>
      </c>
    </row>
    <row r="80" spans="1:15" x14ac:dyDescent="0.25">
      <c r="A80" s="3">
        <v>45252</v>
      </c>
      <c r="B80" s="4">
        <v>642.04999999999995</v>
      </c>
      <c r="C80" s="4">
        <v>642.4</v>
      </c>
      <c r="D80" s="4">
        <v>649.04999999999995</v>
      </c>
      <c r="E80" s="4">
        <v>639.4</v>
      </c>
      <c r="F80" s="4" t="str">
        <v>798.77K</v>
      </c>
      <c r="G80" s="4" t="str">
        <v>0.47%</v>
      </c>
      <c r="H80" s="3">
        <v>45252</v>
      </c>
      <c r="I80" s="4">
        <v>644.22499999999991</v>
      </c>
      <c r="O80" s="4">
        <v>1456</v>
      </c>
    </row>
    <row r="81" spans="1:15" x14ac:dyDescent="0.25">
      <c r="A81" s="3">
        <v>45251</v>
      </c>
      <c r="B81" s="4">
        <v>639.04999999999995</v>
      </c>
      <c r="C81" s="4">
        <v>639.95000000000005</v>
      </c>
      <c r="D81" s="4">
        <v>644.4</v>
      </c>
      <c r="E81" s="4">
        <v>636.6</v>
      </c>
      <c r="F81" s="4" t="str">
        <v>698.90K</v>
      </c>
      <c r="G81" s="4" t="str">
        <v>0.48%</v>
      </c>
      <c r="H81" s="3">
        <v>45251</v>
      </c>
      <c r="I81" s="4">
        <v>640.5</v>
      </c>
      <c r="O81" s="4">
        <v>1455</v>
      </c>
    </row>
    <row r="82" spans="1:15" x14ac:dyDescent="0.25">
      <c r="A82" s="3">
        <v>45250</v>
      </c>
      <c r="B82" s="4">
        <v>636</v>
      </c>
      <c r="C82" s="4">
        <v>640</v>
      </c>
      <c r="D82" s="4">
        <v>644.6</v>
      </c>
      <c r="E82" s="4">
        <v>633.45000000000005</v>
      </c>
      <c r="F82" s="4" t="str">
        <v>834.77K</v>
      </c>
      <c r="G82" s="4" t="str">
        <v>-0.09%</v>
      </c>
      <c r="H82" s="3">
        <v>45250</v>
      </c>
      <c r="I82" s="4">
        <v>639.02500000000009</v>
      </c>
      <c r="O82" s="4">
        <v>1454</v>
      </c>
    </row>
    <row r="83" spans="1:15" x14ac:dyDescent="0.25">
      <c r="A83" s="3">
        <v>45247</v>
      </c>
      <c r="B83" s="4">
        <v>636.54999999999995</v>
      </c>
      <c r="C83" s="4">
        <v>634.79999999999995</v>
      </c>
      <c r="D83" s="4">
        <v>639.9</v>
      </c>
      <c r="E83" s="4">
        <v>632.85</v>
      </c>
      <c r="F83" s="4" t="str">
        <v>996.81K</v>
      </c>
      <c r="G83" s="4" t="str">
        <v>0.74%</v>
      </c>
      <c r="H83" s="3">
        <v>45247</v>
      </c>
      <c r="I83" s="4">
        <v>636.375</v>
      </c>
      <c r="O83" s="4">
        <v>1453</v>
      </c>
    </row>
    <row r="84" spans="1:15" x14ac:dyDescent="0.25">
      <c r="A84" s="3">
        <v>45246</v>
      </c>
      <c r="B84" s="4">
        <v>631.85</v>
      </c>
      <c r="C84" s="4">
        <v>622.70000000000005</v>
      </c>
      <c r="D84" s="4">
        <v>635.45000000000005</v>
      </c>
      <c r="E84" s="4">
        <v>619</v>
      </c>
      <c r="F84" s="4" t="str">
        <v>1.29M</v>
      </c>
      <c r="G84" s="4" t="str">
        <v>1.72%</v>
      </c>
      <c r="H84" s="3">
        <v>45246</v>
      </c>
      <c r="I84" s="4">
        <v>627.22500000000002</v>
      </c>
      <c r="O84" s="4">
        <v>1452</v>
      </c>
    </row>
    <row r="85" spans="1:15" x14ac:dyDescent="0.25">
      <c r="A85" s="3">
        <v>45245</v>
      </c>
      <c r="B85" s="4">
        <v>621.15</v>
      </c>
      <c r="C85" s="4">
        <v>624</v>
      </c>
      <c r="D85" s="4">
        <v>625.54999999999995</v>
      </c>
      <c r="E85" s="4">
        <v>618.85</v>
      </c>
      <c r="F85" s="4" t="str">
        <v>458.59K</v>
      </c>
      <c r="G85" s="4" t="str">
        <v>0.15%</v>
      </c>
      <c r="H85" s="3">
        <v>45245</v>
      </c>
      <c r="I85" s="4">
        <v>622.20000000000005</v>
      </c>
      <c r="O85" s="4">
        <v>1451</v>
      </c>
    </row>
    <row r="86" spans="1:15" x14ac:dyDescent="0.25">
      <c r="A86" s="3">
        <v>45243</v>
      </c>
      <c r="B86" s="4">
        <v>620.25</v>
      </c>
      <c r="C86" s="4">
        <v>622.04999999999995</v>
      </c>
      <c r="D86" s="4">
        <v>622.4</v>
      </c>
      <c r="E86" s="4">
        <v>616.04999999999995</v>
      </c>
      <c r="F86" s="4" t="str">
        <v>845.30K</v>
      </c>
      <c r="G86" s="4" t="str">
        <v>-0.57%</v>
      </c>
      <c r="H86" s="3">
        <v>45243</v>
      </c>
      <c r="I86" s="4">
        <v>619.22499999999991</v>
      </c>
      <c r="O86" s="4">
        <v>1450</v>
      </c>
    </row>
    <row r="87" spans="1:15" x14ac:dyDescent="0.25">
      <c r="A87" s="3">
        <v>45242</v>
      </c>
      <c r="B87" s="4">
        <v>623.79999999999995</v>
      </c>
      <c r="C87" s="4">
        <v>624.5</v>
      </c>
      <c r="D87" s="4">
        <v>624.79999999999995</v>
      </c>
      <c r="E87" s="4">
        <v>622.65</v>
      </c>
      <c r="F87" s="4" t="str">
        <v>109.69K</v>
      </c>
      <c r="G87" s="4" t="str">
        <v>0.63%</v>
      </c>
      <c r="H87" s="3">
        <v>45242</v>
      </c>
      <c r="I87" s="4">
        <v>623.72499999999991</v>
      </c>
      <c r="O87" s="4" t="e">
        <v>#N/A</v>
      </c>
    </row>
    <row r="88" spans="1:15" x14ac:dyDescent="0.25">
      <c r="A88" s="3">
        <v>45240</v>
      </c>
      <c r="B88" s="4">
        <v>619.9</v>
      </c>
      <c r="C88" s="4">
        <v>609.5</v>
      </c>
      <c r="D88" s="4">
        <v>621.15</v>
      </c>
      <c r="E88" s="4">
        <v>606.04999999999995</v>
      </c>
      <c r="F88" s="4" t="str">
        <v>1.02M</v>
      </c>
      <c r="G88" s="4" t="str">
        <v>1.22%</v>
      </c>
      <c r="H88" s="3">
        <v>45240</v>
      </c>
      <c r="I88" s="4">
        <v>613.59999999999991</v>
      </c>
      <c r="O88" s="4">
        <v>1449</v>
      </c>
    </row>
    <row r="89" spans="1:15" x14ac:dyDescent="0.25">
      <c r="A89" s="3">
        <v>45239</v>
      </c>
      <c r="B89" s="4">
        <v>612.45000000000005</v>
      </c>
      <c r="C89" s="4">
        <v>625.20000000000005</v>
      </c>
      <c r="D89" s="4">
        <v>627.54999999999995</v>
      </c>
      <c r="E89" s="4">
        <v>609.15</v>
      </c>
      <c r="F89" s="4" t="str">
        <v>1.60M</v>
      </c>
      <c r="G89" s="4" t="str">
        <v>-2.04%</v>
      </c>
      <c r="H89" s="3">
        <v>45239</v>
      </c>
      <c r="I89" s="4">
        <v>618.34999999999991</v>
      </c>
      <c r="O89" s="4">
        <v>1448</v>
      </c>
    </row>
    <row r="90" spans="1:15" x14ac:dyDescent="0.25">
      <c r="A90" s="3">
        <v>45238</v>
      </c>
      <c r="B90" s="4">
        <v>625.20000000000005</v>
      </c>
      <c r="C90" s="4">
        <v>601.5</v>
      </c>
      <c r="D90" s="4">
        <v>634</v>
      </c>
      <c r="E90" s="4">
        <v>598.04999999999995</v>
      </c>
      <c r="F90" s="4" t="str">
        <v>4.26M</v>
      </c>
      <c r="G90" s="4" t="str">
        <v>4.67%</v>
      </c>
      <c r="H90" s="3">
        <v>45238</v>
      </c>
      <c r="I90" s="4">
        <v>616.02499999999998</v>
      </c>
      <c r="O90" s="4">
        <v>1447</v>
      </c>
    </row>
    <row r="91" spans="1:15" x14ac:dyDescent="0.25">
      <c r="A91" s="3">
        <v>45237</v>
      </c>
      <c r="B91" s="4">
        <v>597.29999999999995</v>
      </c>
      <c r="C91" s="4">
        <v>588</v>
      </c>
      <c r="D91" s="4">
        <v>602.4</v>
      </c>
      <c r="E91" s="4">
        <v>587.65</v>
      </c>
      <c r="F91" s="4" t="str">
        <v>2.23M</v>
      </c>
      <c r="G91" s="4" t="str">
        <v>2.13%</v>
      </c>
      <c r="H91" s="3">
        <v>45237</v>
      </c>
      <c r="I91" s="4">
        <v>595.02499999999998</v>
      </c>
      <c r="O91" s="4">
        <v>1446</v>
      </c>
    </row>
    <row r="92" spans="1:15" x14ac:dyDescent="0.25">
      <c r="A92" s="3">
        <v>45236</v>
      </c>
      <c r="B92" s="4">
        <v>584.85</v>
      </c>
      <c r="C92" s="4">
        <v>587.1</v>
      </c>
      <c r="D92" s="4">
        <v>589.5</v>
      </c>
      <c r="E92" s="4">
        <v>579.35</v>
      </c>
      <c r="F92" s="4" t="str">
        <v>943.22K</v>
      </c>
      <c r="G92" s="4" t="str">
        <v>0.00%</v>
      </c>
      <c r="H92" s="3">
        <v>45236</v>
      </c>
      <c r="I92" s="4">
        <v>584.42499999999995</v>
      </c>
      <c r="O92" s="4">
        <v>1445</v>
      </c>
    </row>
    <row r="93" spans="1:15" x14ac:dyDescent="0.25">
      <c r="A93" s="3">
        <v>45233</v>
      </c>
      <c r="B93" s="4">
        <v>584.85</v>
      </c>
      <c r="C93" s="4">
        <v>579.1</v>
      </c>
      <c r="D93" s="4">
        <v>588</v>
      </c>
      <c r="E93" s="4">
        <v>579.1</v>
      </c>
      <c r="F93" s="4" t="str">
        <v>667.82K</v>
      </c>
      <c r="G93" s="4" t="str">
        <v>1.22%</v>
      </c>
      <c r="H93" s="3">
        <v>45233</v>
      </c>
      <c r="I93" s="4">
        <v>583.54999999999995</v>
      </c>
      <c r="O93" s="4">
        <v>1444</v>
      </c>
    </row>
    <row r="94" spans="1:15" x14ac:dyDescent="0.25">
      <c r="A94" s="3">
        <v>45232</v>
      </c>
      <c r="B94" s="4">
        <v>577.79999999999995</v>
      </c>
      <c r="C94" s="4">
        <v>578.9</v>
      </c>
      <c r="D94" s="4">
        <v>580.5</v>
      </c>
      <c r="E94" s="4">
        <v>571.54999999999995</v>
      </c>
      <c r="F94" s="4" t="str">
        <v>858.34K</v>
      </c>
      <c r="G94" s="4" t="str">
        <v>0.42%</v>
      </c>
      <c r="H94" s="3">
        <v>45232</v>
      </c>
      <c r="I94" s="4">
        <v>576.02499999999998</v>
      </c>
      <c r="O94" s="4">
        <v>1443</v>
      </c>
    </row>
    <row r="95" spans="1:15" x14ac:dyDescent="0.25">
      <c r="A95" s="3">
        <v>45231</v>
      </c>
      <c r="B95" s="4">
        <v>575.4</v>
      </c>
      <c r="C95" s="4">
        <v>575.4</v>
      </c>
      <c r="D95" s="4">
        <v>577</v>
      </c>
      <c r="E95" s="4">
        <v>570.25</v>
      </c>
      <c r="F95" s="4" t="str">
        <v>369.42K</v>
      </c>
      <c r="G95" s="4" t="str">
        <v>0.32%</v>
      </c>
      <c r="H95" s="3">
        <v>45231</v>
      </c>
      <c r="I95" s="4">
        <v>573.625</v>
      </c>
      <c r="O95" s="4">
        <v>1442</v>
      </c>
    </row>
    <row r="96" spans="1:15" x14ac:dyDescent="0.25">
      <c r="A96" s="3">
        <v>45230</v>
      </c>
      <c r="B96" s="4">
        <v>573.54999999999995</v>
      </c>
      <c r="C96" s="4">
        <v>580.1</v>
      </c>
      <c r="D96" s="4">
        <v>583</v>
      </c>
      <c r="E96" s="4">
        <v>572</v>
      </c>
      <c r="F96" s="4" t="str">
        <v>876.89K</v>
      </c>
      <c r="G96" s="4" t="str">
        <v>-1.15%</v>
      </c>
      <c r="H96" s="3">
        <v>45230</v>
      </c>
      <c r="I96" s="4">
        <v>577.5</v>
      </c>
      <c r="O96" s="4">
        <v>1441</v>
      </c>
    </row>
    <row r="97" spans="1:15" x14ac:dyDescent="0.25">
      <c r="A97" s="3">
        <v>45229</v>
      </c>
      <c r="B97" s="4">
        <v>580.25</v>
      </c>
      <c r="C97" s="4">
        <v>578</v>
      </c>
      <c r="D97" s="4">
        <v>582.45000000000005</v>
      </c>
      <c r="E97" s="4">
        <v>574.25</v>
      </c>
      <c r="F97" s="4" t="str">
        <v>788.03K</v>
      </c>
      <c r="G97" s="4" t="str">
        <v>0.90%</v>
      </c>
      <c r="H97" s="3">
        <v>45229</v>
      </c>
      <c r="I97" s="4">
        <v>578.35</v>
      </c>
      <c r="O97" s="4">
        <v>1440</v>
      </c>
    </row>
    <row r="98" spans="1:15" x14ac:dyDescent="0.25">
      <c r="A98" s="3">
        <v>45226</v>
      </c>
      <c r="B98" s="4">
        <v>575.04999999999995</v>
      </c>
      <c r="C98" s="4">
        <v>574</v>
      </c>
      <c r="D98" s="4">
        <v>579.85</v>
      </c>
      <c r="E98" s="4">
        <v>572.5</v>
      </c>
      <c r="F98" s="4" t="str">
        <v>544.19K</v>
      </c>
      <c r="G98" s="4" t="str">
        <v>0.66%</v>
      </c>
      <c r="H98" s="3">
        <v>45226</v>
      </c>
      <c r="I98" s="4">
        <v>576.17499999999995</v>
      </c>
      <c r="O98" s="4">
        <v>1439</v>
      </c>
    </row>
    <row r="99" spans="1:15" x14ac:dyDescent="0.25">
      <c r="A99" s="3">
        <v>45225</v>
      </c>
      <c r="B99" s="4">
        <v>571.29999999999995</v>
      </c>
      <c r="C99" s="4">
        <v>571.9</v>
      </c>
      <c r="D99" s="4">
        <v>574.4</v>
      </c>
      <c r="E99" s="4">
        <v>567.75</v>
      </c>
      <c r="F99" s="4" t="str">
        <v>452.94K</v>
      </c>
      <c r="G99" s="4" t="str">
        <v>-0.59%</v>
      </c>
      <c r="H99" s="3">
        <v>45225</v>
      </c>
      <c r="I99" s="4">
        <v>571.07500000000005</v>
      </c>
      <c r="O99" s="4">
        <v>1438</v>
      </c>
    </row>
    <row r="100" spans="1:15" x14ac:dyDescent="0.25">
      <c r="A100" s="3">
        <v>45224</v>
      </c>
      <c r="B100" s="4">
        <v>574.70000000000005</v>
      </c>
      <c r="C100" s="4">
        <v>569.6</v>
      </c>
      <c r="D100" s="4">
        <v>576.54999999999995</v>
      </c>
      <c r="E100" s="4">
        <v>569.1</v>
      </c>
      <c r="F100" s="4" t="str">
        <v>719.86K</v>
      </c>
      <c r="G100" s="4" t="str">
        <v>0.76%</v>
      </c>
      <c r="H100" s="3">
        <v>45224</v>
      </c>
      <c r="I100" s="4">
        <v>572.82500000000005</v>
      </c>
      <c r="O100" s="4">
        <v>1437</v>
      </c>
    </row>
    <row r="101" spans="1:15" x14ac:dyDescent="0.25">
      <c r="A101" s="3">
        <v>45222</v>
      </c>
      <c r="B101" s="4">
        <v>570.35</v>
      </c>
      <c r="C101" s="4">
        <v>585</v>
      </c>
      <c r="D101" s="4">
        <v>592.45000000000005</v>
      </c>
      <c r="E101" s="4">
        <v>567.95000000000005</v>
      </c>
      <c r="F101" s="4" t="str">
        <v>1.10M</v>
      </c>
      <c r="G101" s="4" t="str">
        <v>-1.48%</v>
      </c>
      <c r="H101" s="3">
        <v>45222</v>
      </c>
      <c r="I101" s="4">
        <v>580.20000000000005</v>
      </c>
      <c r="O101" s="4">
        <v>1436</v>
      </c>
    </row>
    <row r="102" spans="1:15" x14ac:dyDescent="0.25">
      <c r="A102" s="3">
        <v>45219</v>
      </c>
      <c r="B102" s="4">
        <v>578.9</v>
      </c>
      <c r="C102" s="4">
        <v>590</v>
      </c>
      <c r="D102" s="4">
        <v>590.20000000000005</v>
      </c>
      <c r="E102" s="4">
        <v>573.5</v>
      </c>
      <c r="F102" s="4" t="str">
        <v>1.27M</v>
      </c>
      <c r="G102" s="4" t="str">
        <v>-1.91%</v>
      </c>
      <c r="H102" s="3">
        <v>45219</v>
      </c>
      <c r="I102" s="4">
        <v>581.85</v>
      </c>
      <c r="O102" s="4">
        <v>1435</v>
      </c>
    </row>
    <row r="103" spans="1:15" x14ac:dyDescent="0.25">
      <c r="A103" s="3">
        <v>45218</v>
      </c>
      <c r="B103" s="4">
        <v>590.20000000000005</v>
      </c>
      <c r="C103" s="4">
        <v>583.79999999999995</v>
      </c>
      <c r="D103" s="4">
        <v>591.29999999999995</v>
      </c>
      <c r="E103" s="4">
        <v>580.65</v>
      </c>
      <c r="F103" s="4" t="str">
        <v>1.01M</v>
      </c>
      <c r="G103" s="4" t="str">
        <v>1.10%</v>
      </c>
      <c r="H103" s="3">
        <v>45218</v>
      </c>
      <c r="I103" s="4">
        <v>585.97499999999991</v>
      </c>
      <c r="O103" s="4">
        <v>1434</v>
      </c>
    </row>
    <row r="104" spans="1:15" x14ac:dyDescent="0.25">
      <c r="A104" s="3">
        <v>45217</v>
      </c>
      <c r="B104" s="4">
        <v>583.79999999999995</v>
      </c>
      <c r="C104" s="4">
        <v>590.29999999999995</v>
      </c>
      <c r="D104" s="4">
        <v>596.54999999999995</v>
      </c>
      <c r="E104" s="4">
        <v>581.5</v>
      </c>
      <c r="F104" s="4" t="str">
        <v>880.31K</v>
      </c>
      <c r="G104" s="4" t="str">
        <v>-1.10%</v>
      </c>
      <c r="H104" s="3">
        <v>45217</v>
      </c>
      <c r="I104" s="4">
        <v>589.02499999999998</v>
      </c>
      <c r="O104" s="4">
        <v>1433</v>
      </c>
    </row>
    <row r="105" spans="1:15" x14ac:dyDescent="0.25">
      <c r="A105" s="3">
        <v>45216</v>
      </c>
      <c r="B105" s="4">
        <v>590.29999999999995</v>
      </c>
      <c r="C105" s="4">
        <v>593.29999999999995</v>
      </c>
      <c r="D105" s="4">
        <v>597.4</v>
      </c>
      <c r="E105" s="4">
        <v>588.45000000000005</v>
      </c>
      <c r="F105" s="4" t="str">
        <v>1.12M</v>
      </c>
      <c r="G105" s="4" t="str">
        <v>-0.15%</v>
      </c>
      <c r="H105" s="3">
        <v>45216</v>
      </c>
      <c r="I105" s="4">
        <v>592.92499999999995</v>
      </c>
      <c r="O105" s="4">
        <v>1432</v>
      </c>
    </row>
    <row r="106" spans="1:15" x14ac:dyDescent="0.25">
      <c r="A106" s="3">
        <v>45215</v>
      </c>
      <c r="B106" s="4">
        <v>591.20000000000005</v>
      </c>
      <c r="C106" s="4">
        <v>591</v>
      </c>
      <c r="D106" s="4">
        <v>592.1</v>
      </c>
      <c r="E106" s="4">
        <v>586</v>
      </c>
      <c r="F106" s="4" t="str">
        <v>509.13K</v>
      </c>
      <c r="G106" s="4" t="str">
        <v>-0.13%</v>
      </c>
      <c r="H106" s="3">
        <v>45215</v>
      </c>
      <c r="I106" s="4">
        <v>589.04999999999995</v>
      </c>
      <c r="O106" s="4">
        <v>1431</v>
      </c>
    </row>
    <row r="107" spans="1:15" x14ac:dyDescent="0.25">
      <c r="A107" s="3">
        <v>45212</v>
      </c>
      <c r="B107" s="4">
        <v>591.95000000000005</v>
      </c>
      <c r="C107" s="4">
        <v>588.5</v>
      </c>
      <c r="D107" s="4">
        <v>594.75</v>
      </c>
      <c r="E107" s="4">
        <v>587.5</v>
      </c>
      <c r="F107" s="4" t="str">
        <v>1.03M</v>
      </c>
      <c r="G107" s="4" t="str">
        <v>-0.34%</v>
      </c>
      <c r="H107" s="3">
        <v>45212</v>
      </c>
      <c r="I107" s="4">
        <v>591.125</v>
      </c>
      <c r="O107" s="4">
        <v>1430</v>
      </c>
    </row>
    <row r="108" spans="1:15" x14ac:dyDescent="0.25">
      <c r="A108" s="3">
        <v>45211</v>
      </c>
      <c r="B108" s="4">
        <v>593.95000000000005</v>
      </c>
      <c r="C108" s="4">
        <v>604.9</v>
      </c>
      <c r="D108" s="4">
        <v>604.9</v>
      </c>
      <c r="E108" s="4">
        <v>591.79999999999995</v>
      </c>
      <c r="F108" s="4" t="str">
        <v>1.23M</v>
      </c>
      <c r="G108" s="4" t="str">
        <v>-0.98%</v>
      </c>
      <c r="H108" s="3">
        <v>45211</v>
      </c>
      <c r="I108" s="4">
        <v>598.34999999999991</v>
      </c>
      <c r="O108" s="4">
        <v>1429</v>
      </c>
    </row>
    <row r="109" spans="1:15" x14ac:dyDescent="0.25">
      <c r="A109" s="3">
        <v>45210</v>
      </c>
      <c r="B109" s="4">
        <v>599.85</v>
      </c>
      <c r="C109" s="4">
        <v>603.29999999999995</v>
      </c>
      <c r="D109" s="4">
        <v>607</v>
      </c>
      <c r="E109" s="4">
        <v>598</v>
      </c>
      <c r="F109" s="4" t="str">
        <v>1.38M</v>
      </c>
      <c r="G109" s="4" t="str">
        <v>-0.03%</v>
      </c>
      <c r="H109" s="3">
        <v>45210</v>
      </c>
      <c r="I109" s="4">
        <v>602.5</v>
      </c>
      <c r="O109" s="4">
        <v>1428</v>
      </c>
    </row>
    <row r="110" spans="1:15" x14ac:dyDescent="0.25">
      <c r="A110" s="3">
        <v>45209</v>
      </c>
      <c r="B110" s="4">
        <v>600</v>
      </c>
      <c r="C110" s="4">
        <v>601.95000000000005</v>
      </c>
      <c r="D110" s="4">
        <v>604.95000000000005</v>
      </c>
      <c r="E110" s="4">
        <v>597.15</v>
      </c>
      <c r="F110" s="4" t="str">
        <v>852.14K</v>
      </c>
      <c r="G110" s="4" t="str">
        <v>-0.20%</v>
      </c>
      <c r="H110" s="3">
        <v>45209</v>
      </c>
      <c r="I110" s="4">
        <v>601.04999999999995</v>
      </c>
      <c r="O110" s="4">
        <v>1427</v>
      </c>
    </row>
    <row r="111" spans="1:15" x14ac:dyDescent="0.25">
      <c r="A111" s="3">
        <v>45208</v>
      </c>
      <c r="B111" s="4">
        <v>601.20000000000005</v>
      </c>
      <c r="C111" s="4">
        <v>600.04999999999995</v>
      </c>
      <c r="D111" s="4">
        <v>607.20000000000005</v>
      </c>
      <c r="E111" s="4">
        <v>595.1</v>
      </c>
      <c r="F111" s="4" t="str">
        <v>720.99K</v>
      </c>
      <c r="G111" s="4" t="str">
        <v>-0.42%</v>
      </c>
      <c r="H111" s="3">
        <v>45208</v>
      </c>
      <c r="I111" s="4">
        <v>601.15000000000009</v>
      </c>
      <c r="O111" s="4">
        <v>1426</v>
      </c>
    </row>
    <row r="112" spans="1:15" x14ac:dyDescent="0.25">
      <c r="A112" s="3">
        <v>45205</v>
      </c>
      <c r="B112" s="4">
        <v>603.75</v>
      </c>
      <c r="C112" s="4">
        <v>607.29999999999995</v>
      </c>
      <c r="D112" s="4">
        <v>610.65</v>
      </c>
      <c r="E112" s="4">
        <v>599.6</v>
      </c>
      <c r="F112" s="4" t="str">
        <v>1.15M</v>
      </c>
      <c r="G112" s="4" t="str">
        <v>-0.21%</v>
      </c>
      <c r="H112" s="3">
        <v>45205</v>
      </c>
      <c r="I112" s="4">
        <v>605.125</v>
      </c>
      <c r="O112" s="4">
        <v>1425</v>
      </c>
    </row>
    <row r="113" spans="1:15" x14ac:dyDescent="0.25">
      <c r="A113" s="3">
        <v>45204</v>
      </c>
      <c r="B113" s="4">
        <v>605.04999999999995</v>
      </c>
      <c r="C113" s="4">
        <v>605.04999999999995</v>
      </c>
      <c r="D113" s="4">
        <v>613.20000000000005</v>
      </c>
      <c r="E113" s="4">
        <v>600.5</v>
      </c>
      <c r="F113" s="4" t="str">
        <v>1.29M</v>
      </c>
      <c r="G113" s="4" t="str">
        <v>0.27%</v>
      </c>
      <c r="H113" s="3">
        <v>45204</v>
      </c>
      <c r="I113" s="4">
        <v>606.85</v>
      </c>
      <c r="O113" s="4">
        <v>1424</v>
      </c>
    </row>
    <row r="114" spans="1:15" x14ac:dyDescent="0.25">
      <c r="A114" s="3">
        <v>45203</v>
      </c>
      <c r="B114" s="4">
        <v>603.45000000000005</v>
      </c>
      <c r="C114" s="4">
        <v>611</v>
      </c>
      <c r="D114" s="4">
        <v>613.6</v>
      </c>
      <c r="E114" s="4">
        <v>597.85</v>
      </c>
      <c r="F114" s="4" t="str">
        <v>2.25M</v>
      </c>
      <c r="G114" s="4" t="str">
        <v>-1.24%</v>
      </c>
      <c r="H114" s="3">
        <v>45203</v>
      </c>
      <c r="I114" s="4">
        <v>605.72500000000002</v>
      </c>
      <c r="O114" s="4">
        <v>1423</v>
      </c>
    </row>
    <row r="115" spans="1:15" x14ac:dyDescent="0.25">
      <c r="A115" s="3">
        <v>45202</v>
      </c>
      <c r="B115" s="4">
        <v>611.04999999999995</v>
      </c>
      <c r="C115" s="4">
        <v>616.4</v>
      </c>
      <c r="D115" s="4">
        <v>618</v>
      </c>
      <c r="E115" s="4">
        <v>608.1</v>
      </c>
      <c r="F115" s="4" t="str">
        <v>1.22M</v>
      </c>
      <c r="G115" s="4" t="str">
        <v>-0.64%</v>
      </c>
      <c r="H115" s="3">
        <v>45202</v>
      </c>
      <c r="I115" s="4">
        <v>613.04999999999995</v>
      </c>
      <c r="O115" s="4">
        <v>1422</v>
      </c>
    </row>
    <row r="116" spans="1:15" x14ac:dyDescent="0.25">
      <c r="A116" s="3">
        <v>45198</v>
      </c>
      <c r="B116" s="4">
        <v>615</v>
      </c>
      <c r="C116" s="4">
        <v>604</v>
      </c>
      <c r="D116" s="4">
        <v>621.95000000000005</v>
      </c>
      <c r="E116" s="4">
        <v>601.5</v>
      </c>
      <c r="F116" s="4" t="str">
        <v>1.13M</v>
      </c>
      <c r="G116" s="4" t="str">
        <v>2.03%</v>
      </c>
      <c r="H116" s="3">
        <v>45198</v>
      </c>
      <c r="I116" s="4">
        <v>611.72500000000002</v>
      </c>
      <c r="O116" s="4">
        <v>1421</v>
      </c>
    </row>
    <row r="117" spans="1:15" x14ac:dyDescent="0.25">
      <c r="A117" s="3">
        <v>45197</v>
      </c>
      <c r="B117" s="4">
        <v>602.75</v>
      </c>
      <c r="C117" s="4">
        <v>609.95000000000005</v>
      </c>
      <c r="D117" s="4">
        <v>609.95000000000005</v>
      </c>
      <c r="E117" s="4">
        <v>599.1</v>
      </c>
      <c r="F117" s="4" t="str">
        <v>5.30M</v>
      </c>
      <c r="G117" s="4" t="str">
        <v>-0.40%</v>
      </c>
      <c r="H117" s="3">
        <v>45197</v>
      </c>
      <c r="I117" s="4">
        <v>604.52500000000009</v>
      </c>
      <c r="O117" s="4">
        <v>1420</v>
      </c>
    </row>
    <row r="118" spans="1:15" x14ac:dyDescent="0.25">
      <c r="A118" s="3">
        <v>45196</v>
      </c>
      <c r="B118" s="4">
        <v>605.15</v>
      </c>
      <c r="C118" s="4">
        <v>599.15</v>
      </c>
      <c r="D118" s="4">
        <v>607.9</v>
      </c>
      <c r="E118" s="4">
        <v>596.25</v>
      </c>
      <c r="F118" s="4" t="str">
        <v>1.30M</v>
      </c>
      <c r="G118" s="4" t="str">
        <v>1.19%</v>
      </c>
      <c r="H118" s="3">
        <v>45196</v>
      </c>
      <c r="I118" s="4">
        <v>602.07500000000005</v>
      </c>
      <c r="O118" s="4">
        <v>1419</v>
      </c>
    </row>
    <row r="119" spans="1:15" x14ac:dyDescent="0.25">
      <c r="A119" s="3">
        <v>45195</v>
      </c>
      <c r="B119" s="4">
        <v>598.04999999999995</v>
      </c>
      <c r="C119" s="4">
        <v>603.45000000000005</v>
      </c>
      <c r="D119" s="4">
        <v>605.95000000000005</v>
      </c>
      <c r="E119" s="4">
        <v>596.5</v>
      </c>
      <c r="F119" s="4" t="str">
        <v>963.98K</v>
      </c>
      <c r="G119" s="4" t="str">
        <v>-0.88%</v>
      </c>
      <c r="H119" s="3">
        <v>45195</v>
      </c>
      <c r="I119" s="4">
        <v>601.22500000000002</v>
      </c>
      <c r="O119" s="4">
        <v>1418</v>
      </c>
    </row>
    <row r="120" spans="1:15" x14ac:dyDescent="0.25">
      <c r="A120" s="3">
        <v>45194</v>
      </c>
      <c r="B120" s="4">
        <v>603.35</v>
      </c>
      <c r="C120" s="4">
        <v>591.1</v>
      </c>
      <c r="D120" s="4">
        <v>606</v>
      </c>
      <c r="E120" s="4">
        <v>589.15</v>
      </c>
      <c r="F120" s="4" t="str">
        <v>1.43M</v>
      </c>
      <c r="G120" s="4" t="str">
        <v>1.30%</v>
      </c>
      <c r="H120" s="3">
        <v>45194</v>
      </c>
      <c r="I120" s="4">
        <v>597.57500000000005</v>
      </c>
      <c r="O120" s="4">
        <v>1417</v>
      </c>
    </row>
    <row r="121" spans="1:15" x14ac:dyDescent="0.25">
      <c r="A121" s="3">
        <v>45191</v>
      </c>
      <c r="B121" s="4">
        <v>595.6</v>
      </c>
      <c r="C121" s="4">
        <v>616</v>
      </c>
      <c r="D121" s="4">
        <v>618.79999999999995</v>
      </c>
      <c r="E121" s="4">
        <v>594.29999999999995</v>
      </c>
      <c r="F121" s="4" t="str">
        <v>1.58M</v>
      </c>
      <c r="G121" s="4" t="str">
        <v>-3.26%</v>
      </c>
      <c r="H121" s="3">
        <v>45191</v>
      </c>
      <c r="I121" s="4">
        <v>606.54999999999995</v>
      </c>
      <c r="O121" s="4">
        <v>1416</v>
      </c>
    </row>
    <row r="122" spans="1:15" x14ac:dyDescent="0.25">
      <c r="A122" s="3">
        <v>45190</v>
      </c>
      <c r="B122" s="4">
        <v>615.65</v>
      </c>
      <c r="C122" s="4">
        <v>628.5</v>
      </c>
      <c r="D122" s="4">
        <v>635.29999999999995</v>
      </c>
      <c r="E122" s="4">
        <v>613.85</v>
      </c>
      <c r="F122" s="4" t="str">
        <v>1.39M</v>
      </c>
      <c r="G122" s="4" t="str">
        <v>-1.46%</v>
      </c>
      <c r="H122" s="3">
        <v>45190</v>
      </c>
      <c r="I122" s="4">
        <v>624.57500000000005</v>
      </c>
      <c r="O122" s="4">
        <v>1415</v>
      </c>
    </row>
    <row r="123" spans="1:15" x14ac:dyDescent="0.25">
      <c r="A123" s="3">
        <v>45189</v>
      </c>
      <c r="B123" s="4">
        <v>624.75</v>
      </c>
      <c r="C123" s="4">
        <v>645</v>
      </c>
      <c r="D123" s="4">
        <v>646.95000000000005</v>
      </c>
      <c r="E123" s="4">
        <v>623.6</v>
      </c>
      <c r="F123" s="4" t="str">
        <v>1.23M</v>
      </c>
      <c r="G123" s="4" t="str">
        <v>-2.90%</v>
      </c>
      <c r="H123" s="3">
        <v>45189</v>
      </c>
      <c r="I123" s="4">
        <v>635.27500000000009</v>
      </c>
      <c r="O123" s="4">
        <v>1414</v>
      </c>
    </row>
    <row r="124" spans="1:15" x14ac:dyDescent="0.25">
      <c r="A124" s="3">
        <v>45187</v>
      </c>
      <c r="B124" s="4">
        <v>643.4</v>
      </c>
      <c r="C124" s="4">
        <v>645.35</v>
      </c>
      <c r="D124" s="4">
        <v>653.9</v>
      </c>
      <c r="E124" s="4">
        <v>640.6</v>
      </c>
      <c r="F124" s="4" t="str">
        <v>1.03M</v>
      </c>
      <c r="G124" s="4" t="str">
        <v>-0.30%</v>
      </c>
      <c r="H124" s="3">
        <v>45187</v>
      </c>
      <c r="I124" s="4">
        <v>647.25</v>
      </c>
      <c r="O124" s="4">
        <v>1413</v>
      </c>
    </row>
    <row r="125" spans="1:15" x14ac:dyDescent="0.25">
      <c r="A125" s="3">
        <v>45184</v>
      </c>
      <c r="B125" s="4">
        <v>645.35</v>
      </c>
      <c r="C125" s="4">
        <v>642.95000000000005</v>
      </c>
      <c r="D125" s="4">
        <v>648.95000000000005</v>
      </c>
      <c r="E125" s="4">
        <v>640.35</v>
      </c>
      <c r="F125" s="4" t="str">
        <v>1.44M</v>
      </c>
      <c r="G125" s="4" t="str">
        <v>0.85%</v>
      </c>
      <c r="H125" s="3">
        <v>45184</v>
      </c>
      <c r="I125" s="4">
        <v>644.65000000000009</v>
      </c>
      <c r="O125" s="4">
        <v>1412</v>
      </c>
    </row>
    <row r="126" spans="1:15" x14ac:dyDescent="0.25">
      <c r="A126" s="3">
        <v>45183</v>
      </c>
      <c r="B126" s="4">
        <v>639.9</v>
      </c>
      <c r="C126" s="4">
        <v>648.29999999999995</v>
      </c>
      <c r="D126" s="4">
        <v>648.5</v>
      </c>
      <c r="E126" s="4">
        <v>637.25</v>
      </c>
      <c r="F126" s="4" t="str">
        <v>780.28K</v>
      </c>
      <c r="G126" s="4" t="str">
        <v>-0.52%</v>
      </c>
      <c r="H126" s="3">
        <v>45183</v>
      </c>
      <c r="I126" s="4">
        <v>642.875</v>
      </c>
      <c r="O126" s="4">
        <v>1411</v>
      </c>
    </row>
    <row r="127" spans="1:15" x14ac:dyDescent="0.25">
      <c r="A127" s="3">
        <v>45182</v>
      </c>
      <c r="B127" s="4">
        <v>643.25</v>
      </c>
      <c r="C127" s="4">
        <v>625.15</v>
      </c>
      <c r="D127" s="4">
        <v>644.45000000000005</v>
      </c>
      <c r="E127" s="4">
        <v>625.15</v>
      </c>
      <c r="F127" s="4" t="str">
        <v>1.17M</v>
      </c>
      <c r="G127" s="4" t="str">
        <v>2.47%</v>
      </c>
      <c r="H127" s="3">
        <v>45182</v>
      </c>
      <c r="I127" s="4">
        <v>634.79999999999995</v>
      </c>
      <c r="O127" s="4">
        <v>1410</v>
      </c>
    </row>
    <row r="128" spans="1:15" x14ac:dyDescent="0.25">
      <c r="A128" s="3">
        <v>45181</v>
      </c>
      <c r="B128" s="4">
        <v>627.75</v>
      </c>
      <c r="C128" s="4">
        <v>629.75</v>
      </c>
      <c r="D128" s="4">
        <v>643</v>
      </c>
      <c r="E128" s="4">
        <v>623.79999999999995</v>
      </c>
      <c r="F128" s="4" t="str">
        <v>879.02K</v>
      </c>
      <c r="G128" s="4" t="str">
        <v>-0.13%</v>
      </c>
      <c r="H128" s="3">
        <v>45181</v>
      </c>
      <c r="I128" s="4">
        <v>633.4</v>
      </c>
      <c r="O128" s="4">
        <v>1409</v>
      </c>
    </row>
    <row r="129" spans="1:15" x14ac:dyDescent="0.25">
      <c r="A129" s="3">
        <v>45180</v>
      </c>
      <c r="B129" s="4">
        <v>628.54999999999995</v>
      </c>
      <c r="C129" s="4">
        <v>632</v>
      </c>
      <c r="D129" s="4">
        <v>634.9</v>
      </c>
      <c r="E129" s="4">
        <v>626.4</v>
      </c>
      <c r="F129" s="4" t="str">
        <v>701.38K</v>
      </c>
      <c r="G129" s="4" t="str">
        <v>0.06%</v>
      </c>
      <c r="H129" s="3">
        <v>45180</v>
      </c>
      <c r="I129" s="4">
        <v>630.65</v>
      </c>
      <c r="O129" s="4">
        <v>1408</v>
      </c>
    </row>
    <row r="130" spans="1:15" x14ac:dyDescent="0.25">
      <c r="A130" s="3">
        <v>45177</v>
      </c>
      <c r="B130" s="4">
        <v>628.15</v>
      </c>
      <c r="C130" s="4">
        <v>635.70000000000005</v>
      </c>
      <c r="D130" s="4">
        <v>635.75</v>
      </c>
      <c r="E130" s="4">
        <v>622.29999999999995</v>
      </c>
      <c r="F130" s="4" t="str">
        <v>544.57K</v>
      </c>
      <c r="G130" s="4" t="str">
        <v>-0.77%</v>
      </c>
      <c r="H130" s="3">
        <v>45177</v>
      </c>
      <c r="I130" s="4">
        <v>629.02499999999998</v>
      </c>
      <c r="O130" s="4">
        <v>1407</v>
      </c>
    </row>
    <row r="131" spans="1:15" x14ac:dyDescent="0.25">
      <c r="A131" s="3">
        <v>45176</v>
      </c>
      <c r="B131" s="4">
        <v>633</v>
      </c>
      <c r="C131" s="4">
        <v>639.75</v>
      </c>
      <c r="D131" s="4">
        <v>643.70000000000005</v>
      </c>
      <c r="E131" s="4">
        <v>631.25</v>
      </c>
      <c r="F131" s="4" t="str">
        <v>990.93K</v>
      </c>
      <c r="G131" s="4" t="str">
        <v>-0.53%</v>
      </c>
      <c r="H131" s="3">
        <v>45176</v>
      </c>
      <c r="I131" s="4">
        <v>637.47500000000002</v>
      </c>
      <c r="O131" s="4">
        <v>1406</v>
      </c>
    </row>
    <row r="132" spans="1:15" x14ac:dyDescent="0.25">
      <c r="A132" s="3">
        <v>45175</v>
      </c>
      <c r="B132" s="4">
        <v>636.4</v>
      </c>
      <c r="C132" s="4">
        <v>638</v>
      </c>
      <c r="D132" s="4">
        <v>643.95000000000005</v>
      </c>
      <c r="E132" s="4">
        <v>634.4</v>
      </c>
      <c r="F132" s="4" t="str">
        <v>943.63K</v>
      </c>
      <c r="G132" s="4" t="str">
        <v>0.37%</v>
      </c>
      <c r="H132" s="3">
        <v>45175</v>
      </c>
      <c r="I132" s="4">
        <v>639.17499999999995</v>
      </c>
      <c r="O132" s="4">
        <v>1405</v>
      </c>
    </row>
    <row r="133" spans="1:15" x14ac:dyDescent="0.25">
      <c r="A133" s="3">
        <v>45174</v>
      </c>
      <c r="B133" s="4">
        <v>634.04999999999995</v>
      </c>
      <c r="C133" s="4">
        <v>623.79999999999995</v>
      </c>
      <c r="D133" s="4">
        <v>636.29999999999995</v>
      </c>
      <c r="E133" s="4">
        <v>622.85</v>
      </c>
      <c r="F133" s="4" t="str">
        <v>1.14M</v>
      </c>
      <c r="G133" s="4" t="str">
        <v>2.18%</v>
      </c>
      <c r="H133" s="3">
        <v>45174</v>
      </c>
      <c r="I133" s="4">
        <v>629.57500000000005</v>
      </c>
      <c r="O133" s="4">
        <v>1404</v>
      </c>
    </row>
    <row r="134" spans="1:15" x14ac:dyDescent="0.25">
      <c r="A134" s="3">
        <v>45173</v>
      </c>
      <c r="B134" s="4">
        <v>620.5</v>
      </c>
      <c r="C134" s="4">
        <v>615.95000000000005</v>
      </c>
      <c r="D134" s="4">
        <v>625.54999999999995</v>
      </c>
      <c r="E134" s="4">
        <v>615.04999999999995</v>
      </c>
      <c r="F134" s="4" t="str">
        <v>1.20M</v>
      </c>
      <c r="G134" s="4" t="str">
        <v>1.07%</v>
      </c>
      <c r="H134" s="3">
        <v>45173</v>
      </c>
      <c r="I134" s="4">
        <v>620.29999999999995</v>
      </c>
      <c r="O134" s="4">
        <v>1403</v>
      </c>
    </row>
    <row r="135" spans="1:15" x14ac:dyDescent="0.25">
      <c r="A135" s="3">
        <v>45170</v>
      </c>
      <c r="B135" s="4">
        <v>613.95000000000005</v>
      </c>
      <c r="C135" s="4">
        <v>625.85</v>
      </c>
      <c r="D135" s="4">
        <v>629.1</v>
      </c>
      <c r="E135" s="4">
        <v>612.6</v>
      </c>
      <c r="F135" s="4" t="str">
        <v>1.01M</v>
      </c>
      <c r="G135" s="4" t="str">
        <v>-1.90%</v>
      </c>
      <c r="H135" s="3">
        <v>45170</v>
      </c>
      <c r="I135" s="4">
        <v>620.85</v>
      </c>
      <c r="O135" s="4">
        <v>1402</v>
      </c>
    </row>
    <row r="136" spans="1:15" x14ac:dyDescent="0.25">
      <c r="A136" s="3">
        <v>45169</v>
      </c>
      <c r="B136" s="4">
        <v>625.85</v>
      </c>
      <c r="C136" s="4">
        <v>632.1</v>
      </c>
      <c r="D136" s="4">
        <v>633.9</v>
      </c>
      <c r="E136" s="4">
        <v>622</v>
      </c>
      <c r="F136" s="4" t="str">
        <v>1.09M</v>
      </c>
      <c r="G136" s="4" t="str">
        <v>-0.36%</v>
      </c>
      <c r="H136" s="3">
        <v>45169</v>
      </c>
      <c r="I136" s="4">
        <v>627.95000000000005</v>
      </c>
      <c r="O136" s="4">
        <v>1401</v>
      </c>
    </row>
    <row r="137" spans="1:15" x14ac:dyDescent="0.25">
      <c r="A137" s="3">
        <v>45168</v>
      </c>
      <c r="B137" s="4">
        <v>628.1</v>
      </c>
      <c r="C137" s="4">
        <v>633.54999999999995</v>
      </c>
      <c r="D137" s="4">
        <v>637.79999999999995</v>
      </c>
      <c r="E137" s="4">
        <v>624.79999999999995</v>
      </c>
      <c r="F137" s="4" t="str">
        <v>609.28K</v>
      </c>
      <c r="G137" s="4" t="str">
        <v>-0.61%</v>
      </c>
      <c r="H137" s="3">
        <v>45168</v>
      </c>
      <c r="I137" s="4">
        <v>631.29999999999995</v>
      </c>
      <c r="O137" s="4">
        <v>1400</v>
      </c>
    </row>
    <row r="138" spans="1:15" x14ac:dyDescent="0.25">
      <c r="A138" s="3">
        <v>45167</v>
      </c>
      <c r="B138" s="4">
        <v>631.95000000000005</v>
      </c>
      <c r="C138" s="4">
        <v>636</v>
      </c>
      <c r="D138" s="4">
        <v>641</v>
      </c>
      <c r="E138" s="4">
        <v>629.5</v>
      </c>
      <c r="F138" s="4" t="str">
        <v>1.04M</v>
      </c>
      <c r="G138" s="4" t="str">
        <v>-0.37%</v>
      </c>
      <c r="H138" s="3">
        <v>45167</v>
      </c>
      <c r="I138" s="4">
        <v>635.25</v>
      </c>
      <c r="O138" s="4">
        <v>1399</v>
      </c>
    </row>
    <row r="139" spans="1:15" x14ac:dyDescent="0.25">
      <c r="A139" s="3">
        <v>45166</v>
      </c>
      <c r="B139" s="4">
        <v>634.29999999999995</v>
      </c>
      <c r="C139" s="4">
        <v>630.95000000000005</v>
      </c>
      <c r="D139" s="4">
        <v>639.25</v>
      </c>
      <c r="E139" s="4">
        <v>627</v>
      </c>
      <c r="F139" s="4" t="str">
        <v>1.13M</v>
      </c>
      <c r="G139" s="4" t="str">
        <v>0.79%</v>
      </c>
      <c r="H139" s="3">
        <v>45166</v>
      </c>
      <c r="I139" s="4">
        <v>633.125</v>
      </c>
      <c r="O139" s="4">
        <v>1398</v>
      </c>
    </row>
    <row r="140" spans="1:15" x14ac:dyDescent="0.25">
      <c r="A140" s="3">
        <v>45163</v>
      </c>
      <c r="B140" s="4">
        <v>629.29999999999995</v>
      </c>
      <c r="C140" s="4">
        <v>640.85</v>
      </c>
      <c r="D140" s="4">
        <v>644.20000000000005</v>
      </c>
      <c r="E140" s="4">
        <v>627.5</v>
      </c>
      <c r="F140" s="4" t="str">
        <v>801.02K</v>
      </c>
      <c r="G140" s="4" t="str">
        <v>-1.80%</v>
      </c>
      <c r="H140" s="3">
        <v>45163</v>
      </c>
      <c r="I140" s="4">
        <v>635.85</v>
      </c>
      <c r="O140" s="4">
        <v>1397</v>
      </c>
    </row>
    <row r="141" spans="1:15" x14ac:dyDescent="0.25">
      <c r="A141" s="3">
        <v>45162</v>
      </c>
      <c r="B141" s="4">
        <v>640.85</v>
      </c>
      <c r="C141" s="4">
        <v>648.1</v>
      </c>
      <c r="D141" s="4">
        <v>652.5</v>
      </c>
      <c r="E141" s="4">
        <v>639</v>
      </c>
      <c r="F141" s="4" t="str">
        <v>840.33K</v>
      </c>
      <c r="G141" s="4" t="str">
        <v>-0.70%</v>
      </c>
      <c r="H141" s="3">
        <v>45162</v>
      </c>
      <c r="I141" s="4">
        <v>645.75</v>
      </c>
      <c r="O141" s="4">
        <v>1396</v>
      </c>
    </row>
    <row r="142" spans="1:15" x14ac:dyDescent="0.25">
      <c r="A142" s="3">
        <v>45161</v>
      </c>
      <c r="B142" s="4">
        <v>645.35</v>
      </c>
      <c r="C142" s="4">
        <v>652.9</v>
      </c>
      <c r="D142" s="4">
        <v>656.45</v>
      </c>
      <c r="E142" s="4">
        <v>641.85</v>
      </c>
      <c r="F142" s="4" t="str">
        <v>730.04K</v>
      </c>
      <c r="G142" s="4" t="str">
        <v>-0.85%</v>
      </c>
      <c r="H142" s="3">
        <v>45161</v>
      </c>
      <c r="I142" s="4">
        <v>649.15000000000009</v>
      </c>
      <c r="O142" s="4">
        <v>1395</v>
      </c>
    </row>
    <row r="143" spans="1:15" x14ac:dyDescent="0.25">
      <c r="A143" s="3">
        <v>45160</v>
      </c>
      <c r="B143" s="4">
        <v>650.9</v>
      </c>
      <c r="C143" s="4">
        <v>653.45000000000005</v>
      </c>
      <c r="D143" s="4">
        <v>660.85</v>
      </c>
      <c r="E143" s="4">
        <v>647.79999999999995</v>
      </c>
      <c r="F143" s="4" t="str">
        <v>899.22K</v>
      </c>
      <c r="G143" s="4" t="str">
        <v>-0.34%</v>
      </c>
      <c r="H143" s="3">
        <v>45160</v>
      </c>
      <c r="I143" s="4">
        <v>654.32500000000005</v>
      </c>
      <c r="O143" s="4">
        <v>1394</v>
      </c>
    </row>
    <row r="144" spans="1:15" x14ac:dyDescent="0.25">
      <c r="A144" s="3">
        <v>45159</v>
      </c>
      <c r="B144" s="4">
        <v>653.1</v>
      </c>
      <c r="C144" s="4">
        <v>649.95000000000005</v>
      </c>
      <c r="D144" s="4">
        <v>656.7</v>
      </c>
      <c r="E144" s="4">
        <v>645.1</v>
      </c>
      <c r="F144" s="4" t="str">
        <v>1.33M</v>
      </c>
      <c r="G144" s="4" t="str">
        <v>0.81%</v>
      </c>
      <c r="H144" s="3">
        <v>45159</v>
      </c>
      <c r="I144" s="4">
        <v>650.90000000000009</v>
      </c>
      <c r="O144" s="4">
        <v>1393</v>
      </c>
    </row>
    <row r="145" spans="1:15" x14ac:dyDescent="0.25">
      <c r="A145" s="3">
        <v>45156</v>
      </c>
      <c r="B145" s="4">
        <v>647.85</v>
      </c>
      <c r="C145" s="4">
        <v>650.9</v>
      </c>
      <c r="D145" s="4">
        <v>659</v>
      </c>
      <c r="E145" s="4">
        <v>643.85</v>
      </c>
      <c r="F145" s="4" t="str">
        <v>2.03M</v>
      </c>
      <c r="G145" s="4" t="str">
        <v>0.47%</v>
      </c>
      <c r="H145" s="3">
        <v>45156</v>
      </c>
      <c r="I145" s="4">
        <v>651.42499999999995</v>
      </c>
      <c r="O145" s="4">
        <v>1392</v>
      </c>
    </row>
    <row r="146" spans="1:15" x14ac:dyDescent="0.25">
      <c r="A146" s="3">
        <v>45155</v>
      </c>
      <c r="B146" s="4">
        <v>644.85</v>
      </c>
      <c r="C146" s="4">
        <v>658</v>
      </c>
      <c r="D146" s="4">
        <v>659.65</v>
      </c>
      <c r="E146" s="4">
        <v>643</v>
      </c>
      <c r="F146" s="4" t="str">
        <v>816.03K</v>
      </c>
      <c r="G146" s="4" t="str">
        <v>-1.91%</v>
      </c>
      <c r="H146" s="3">
        <v>45155</v>
      </c>
      <c r="I146" s="4">
        <v>651.32500000000005</v>
      </c>
      <c r="O146" s="4">
        <v>1391</v>
      </c>
    </row>
    <row r="147" spans="1:15" x14ac:dyDescent="0.25">
      <c r="A147" s="3">
        <v>45154</v>
      </c>
      <c r="B147" s="4">
        <v>657.4</v>
      </c>
      <c r="C147" s="4">
        <v>640</v>
      </c>
      <c r="D147" s="4">
        <v>659.8</v>
      </c>
      <c r="E147" s="4">
        <v>637.6</v>
      </c>
      <c r="F147" s="4" t="str">
        <v>1.81M</v>
      </c>
      <c r="G147" s="4" t="str">
        <v>2.45%</v>
      </c>
      <c r="H147" s="3">
        <v>45154</v>
      </c>
      <c r="I147" s="4">
        <v>648.70000000000005</v>
      </c>
      <c r="O147" s="4">
        <v>1390</v>
      </c>
    </row>
    <row r="148" spans="1:15" x14ac:dyDescent="0.25">
      <c r="A148" s="3">
        <v>45152</v>
      </c>
      <c r="B148" s="4">
        <v>641.65</v>
      </c>
      <c r="C148" s="4">
        <v>656.9</v>
      </c>
      <c r="D148" s="4">
        <v>657.1</v>
      </c>
      <c r="E148" s="4">
        <v>636.6</v>
      </c>
      <c r="F148" s="4" t="str">
        <v>1.31M</v>
      </c>
      <c r="G148" s="4" t="str">
        <v>-1.43%</v>
      </c>
      <c r="H148" s="3">
        <v>45152</v>
      </c>
      <c r="I148" s="4">
        <v>646.85</v>
      </c>
      <c r="O148" s="4">
        <v>1389</v>
      </c>
    </row>
    <row r="149" spans="1:15" x14ac:dyDescent="0.25">
      <c r="A149" s="3">
        <v>45149</v>
      </c>
      <c r="B149" s="4">
        <v>650.95000000000005</v>
      </c>
      <c r="C149" s="4">
        <v>661.8</v>
      </c>
      <c r="D149" s="4">
        <v>666.6</v>
      </c>
      <c r="E149" s="4">
        <v>644.95000000000005</v>
      </c>
      <c r="F149" s="4" t="str">
        <v>3.09M</v>
      </c>
      <c r="G149" s="4" t="str">
        <v>-1.05%</v>
      </c>
      <c r="H149" s="3">
        <v>45149</v>
      </c>
      <c r="I149" s="4">
        <v>655.77500000000009</v>
      </c>
      <c r="O149" s="4">
        <v>1388</v>
      </c>
    </row>
    <row r="150" spans="1:15" x14ac:dyDescent="0.25">
      <c r="A150" s="3">
        <v>45148</v>
      </c>
      <c r="B150" s="4">
        <v>657.85</v>
      </c>
      <c r="C150" s="4">
        <v>661.55</v>
      </c>
      <c r="D150" s="4">
        <v>668.75</v>
      </c>
      <c r="E150" s="4">
        <v>653.25</v>
      </c>
      <c r="F150" s="4" t="str">
        <v>1.31M</v>
      </c>
      <c r="G150" s="4" t="str">
        <v>-0.56%</v>
      </c>
      <c r="H150" s="3">
        <v>45148</v>
      </c>
      <c r="I150" s="4">
        <v>661</v>
      </c>
      <c r="O150" s="4">
        <v>1387</v>
      </c>
    </row>
    <row r="151" spans="1:15" x14ac:dyDescent="0.25">
      <c r="A151" s="3">
        <v>45147</v>
      </c>
      <c r="B151" s="4">
        <v>661.55</v>
      </c>
      <c r="C151" s="4">
        <v>657.5</v>
      </c>
      <c r="D151" s="4">
        <v>664.75</v>
      </c>
      <c r="E151" s="4">
        <v>654.6</v>
      </c>
      <c r="F151" s="4" t="str">
        <v>1.44M</v>
      </c>
      <c r="G151" s="4" t="str">
        <v>0.95%</v>
      </c>
      <c r="H151" s="3">
        <v>45147</v>
      </c>
      <c r="I151" s="4">
        <v>659.67499999999995</v>
      </c>
      <c r="O151" s="4">
        <v>1386</v>
      </c>
    </row>
    <row r="152" spans="1:15" x14ac:dyDescent="0.25">
      <c r="A152" s="3">
        <v>45146</v>
      </c>
      <c r="B152" s="4">
        <v>655.35</v>
      </c>
      <c r="C152" s="4">
        <v>658.75</v>
      </c>
      <c r="D152" s="4">
        <v>663.3</v>
      </c>
      <c r="E152" s="4">
        <v>649.65</v>
      </c>
      <c r="F152" s="4" t="str">
        <v>1.21M</v>
      </c>
      <c r="G152" s="4" t="str">
        <v>0.02%</v>
      </c>
      <c r="H152" s="3">
        <v>45146</v>
      </c>
      <c r="I152" s="4">
        <v>656.47499999999991</v>
      </c>
      <c r="O152" s="4">
        <v>1385</v>
      </c>
    </row>
    <row r="153" spans="1:15" x14ac:dyDescent="0.25">
      <c r="A153" s="3">
        <v>45145</v>
      </c>
      <c r="B153" s="4">
        <v>655.20000000000005</v>
      </c>
      <c r="C153" s="4">
        <v>650</v>
      </c>
      <c r="D153" s="4">
        <v>665</v>
      </c>
      <c r="E153" s="4">
        <v>649.45000000000005</v>
      </c>
      <c r="F153" s="4" t="str">
        <v>1.16M</v>
      </c>
      <c r="G153" s="4" t="str">
        <v>0.84%</v>
      </c>
      <c r="H153" s="3">
        <v>45145</v>
      </c>
      <c r="I153" s="4">
        <v>657.22500000000002</v>
      </c>
      <c r="O153" s="4">
        <v>1384</v>
      </c>
    </row>
    <row r="154" spans="1:15" x14ac:dyDescent="0.25">
      <c r="A154" s="3">
        <v>45142</v>
      </c>
      <c r="B154" s="4">
        <v>649.75</v>
      </c>
      <c r="C154" s="4">
        <v>648.4</v>
      </c>
      <c r="D154" s="4">
        <v>655.6</v>
      </c>
      <c r="E154" s="4">
        <v>642.45000000000005</v>
      </c>
      <c r="F154" s="4" t="str">
        <v>1.32M</v>
      </c>
      <c r="G154" s="4" t="str">
        <v>1.52%</v>
      </c>
      <c r="H154" s="3">
        <v>45142</v>
      </c>
      <c r="I154" s="4">
        <v>649.02500000000009</v>
      </c>
      <c r="O154" s="4">
        <v>1383</v>
      </c>
    </row>
    <row r="155" spans="1:15" x14ac:dyDescent="0.25">
      <c r="A155" s="3">
        <v>45141</v>
      </c>
      <c r="B155" s="4">
        <v>640</v>
      </c>
      <c r="C155" s="4">
        <v>625.04999999999995</v>
      </c>
      <c r="D155" s="4">
        <v>651.35</v>
      </c>
      <c r="E155" s="4">
        <v>625.04999999999995</v>
      </c>
      <c r="F155" s="4" t="str">
        <v>1.43M</v>
      </c>
      <c r="G155" s="4" t="str">
        <v>1.81%</v>
      </c>
      <c r="H155" s="3">
        <v>45141</v>
      </c>
      <c r="I155" s="4">
        <v>638.20000000000005</v>
      </c>
      <c r="O155" s="4">
        <v>1382</v>
      </c>
    </row>
    <row r="156" spans="1:15" x14ac:dyDescent="0.25">
      <c r="A156" s="3">
        <v>45140</v>
      </c>
      <c r="B156" s="4">
        <v>628.6</v>
      </c>
      <c r="C156" s="4">
        <v>633.95000000000005</v>
      </c>
      <c r="D156" s="4">
        <v>635</v>
      </c>
      <c r="E156" s="4">
        <v>622</v>
      </c>
      <c r="F156" s="4" t="str">
        <v>855.46K</v>
      </c>
      <c r="G156" s="4" t="str">
        <v>-0.84%</v>
      </c>
      <c r="H156" s="3">
        <v>45140</v>
      </c>
      <c r="I156" s="4">
        <v>628.5</v>
      </c>
      <c r="O156" s="4">
        <v>1381</v>
      </c>
    </row>
    <row r="157" spans="1:15" x14ac:dyDescent="0.25">
      <c r="A157" s="3">
        <v>45139</v>
      </c>
      <c r="B157" s="4">
        <v>633.9</v>
      </c>
      <c r="C157" s="4">
        <v>635</v>
      </c>
      <c r="D157" s="4">
        <v>641.9</v>
      </c>
      <c r="E157" s="4">
        <v>629.29999999999995</v>
      </c>
      <c r="F157" s="4" t="str">
        <v>1.16M</v>
      </c>
      <c r="G157" s="4" t="str">
        <v>0.26%</v>
      </c>
      <c r="H157" s="3">
        <v>45139</v>
      </c>
      <c r="I157" s="4">
        <v>635.59999999999991</v>
      </c>
      <c r="O157" s="4">
        <v>1380</v>
      </c>
    </row>
    <row r="158" spans="1:15" x14ac:dyDescent="0.25">
      <c r="A158" s="3">
        <v>45138</v>
      </c>
      <c r="B158" s="4">
        <v>632.25</v>
      </c>
      <c r="C158" s="4">
        <v>640</v>
      </c>
      <c r="D158" s="4">
        <v>643.95000000000005</v>
      </c>
      <c r="E158" s="4">
        <v>626.85</v>
      </c>
      <c r="F158" s="4" t="str">
        <v>833.19K</v>
      </c>
      <c r="G158" s="4" t="str">
        <v>-1.29%</v>
      </c>
      <c r="H158" s="3">
        <v>45138</v>
      </c>
      <c r="I158" s="4">
        <v>635.40000000000009</v>
      </c>
      <c r="O158" s="4">
        <v>1379</v>
      </c>
    </row>
    <row r="159" spans="1:15" x14ac:dyDescent="0.25">
      <c r="A159" s="3">
        <v>45135</v>
      </c>
      <c r="B159" s="4">
        <v>640.5</v>
      </c>
      <c r="C159" s="4">
        <v>645.20000000000005</v>
      </c>
      <c r="D159" s="4">
        <v>646.75</v>
      </c>
      <c r="E159" s="4">
        <v>637.79999999999995</v>
      </c>
      <c r="F159" s="4" t="str">
        <v>570.66K</v>
      </c>
      <c r="G159" s="4" t="str">
        <v>-1.39%</v>
      </c>
      <c r="H159" s="3">
        <v>45135</v>
      </c>
      <c r="I159" s="4">
        <v>642.27499999999998</v>
      </c>
      <c r="O159" s="4">
        <v>1378</v>
      </c>
    </row>
    <row r="160" spans="1:15" x14ac:dyDescent="0.25">
      <c r="A160" s="3">
        <v>45134</v>
      </c>
      <c r="B160" s="4">
        <v>649.5</v>
      </c>
      <c r="C160" s="4">
        <v>625</v>
      </c>
      <c r="D160" s="4">
        <v>656.7</v>
      </c>
      <c r="E160" s="4">
        <v>623.5</v>
      </c>
      <c r="F160" s="4" t="str">
        <v>2.69M</v>
      </c>
      <c r="G160" s="4" t="str">
        <v>4.30%</v>
      </c>
      <c r="H160" s="3">
        <v>45134</v>
      </c>
      <c r="I160" s="4">
        <v>640.1</v>
      </c>
      <c r="O160" s="4">
        <v>1377</v>
      </c>
    </row>
    <row r="161" spans="1:15" x14ac:dyDescent="0.25">
      <c r="A161" s="3">
        <v>45133</v>
      </c>
      <c r="B161" s="4">
        <v>622.75</v>
      </c>
      <c r="C161" s="4">
        <v>623</v>
      </c>
      <c r="D161" s="4">
        <v>625.1</v>
      </c>
      <c r="E161" s="4">
        <v>618.9</v>
      </c>
      <c r="F161" s="4" t="str">
        <v>670.96K</v>
      </c>
      <c r="G161" s="4" t="str">
        <v>0.16%</v>
      </c>
      <c r="H161" s="3">
        <v>45133</v>
      </c>
      <c r="I161" s="4">
        <v>622</v>
      </c>
      <c r="O161" s="4">
        <v>1376</v>
      </c>
    </row>
    <row r="162" spans="1:15" x14ac:dyDescent="0.25">
      <c r="A162" s="3">
        <v>45132</v>
      </c>
      <c r="B162" s="4">
        <v>621.75</v>
      </c>
      <c r="C162" s="4">
        <v>614.95000000000005</v>
      </c>
      <c r="D162" s="4">
        <v>624</v>
      </c>
      <c r="E162" s="4">
        <v>613</v>
      </c>
      <c r="F162" s="4" t="str">
        <v>743.78K</v>
      </c>
      <c r="G162" s="4" t="str">
        <v>1.30%</v>
      </c>
      <c r="H162" s="3">
        <v>45132</v>
      </c>
      <c r="I162" s="4">
        <v>618.5</v>
      </c>
      <c r="O162" s="4">
        <v>1375</v>
      </c>
    </row>
    <row r="163" spans="1:15" x14ac:dyDescent="0.25">
      <c r="A163" s="3">
        <v>45131</v>
      </c>
      <c r="B163" s="4">
        <v>613.79999999999995</v>
      </c>
      <c r="C163" s="4">
        <v>613.20000000000005</v>
      </c>
      <c r="D163" s="4">
        <v>616.5</v>
      </c>
      <c r="E163" s="4">
        <v>611.75</v>
      </c>
      <c r="F163" s="4" t="str">
        <v>476.30K</v>
      </c>
      <c r="G163" s="4" t="str">
        <v>0.10%</v>
      </c>
      <c r="H163" s="3">
        <v>45131</v>
      </c>
      <c r="I163" s="4">
        <v>614.125</v>
      </c>
      <c r="O163" s="4">
        <v>1374</v>
      </c>
    </row>
    <row r="164" spans="1:15" x14ac:dyDescent="0.25">
      <c r="A164" s="3">
        <v>45128</v>
      </c>
      <c r="B164" s="4">
        <v>613.20000000000005</v>
      </c>
      <c r="C164" s="4">
        <v>617</v>
      </c>
      <c r="D164" s="4">
        <v>618.5</v>
      </c>
      <c r="E164" s="4">
        <v>611.35</v>
      </c>
      <c r="F164" s="4" t="str">
        <v>382.35K</v>
      </c>
      <c r="G164" s="4" t="str">
        <v>-0.70%</v>
      </c>
      <c r="H164" s="3">
        <v>45128</v>
      </c>
      <c r="I164" s="4">
        <v>614.92499999999995</v>
      </c>
      <c r="O164" s="4">
        <v>1373</v>
      </c>
    </row>
    <row r="165" spans="1:15" x14ac:dyDescent="0.25">
      <c r="A165" s="3">
        <v>45127</v>
      </c>
      <c r="B165" s="4">
        <v>617.54999999999995</v>
      </c>
      <c r="C165" s="4">
        <v>608.85</v>
      </c>
      <c r="D165" s="4">
        <v>618.9</v>
      </c>
      <c r="E165" s="4">
        <v>605.6</v>
      </c>
      <c r="F165" s="4" t="str">
        <v>1.26M</v>
      </c>
      <c r="G165" s="4" t="str">
        <v>1.65%</v>
      </c>
      <c r="H165" s="3">
        <v>45127</v>
      </c>
      <c r="I165" s="4">
        <v>612.25</v>
      </c>
      <c r="O165" s="4">
        <v>1372</v>
      </c>
    </row>
    <row r="166" spans="1:15" x14ac:dyDescent="0.25">
      <c r="A166" s="3">
        <v>45126</v>
      </c>
      <c r="B166" s="4">
        <v>607.5</v>
      </c>
      <c r="C166" s="4">
        <v>602.95000000000005</v>
      </c>
      <c r="D166" s="4">
        <v>608.79999999999995</v>
      </c>
      <c r="E166" s="4">
        <v>595.29999999999995</v>
      </c>
      <c r="F166" s="4" t="str">
        <v>599.44K</v>
      </c>
      <c r="G166" s="4" t="str">
        <v>0.91%</v>
      </c>
      <c r="H166" s="3">
        <v>45126</v>
      </c>
      <c r="I166" s="4">
        <v>602.04999999999995</v>
      </c>
      <c r="O166" s="4">
        <v>1371</v>
      </c>
    </row>
    <row r="167" spans="1:15" x14ac:dyDescent="0.25">
      <c r="A167" s="3">
        <v>45125</v>
      </c>
      <c r="B167" s="4">
        <v>602.04999999999995</v>
      </c>
      <c r="C167" s="4">
        <v>603.04999999999995</v>
      </c>
      <c r="D167" s="4">
        <v>605.79999999999995</v>
      </c>
      <c r="E167" s="4">
        <v>594.70000000000005</v>
      </c>
      <c r="F167" s="4" t="str">
        <v>602.14K</v>
      </c>
      <c r="G167" s="4" t="str">
        <v>-0.17%</v>
      </c>
      <c r="H167" s="3">
        <v>45125</v>
      </c>
      <c r="I167" s="4">
        <v>600.25</v>
      </c>
      <c r="O167" s="4">
        <v>1370</v>
      </c>
    </row>
    <row r="168" spans="1:15" x14ac:dyDescent="0.25">
      <c r="A168" s="3">
        <v>45124</v>
      </c>
      <c r="B168" s="4">
        <v>603.04999999999995</v>
      </c>
      <c r="C168" s="4">
        <v>593.70000000000005</v>
      </c>
      <c r="D168" s="4">
        <v>606</v>
      </c>
      <c r="E168" s="4">
        <v>593</v>
      </c>
      <c r="F168" s="4" t="str">
        <v>929.74K</v>
      </c>
      <c r="G168" s="4" t="str">
        <v>1.29%</v>
      </c>
      <c r="H168" s="3">
        <v>45124</v>
      </c>
      <c r="I168" s="4">
        <v>599.5</v>
      </c>
      <c r="O168" s="4">
        <v>1369</v>
      </c>
    </row>
    <row r="169" spans="1:15" x14ac:dyDescent="0.25">
      <c r="A169" s="3">
        <v>45121</v>
      </c>
      <c r="B169" s="4">
        <v>595.35</v>
      </c>
      <c r="C169" s="4">
        <v>591.1</v>
      </c>
      <c r="D169" s="4">
        <v>597.9</v>
      </c>
      <c r="E169" s="4">
        <v>589.1</v>
      </c>
      <c r="F169" s="4" t="str">
        <v>954.80K</v>
      </c>
      <c r="G169" s="4" t="str">
        <v>0.66%</v>
      </c>
      <c r="H169" s="3">
        <v>45121</v>
      </c>
      <c r="I169" s="4">
        <v>593.5</v>
      </c>
      <c r="O169" s="4">
        <v>1368</v>
      </c>
    </row>
    <row r="170" spans="1:15" x14ac:dyDescent="0.25">
      <c r="A170" s="3">
        <v>45120</v>
      </c>
      <c r="B170" s="4">
        <v>591.45000000000005</v>
      </c>
      <c r="C170" s="4">
        <v>594</v>
      </c>
      <c r="D170" s="4">
        <v>597</v>
      </c>
      <c r="E170" s="4">
        <v>588.85</v>
      </c>
      <c r="F170" s="4" t="str">
        <v>729.38K</v>
      </c>
      <c r="G170" s="4" t="str">
        <v>-0.33%</v>
      </c>
      <c r="H170" s="3">
        <v>45120</v>
      </c>
      <c r="I170" s="4">
        <v>592.92499999999995</v>
      </c>
      <c r="O170" s="4">
        <v>1367</v>
      </c>
    </row>
    <row r="171" spans="1:15" x14ac:dyDescent="0.25">
      <c r="A171" s="3">
        <v>45119</v>
      </c>
      <c r="B171" s="4">
        <v>593.4</v>
      </c>
      <c r="C171" s="4">
        <v>587</v>
      </c>
      <c r="D171" s="4">
        <v>595.4</v>
      </c>
      <c r="E171" s="4">
        <v>583.29999999999995</v>
      </c>
      <c r="F171" s="4" t="str">
        <v>1.07M</v>
      </c>
      <c r="G171" s="4" t="str">
        <v>1.46%</v>
      </c>
      <c r="H171" s="3">
        <v>45119</v>
      </c>
      <c r="I171" s="4">
        <v>589.34999999999991</v>
      </c>
      <c r="O171" s="4">
        <v>1366</v>
      </c>
    </row>
    <row r="172" spans="1:15" x14ac:dyDescent="0.25">
      <c r="A172" s="3">
        <v>45118</v>
      </c>
      <c r="B172" s="4">
        <v>584.85</v>
      </c>
      <c r="C172" s="4">
        <v>581.6</v>
      </c>
      <c r="D172" s="4">
        <v>591.75</v>
      </c>
      <c r="E172" s="4">
        <v>581.6</v>
      </c>
      <c r="F172" s="4" t="str">
        <v>774.09K</v>
      </c>
      <c r="G172" s="4" t="str">
        <v>0.56%</v>
      </c>
      <c r="H172" s="3">
        <v>45118</v>
      </c>
      <c r="I172" s="4">
        <v>586.67499999999995</v>
      </c>
      <c r="O172" s="4">
        <v>1365</v>
      </c>
    </row>
    <row r="173" spans="1:15" x14ac:dyDescent="0.25">
      <c r="A173" s="3">
        <v>45117</v>
      </c>
      <c r="B173" s="4">
        <v>581.6</v>
      </c>
      <c r="C173" s="4">
        <v>585.20000000000005</v>
      </c>
      <c r="D173" s="4">
        <v>588.1</v>
      </c>
      <c r="E173" s="4">
        <v>580.1</v>
      </c>
      <c r="F173" s="4" t="str">
        <v>721.12K</v>
      </c>
      <c r="G173" s="4" t="str">
        <v>-0.11%</v>
      </c>
      <c r="H173" s="3">
        <v>45117</v>
      </c>
      <c r="I173" s="4">
        <v>584.1</v>
      </c>
      <c r="O173" s="4">
        <v>1364</v>
      </c>
    </row>
    <row r="174" spans="1:15" x14ac:dyDescent="0.25">
      <c r="A174" s="3">
        <v>45114</v>
      </c>
      <c r="B174" s="4">
        <v>582.25</v>
      </c>
      <c r="C174" s="4">
        <v>586</v>
      </c>
      <c r="D174" s="4">
        <v>589.95000000000005</v>
      </c>
      <c r="E174" s="4">
        <v>580.04999999999995</v>
      </c>
      <c r="F174" s="4" t="str">
        <v>448.18K</v>
      </c>
      <c r="G174" s="4" t="str">
        <v>-0.99%</v>
      </c>
      <c r="H174" s="3">
        <v>45114</v>
      </c>
      <c r="I174" s="4">
        <v>585</v>
      </c>
      <c r="O174" s="4">
        <v>1363</v>
      </c>
    </row>
    <row r="175" spans="1:15" x14ac:dyDescent="0.25">
      <c r="A175" s="3">
        <v>45113</v>
      </c>
      <c r="B175" s="4">
        <v>588.1</v>
      </c>
      <c r="C175" s="4">
        <v>585</v>
      </c>
      <c r="D175" s="4">
        <v>592</v>
      </c>
      <c r="E175" s="4">
        <v>576</v>
      </c>
      <c r="F175" s="4" t="str">
        <v>773.66K</v>
      </c>
      <c r="G175" s="4" t="str">
        <v>0.53%</v>
      </c>
      <c r="H175" s="3">
        <v>45113</v>
      </c>
      <c r="I175" s="4">
        <v>584</v>
      </c>
      <c r="O175" s="4">
        <v>1362</v>
      </c>
    </row>
    <row r="176" spans="1:15" x14ac:dyDescent="0.25">
      <c r="A176" s="3">
        <v>45112</v>
      </c>
      <c r="B176" s="4">
        <v>585</v>
      </c>
      <c r="C176" s="4">
        <v>576</v>
      </c>
      <c r="D176" s="4">
        <v>587</v>
      </c>
      <c r="E176" s="4">
        <v>574</v>
      </c>
      <c r="F176" s="4" t="str">
        <v>641.47K</v>
      </c>
      <c r="G176" s="4" t="str">
        <v>1.90%</v>
      </c>
      <c r="H176" s="3">
        <v>45112</v>
      </c>
      <c r="I176" s="4">
        <v>580.5</v>
      </c>
      <c r="O176" s="4">
        <v>1361</v>
      </c>
    </row>
    <row r="177" spans="1:15" x14ac:dyDescent="0.25">
      <c r="A177" s="3">
        <v>45111</v>
      </c>
      <c r="B177" s="4">
        <v>574.1</v>
      </c>
      <c r="C177" s="4">
        <v>581.4</v>
      </c>
      <c r="D177" s="4">
        <v>582.85</v>
      </c>
      <c r="E177" s="4">
        <v>571.1</v>
      </c>
      <c r="F177" s="4" t="str">
        <v>704.26K</v>
      </c>
      <c r="G177" s="4" t="str">
        <v>-0.74%</v>
      </c>
      <c r="H177" s="3">
        <v>45111</v>
      </c>
      <c r="I177" s="4">
        <v>576.97500000000002</v>
      </c>
      <c r="O177" s="4">
        <v>1360</v>
      </c>
    </row>
    <row r="178" spans="1:15" x14ac:dyDescent="0.25">
      <c r="A178" s="3">
        <v>45110</v>
      </c>
      <c r="B178" s="4">
        <v>578.4</v>
      </c>
      <c r="C178" s="4">
        <v>586.95000000000005</v>
      </c>
      <c r="D178" s="4">
        <v>594.29999999999995</v>
      </c>
      <c r="E178" s="4">
        <v>577.5</v>
      </c>
      <c r="F178" s="4" t="str">
        <v>1.12M</v>
      </c>
      <c r="G178" s="4" t="str">
        <v>-0.80%</v>
      </c>
      <c r="H178" s="3">
        <v>45110</v>
      </c>
      <c r="I178" s="4">
        <v>585.9</v>
      </c>
      <c r="O178" s="4">
        <v>1359</v>
      </c>
    </row>
    <row r="179" spans="1:15" x14ac:dyDescent="0.25">
      <c r="A179" s="3">
        <v>45107</v>
      </c>
      <c r="B179" s="4">
        <v>583.04999999999995</v>
      </c>
      <c r="C179" s="4">
        <v>588</v>
      </c>
      <c r="D179" s="4">
        <v>588</v>
      </c>
      <c r="E179" s="4">
        <v>578</v>
      </c>
      <c r="F179" s="4" t="str">
        <v>1.57M</v>
      </c>
      <c r="G179" s="4" t="str">
        <v>0.10%</v>
      </c>
      <c r="H179" s="3">
        <v>45107</v>
      </c>
      <c r="I179" s="4">
        <v>583</v>
      </c>
      <c r="O179" s="4">
        <v>1358</v>
      </c>
    </row>
    <row r="180" spans="1:15" x14ac:dyDescent="0.25">
      <c r="A180" s="3">
        <v>45105</v>
      </c>
      <c r="B180" s="4">
        <v>582.45000000000005</v>
      </c>
      <c r="C180" s="4">
        <v>572</v>
      </c>
      <c r="D180" s="4">
        <v>589.1</v>
      </c>
      <c r="E180" s="4">
        <v>565.25</v>
      </c>
      <c r="F180" s="4" t="str">
        <v>2.44M</v>
      </c>
      <c r="G180" s="4" t="str">
        <v>2.06%</v>
      </c>
      <c r="H180" s="3">
        <v>45105</v>
      </c>
      <c r="I180" s="4">
        <v>577.17499999999995</v>
      </c>
      <c r="O180" s="4">
        <v>1357</v>
      </c>
    </row>
    <row r="181" spans="1:15" x14ac:dyDescent="0.25">
      <c r="A181" s="3">
        <v>45104</v>
      </c>
      <c r="B181" s="4">
        <v>570.70000000000005</v>
      </c>
      <c r="C181" s="4">
        <v>561</v>
      </c>
      <c r="D181" s="4">
        <v>574.65</v>
      </c>
      <c r="E181" s="4">
        <v>561</v>
      </c>
      <c r="F181" s="4" t="str">
        <v>1.25M</v>
      </c>
      <c r="G181" s="4" t="str">
        <v>1.58%</v>
      </c>
      <c r="H181" s="3">
        <v>45104</v>
      </c>
      <c r="I181" s="4">
        <v>567.82500000000005</v>
      </c>
      <c r="O181" s="4">
        <v>1356</v>
      </c>
    </row>
    <row r="182" spans="1:15" x14ac:dyDescent="0.25">
      <c r="A182" s="3">
        <v>45103</v>
      </c>
      <c r="B182" s="4">
        <v>561.79999999999995</v>
      </c>
      <c r="C182" s="4">
        <v>559.85</v>
      </c>
      <c r="D182" s="4">
        <v>563.5</v>
      </c>
      <c r="E182" s="4">
        <v>557.29999999999995</v>
      </c>
      <c r="F182" s="4" t="str">
        <v>685.43K</v>
      </c>
      <c r="G182" s="4" t="str">
        <v>0.84%</v>
      </c>
      <c r="H182" s="3">
        <v>45103</v>
      </c>
      <c r="I182" s="4">
        <v>560.4</v>
      </c>
      <c r="O182" s="4">
        <v>1355</v>
      </c>
    </row>
    <row r="183" spans="1:15" x14ac:dyDescent="0.25">
      <c r="A183" s="3">
        <v>45100</v>
      </c>
      <c r="B183" s="4">
        <v>557.1</v>
      </c>
      <c r="C183" s="4">
        <v>552.1</v>
      </c>
      <c r="D183" s="4">
        <v>561.29999999999995</v>
      </c>
      <c r="E183" s="4">
        <v>547.9</v>
      </c>
      <c r="F183" s="4" t="str">
        <v>1.06M</v>
      </c>
      <c r="G183" s="4" t="str">
        <v>0.76%</v>
      </c>
      <c r="H183" s="3">
        <v>45100</v>
      </c>
      <c r="I183" s="4">
        <v>554.59999999999991</v>
      </c>
      <c r="O183" s="4">
        <v>1354</v>
      </c>
    </row>
    <row r="184" spans="1:15" x14ac:dyDescent="0.25">
      <c r="A184" s="3">
        <v>45099</v>
      </c>
      <c r="B184" s="4">
        <v>552.9</v>
      </c>
      <c r="C184" s="4">
        <v>560.79999999999995</v>
      </c>
      <c r="D184" s="4">
        <v>562.65</v>
      </c>
      <c r="E184" s="4">
        <v>547.9</v>
      </c>
      <c r="F184" s="4" t="str">
        <v>484.67K</v>
      </c>
      <c r="G184" s="4" t="str">
        <v>-1.29%</v>
      </c>
      <c r="H184" s="3">
        <v>45099</v>
      </c>
      <c r="I184" s="4">
        <v>555.27499999999998</v>
      </c>
      <c r="O184" s="4">
        <v>1353</v>
      </c>
    </row>
    <row r="185" spans="1:15" x14ac:dyDescent="0.25">
      <c r="A185" s="3">
        <v>45098</v>
      </c>
      <c r="B185" s="4">
        <v>560.1</v>
      </c>
      <c r="C185" s="4">
        <v>557.4</v>
      </c>
      <c r="D185" s="4">
        <v>564.79999999999995</v>
      </c>
      <c r="E185" s="4">
        <v>552.29999999999995</v>
      </c>
      <c r="F185" s="4" t="str">
        <v>1.12M</v>
      </c>
      <c r="G185" s="4" t="str">
        <v>0.73%</v>
      </c>
      <c r="H185" s="3">
        <v>45098</v>
      </c>
      <c r="I185" s="4">
        <v>558.54999999999995</v>
      </c>
      <c r="O185" s="4">
        <v>1352</v>
      </c>
    </row>
    <row r="186" spans="1:15" x14ac:dyDescent="0.25">
      <c r="A186" s="3">
        <v>45097</v>
      </c>
      <c r="B186" s="4">
        <v>556.04999999999995</v>
      </c>
      <c r="C186" s="4">
        <v>556.70000000000005</v>
      </c>
      <c r="D186" s="4">
        <v>557.75</v>
      </c>
      <c r="E186" s="4">
        <v>553.35</v>
      </c>
      <c r="F186" s="4" t="str">
        <v>643.19K</v>
      </c>
      <c r="G186" s="4" t="str">
        <v>0.34%</v>
      </c>
      <c r="H186" s="3">
        <v>45097</v>
      </c>
      <c r="I186" s="4">
        <v>555.54999999999995</v>
      </c>
      <c r="O186" s="4">
        <v>1351</v>
      </c>
    </row>
    <row r="187" spans="1:15" x14ac:dyDescent="0.25">
      <c r="A187" s="3">
        <v>45096</v>
      </c>
      <c r="B187" s="4">
        <v>554.15</v>
      </c>
      <c r="C187" s="4">
        <v>551.04999999999995</v>
      </c>
      <c r="D187" s="4">
        <v>562.5</v>
      </c>
      <c r="E187" s="4">
        <v>551.04999999999995</v>
      </c>
      <c r="F187" s="4" t="str">
        <v>918.04K</v>
      </c>
      <c r="G187" s="4" t="str">
        <v>0.56%</v>
      </c>
      <c r="H187" s="3">
        <v>45096</v>
      </c>
      <c r="I187" s="4">
        <v>556.77499999999998</v>
      </c>
      <c r="O187" s="4">
        <v>1350</v>
      </c>
    </row>
    <row r="188" spans="1:15" x14ac:dyDescent="0.25">
      <c r="A188" s="3">
        <v>45093</v>
      </c>
      <c r="B188" s="4">
        <v>551.04999999999995</v>
      </c>
      <c r="C188" s="4">
        <v>552.15</v>
      </c>
      <c r="D188" s="4">
        <v>559.29999999999995</v>
      </c>
      <c r="E188" s="4">
        <v>548.1</v>
      </c>
      <c r="F188" s="4" t="str">
        <v>1.62M</v>
      </c>
      <c r="G188" s="4" t="str">
        <v>0.35%</v>
      </c>
      <c r="H188" s="3">
        <v>45093</v>
      </c>
      <c r="I188" s="4">
        <v>553.70000000000005</v>
      </c>
      <c r="O188" s="4">
        <v>1349</v>
      </c>
    </row>
    <row r="189" spans="1:15" x14ac:dyDescent="0.25">
      <c r="A189" s="3">
        <v>45092</v>
      </c>
      <c r="B189" s="4">
        <v>549.15</v>
      </c>
      <c r="C189" s="4">
        <v>535</v>
      </c>
      <c r="D189" s="4">
        <v>550</v>
      </c>
      <c r="E189" s="4">
        <v>533.04999999999995</v>
      </c>
      <c r="F189" s="4" t="str">
        <v>2.85M</v>
      </c>
      <c r="G189" s="4" t="str">
        <v>3.16%</v>
      </c>
      <c r="H189" s="3">
        <v>45092</v>
      </c>
      <c r="I189" s="4">
        <v>541.52499999999998</v>
      </c>
      <c r="O189" s="4">
        <v>1348</v>
      </c>
    </row>
    <row r="190" spans="1:15" x14ac:dyDescent="0.25">
      <c r="A190" s="3">
        <v>45091</v>
      </c>
      <c r="B190" s="4">
        <v>532.35</v>
      </c>
      <c r="C190" s="4">
        <v>523.9</v>
      </c>
      <c r="D190" s="4">
        <v>533.54999999999995</v>
      </c>
      <c r="E190" s="4">
        <v>515.6</v>
      </c>
      <c r="F190" s="4" t="str">
        <v>3.02M</v>
      </c>
      <c r="G190" s="4" t="str">
        <v>2.84%</v>
      </c>
      <c r="H190" s="3">
        <v>45091</v>
      </c>
      <c r="I190" s="4">
        <v>524.57500000000005</v>
      </c>
      <c r="O190" s="4">
        <v>1347</v>
      </c>
    </row>
    <row r="191" spans="1:15" x14ac:dyDescent="0.25">
      <c r="A191" s="3">
        <v>45090</v>
      </c>
      <c r="B191" s="4">
        <v>517.65</v>
      </c>
      <c r="C191" s="4">
        <v>510.9</v>
      </c>
      <c r="D191" s="4">
        <v>519.1</v>
      </c>
      <c r="E191" s="4">
        <v>508.5</v>
      </c>
      <c r="F191" s="4" t="str">
        <v>1.47M</v>
      </c>
      <c r="G191" s="4" t="str">
        <v>1.50%</v>
      </c>
      <c r="H191" s="3">
        <v>45090</v>
      </c>
      <c r="I191" s="4">
        <v>513.79999999999995</v>
      </c>
      <c r="O191" s="4">
        <v>1346</v>
      </c>
    </row>
    <row r="192" spans="1:15" x14ac:dyDescent="0.25">
      <c r="A192" s="3">
        <v>45089</v>
      </c>
      <c r="B192" s="4">
        <v>510</v>
      </c>
      <c r="C192" s="4">
        <v>511</v>
      </c>
      <c r="D192" s="4">
        <v>512.95000000000005</v>
      </c>
      <c r="E192" s="4">
        <v>504</v>
      </c>
      <c r="F192" s="4" t="str">
        <v>756.87K</v>
      </c>
      <c r="G192" s="4" t="str">
        <v>0.44%</v>
      </c>
      <c r="H192" s="3">
        <v>45089</v>
      </c>
      <c r="I192" s="4">
        <v>508.47500000000002</v>
      </c>
      <c r="O192" s="4">
        <v>1345</v>
      </c>
    </row>
    <row r="193" spans="1:15" x14ac:dyDescent="0.25">
      <c r="A193" s="3">
        <v>45086</v>
      </c>
      <c r="B193" s="4">
        <v>507.75</v>
      </c>
      <c r="C193" s="4">
        <v>513</v>
      </c>
      <c r="D193" s="4">
        <v>516.70000000000005</v>
      </c>
      <c r="E193" s="4">
        <v>506</v>
      </c>
      <c r="F193" s="4" t="str">
        <v>648.26K</v>
      </c>
      <c r="G193" s="4" t="str">
        <v>-1.01%</v>
      </c>
      <c r="H193" s="3">
        <v>45086</v>
      </c>
      <c r="I193" s="4">
        <v>511.35</v>
      </c>
      <c r="O193" s="4">
        <v>1344</v>
      </c>
    </row>
    <row r="194" spans="1:15" x14ac:dyDescent="0.25">
      <c r="A194" s="3">
        <v>45085</v>
      </c>
      <c r="B194" s="4">
        <v>512.95000000000005</v>
      </c>
      <c r="C194" s="4">
        <v>518.9</v>
      </c>
      <c r="D194" s="4">
        <v>520.5</v>
      </c>
      <c r="E194" s="4">
        <v>510.3</v>
      </c>
      <c r="F194" s="4" t="str">
        <v>1.00M</v>
      </c>
      <c r="G194" s="4" t="str">
        <v>-0.42%</v>
      </c>
      <c r="H194" s="3">
        <v>45085</v>
      </c>
      <c r="I194" s="4">
        <v>515.4</v>
      </c>
      <c r="O194" s="4">
        <v>1343</v>
      </c>
    </row>
    <row r="195" spans="1:15" x14ac:dyDescent="0.25">
      <c r="A195" s="3">
        <v>45084</v>
      </c>
      <c r="B195" s="4">
        <v>515.1</v>
      </c>
      <c r="C195" s="4">
        <v>515.45000000000005</v>
      </c>
      <c r="D195" s="4">
        <v>518.75</v>
      </c>
      <c r="E195" s="4">
        <v>512.75</v>
      </c>
      <c r="F195" s="4" t="str">
        <v>831.75K</v>
      </c>
      <c r="G195" s="4" t="str">
        <v>-0.07%</v>
      </c>
      <c r="H195" s="3">
        <v>45084</v>
      </c>
      <c r="I195" s="4">
        <v>515.75</v>
      </c>
      <c r="O195" s="4">
        <v>1342</v>
      </c>
    </row>
    <row r="196" spans="1:15" x14ac:dyDescent="0.25">
      <c r="A196" s="3">
        <v>45083</v>
      </c>
      <c r="B196" s="4">
        <v>515.45000000000005</v>
      </c>
      <c r="C196" s="4">
        <v>511.25</v>
      </c>
      <c r="D196" s="4">
        <v>516.75</v>
      </c>
      <c r="E196" s="4">
        <v>509.45</v>
      </c>
      <c r="F196" s="4" t="str">
        <v>835.03K</v>
      </c>
      <c r="G196" s="4" t="str">
        <v>1.05%</v>
      </c>
      <c r="H196" s="3">
        <v>45083</v>
      </c>
      <c r="I196" s="4">
        <v>513.1</v>
      </c>
      <c r="O196" s="4">
        <v>1341</v>
      </c>
    </row>
    <row r="197" spans="1:15" x14ac:dyDescent="0.25">
      <c r="A197" s="3">
        <v>45082</v>
      </c>
      <c r="B197" s="4">
        <v>510.1</v>
      </c>
      <c r="C197" s="4">
        <v>523.4</v>
      </c>
      <c r="D197" s="4">
        <v>523.6</v>
      </c>
      <c r="E197" s="4">
        <v>508</v>
      </c>
      <c r="F197" s="4" t="str">
        <v>914.30K</v>
      </c>
      <c r="G197" s="4" t="str">
        <v>-1.53%</v>
      </c>
      <c r="H197" s="3">
        <v>45082</v>
      </c>
      <c r="I197" s="4">
        <v>515.79999999999995</v>
      </c>
      <c r="O197" s="4">
        <v>1340</v>
      </c>
    </row>
    <row r="198" spans="1:15" x14ac:dyDescent="0.25">
      <c r="A198" s="3">
        <v>45079</v>
      </c>
      <c r="B198" s="4">
        <v>518</v>
      </c>
      <c r="C198" s="4">
        <v>513.5</v>
      </c>
      <c r="D198" s="4">
        <v>520.85</v>
      </c>
      <c r="E198" s="4">
        <v>513.4</v>
      </c>
      <c r="F198" s="4" t="str">
        <v>1.42M</v>
      </c>
      <c r="G198" s="4" t="str">
        <v>0.90%</v>
      </c>
      <c r="H198" s="3">
        <v>45079</v>
      </c>
      <c r="I198" s="4">
        <v>517.125</v>
      </c>
      <c r="O198" s="4">
        <v>1339</v>
      </c>
    </row>
    <row r="199" spans="1:15" x14ac:dyDescent="0.25">
      <c r="A199" s="3">
        <v>45078</v>
      </c>
      <c r="B199" s="4">
        <v>513.4</v>
      </c>
      <c r="C199" s="4">
        <v>502.3</v>
      </c>
      <c r="D199" s="4">
        <v>514.4</v>
      </c>
      <c r="E199" s="4">
        <v>500.8</v>
      </c>
      <c r="F199" s="4" t="str">
        <v>888.69K</v>
      </c>
      <c r="G199" s="4" t="str">
        <v>2.21%</v>
      </c>
      <c r="H199" s="3">
        <v>45078</v>
      </c>
      <c r="I199" s="4">
        <v>507.6</v>
      </c>
      <c r="O199" s="4">
        <v>1338</v>
      </c>
    </row>
    <row r="200" spans="1:15" x14ac:dyDescent="0.25">
      <c r="A200" s="3">
        <v>45077</v>
      </c>
      <c r="B200" s="4">
        <v>502.3</v>
      </c>
      <c r="C200" s="4">
        <v>507</v>
      </c>
      <c r="D200" s="4">
        <v>510.6</v>
      </c>
      <c r="E200" s="4">
        <v>498.85</v>
      </c>
      <c r="F200" s="4" t="str">
        <v>1.10M</v>
      </c>
      <c r="G200" s="4" t="str">
        <v>-0.68%</v>
      </c>
      <c r="H200" s="3">
        <v>45077</v>
      </c>
      <c r="I200" s="4">
        <v>504.72500000000002</v>
      </c>
      <c r="O200" s="4">
        <v>1337</v>
      </c>
    </row>
    <row r="201" spans="1:15" x14ac:dyDescent="0.25">
      <c r="A201" s="3">
        <v>45076</v>
      </c>
      <c r="B201" s="4">
        <v>505.75</v>
      </c>
      <c r="C201" s="4">
        <v>510</v>
      </c>
      <c r="D201" s="4">
        <v>516.75</v>
      </c>
      <c r="E201" s="4">
        <v>504.75</v>
      </c>
      <c r="F201" s="4" t="str">
        <v>468.84K</v>
      </c>
      <c r="G201" s="4" t="str">
        <v>-1.23%</v>
      </c>
      <c r="H201" s="3">
        <v>45076</v>
      </c>
      <c r="I201" s="4">
        <v>510.75</v>
      </c>
      <c r="O201" s="4">
        <v>1336</v>
      </c>
    </row>
    <row r="202" spans="1:15" x14ac:dyDescent="0.25">
      <c r="A202" s="3">
        <v>45075</v>
      </c>
      <c r="B202" s="4">
        <v>512.04999999999995</v>
      </c>
      <c r="C202" s="4">
        <v>508.95</v>
      </c>
      <c r="D202" s="4">
        <v>514</v>
      </c>
      <c r="E202" s="4">
        <v>507.05</v>
      </c>
      <c r="F202" s="4" t="str">
        <v>489.95K</v>
      </c>
      <c r="G202" s="4" t="str">
        <v>0.75%</v>
      </c>
      <c r="H202" s="3">
        <v>45075</v>
      </c>
      <c r="I202" s="4">
        <v>510.52499999999998</v>
      </c>
      <c r="O202" s="4">
        <v>1335</v>
      </c>
    </row>
    <row r="203" spans="1:15" x14ac:dyDescent="0.25">
      <c r="A203" s="3">
        <v>45072</v>
      </c>
      <c r="B203" s="4">
        <v>508.25</v>
      </c>
      <c r="C203" s="4">
        <v>508</v>
      </c>
      <c r="D203" s="4">
        <v>513.75</v>
      </c>
      <c r="E203" s="4">
        <v>504.3</v>
      </c>
      <c r="F203" s="4" t="str">
        <v>977.22K</v>
      </c>
      <c r="G203" s="4" t="str">
        <v>0.50%</v>
      </c>
      <c r="H203" s="3">
        <v>45072</v>
      </c>
      <c r="I203" s="4">
        <v>509.02499999999998</v>
      </c>
      <c r="O203" s="4">
        <v>1334</v>
      </c>
    </row>
    <row r="204" spans="1:15" x14ac:dyDescent="0.25">
      <c r="A204" s="3">
        <v>45071</v>
      </c>
      <c r="B204" s="4">
        <v>505.7</v>
      </c>
      <c r="C204" s="4">
        <v>503.95</v>
      </c>
      <c r="D204" s="4">
        <v>508.5</v>
      </c>
      <c r="E204" s="4">
        <v>499.5</v>
      </c>
      <c r="F204" s="4" t="str">
        <v>963.31K</v>
      </c>
      <c r="G204" s="4" t="str">
        <v>0.35%</v>
      </c>
      <c r="H204" s="3">
        <v>45071</v>
      </c>
      <c r="I204" s="4">
        <v>504</v>
      </c>
      <c r="O204" s="4">
        <v>1333</v>
      </c>
    </row>
    <row r="205" spans="1:15" x14ac:dyDescent="0.25">
      <c r="A205" s="3">
        <v>45070</v>
      </c>
      <c r="B205" s="4">
        <v>503.95</v>
      </c>
      <c r="C205" s="4">
        <v>507.45</v>
      </c>
      <c r="D205" s="4">
        <v>509.5</v>
      </c>
      <c r="E205" s="4">
        <v>502.85</v>
      </c>
      <c r="F205" s="4" t="str">
        <v>775.93K</v>
      </c>
      <c r="G205" s="4" t="str">
        <v>-0.69%</v>
      </c>
      <c r="H205" s="3">
        <v>45070</v>
      </c>
      <c r="I205" s="4">
        <v>506.17500000000001</v>
      </c>
      <c r="O205" s="4">
        <v>1332</v>
      </c>
    </row>
    <row r="206" spans="1:15" x14ac:dyDescent="0.25">
      <c r="A206" s="3">
        <v>45069</v>
      </c>
      <c r="B206" s="4">
        <v>507.45</v>
      </c>
      <c r="C206" s="4">
        <v>509.95</v>
      </c>
      <c r="D206" s="4">
        <v>513.29999999999995</v>
      </c>
      <c r="E206" s="4">
        <v>506.1</v>
      </c>
      <c r="F206" s="4" t="str">
        <v>943.63K</v>
      </c>
      <c r="G206" s="4" t="str">
        <v>0.24%</v>
      </c>
      <c r="H206" s="3">
        <v>45069</v>
      </c>
      <c r="I206" s="4">
        <v>509.7</v>
      </c>
      <c r="O206" s="4">
        <v>1331</v>
      </c>
    </row>
    <row r="207" spans="1:15" x14ac:dyDescent="0.25">
      <c r="A207" s="3">
        <v>45068</v>
      </c>
      <c r="B207" s="4">
        <v>506.25</v>
      </c>
      <c r="C207" s="4">
        <v>484.95</v>
      </c>
      <c r="D207" s="4">
        <v>512</v>
      </c>
      <c r="E207" s="4">
        <v>484.95</v>
      </c>
      <c r="F207" s="4" t="str">
        <v>1.23M</v>
      </c>
      <c r="G207" s="4" t="str">
        <v>2.33%</v>
      </c>
      <c r="H207" s="3">
        <v>45068</v>
      </c>
      <c r="I207" s="4">
        <v>498.47500000000002</v>
      </c>
      <c r="O207" s="4">
        <v>1330</v>
      </c>
    </row>
    <row r="208" spans="1:15" x14ac:dyDescent="0.25">
      <c r="A208" s="3">
        <v>45065</v>
      </c>
      <c r="B208" s="4">
        <v>494.7</v>
      </c>
      <c r="C208" s="4">
        <v>511</v>
      </c>
      <c r="D208" s="4">
        <v>514.75</v>
      </c>
      <c r="E208" s="4">
        <v>491.45</v>
      </c>
      <c r="F208" s="4" t="str">
        <v>3.14M</v>
      </c>
      <c r="G208" s="4" t="str">
        <v>-2.63%</v>
      </c>
      <c r="H208" s="3">
        <v>45065</v>
      </c>
      <c r="I208" s="4">
        <v>503.1</v>
      </c>
      <c r="O208" s="4">
        <v>1329</v>
      </c>
    </row>
    <row r="209" spans="1:15" x14ac:dyDescent="0.25">
      <c r="A209" s="3">
        <v>45064</v>
      </c>
      <c r="B209" s="4">
        <v>508.05</v>
      </c>
      <c r="C209" s="4">
        <v>520</v>
      </c>
      <c r="D209" s="4">
        <v>522.79999999999995</v>
      </c>
      <c r="E209" s="4">
        <v>505.9</v>
      </c>
      <c r="F209" s="4" t="str">
        <v>3.38M</v>
      </c>
      <c r="G209" s="4" t="str">
        <v>-2.07%</v>
      </c>
      <c r="H209" s="3">
        <v>45064</v>
      </c>
      <c r="I209" s="4">
        <v>514.34999999999991</v>
      </c>
      <c r="O209" s="4">
        <v>1328</v>
      </c>
    </row>
    <row r="210" spans="1:15" x14ac:dyDescent="0.25">
      <c r="A210" s="3">
        <v>45063</v>
      </c>
      <c r="B210" s="4">
        <v>518.79999999999995</v>
      </c>
      <c r="C210" s="4">
        <v>515.5</v>
      </c>
      <c r="D210" s="4">
        <v>520</v>
      </c>
      <c r="E210" s="4">
        <v>513.54999999999995</v>
      </c>
      <c r="F210" s="4" t="str">
        <v>414.33K</v>
      </c>
      <c r="G210" s="4" t="str">
        <v>0.52%</v>
      </c>
      <c r="H210" s="3">
        <v>45063</v>
      </c>
      <c r="I210" s="4">
        <v>516.77499999999998</v>
      </c>
      <c r="O210" s="4">
        <v>1327</v>
      </c>
    </row>
    <row r="211" spans="1:15" x14ac:dyDescent="0.25">
      <c r="A211" s="3">
        <v>45062</v>
      </c>
      <c r="B211" s="4">
        <v>516.1</v>
      </c>
      <c r="C211" s="4">
        <v>518</v>
      </c>
      <c r="D211" s="4">
        <v>522</v>
      </c>
      <c r="E211" s="4">
        <v>515</v>
      </c>
      <c r="F211" s="4" t="str">
        <v>352.45K</v>
      </c>
      <c r="G211" s="4" t="str">
        <v>-0.32%</v>
      </c>
      <c r="H211" s="3">
        <v>45062</v>
      </c>
      <c r="I211" s="4">
        <v>518.5</v>
      </c>
      <c r="O211" s="4">
        <v>1326</v>
      </c>
    </row>
    <row r="212" spans="1:15" x14ac:dyDescent="0.25">
      <c r="A212" s="3">
        <v>45061</v>
      </c>
      <c r="B212" s="4">
        <v>517.75</v>
      </c>
      <c r="C212" s="4">
        <v>513.6</v>
      </c>
      <c r="D212" s="4">
        <v>519.35</v>
      </c>
      <c r="E212" s="4">
        <v>512.5</v>
      </c>
      <c r="F212" s="4" t="str">
        <v>532.09K</v>
      </c>
      <c r="G212" s="4" t="str">
        <v>0.81%</v>
      </c>
      <c r="H212" s="3">
        <v>45061</v>
      </c>
      <c r="I212" s="4">
        <v>515.92499999999995</v>
      </c>
      <c r="O212" s="4">
        <v>1325</v>
      </c>
    </row>
    <row r="213" spans="1:15" x14ac:dyDescent="0.25">
      <c r="A213" s="3">
        <v>45058</v>
      </c>
      <c r="B213" s="4">
        <v>513.6</v>
      </c>
      <c r="C213" s="4">
        <v>513.4</v>
      </c>
      <c r="D213" s="4">
        <v>520.9</v>
      </c>
      <c r="E213" s="4">
        <v>504</v>
      </c>
      <c r="F213" s="4" t="str">
        <v>1.02M</v>
      </c>
      <c r="G213" s="4" t="str">
        <v>-0.03%</v>
      </c>
      <c r="H213" s="3">
        <v>45058</v>
      </c>
      <c r="I213" s="4">
        <v>512.45000000000005</v>
      </c>
      <c r="O213" s="4">
        <v>1324</v>
      </c>
    </row>
    <row r="214" spans="1:15" x14ac:dyDescent="0.25">
      <c r="A214" s="3">
        <v>45057</v>
      </c>
      <c r="B214" s="4">
        <v>513.75</v>
      </c>
      <c r="C214" s="4">
        <v>529</v>
      </c>
      <c r="D214" s="4">
        <v>529</v>
      </c>
      <c r="E214" s="4">
        <v>511.6</v>
      </c>
      <c r="F214" s="4" t="str">
        <v>1.23M</v>
      </c>
      <c r="G214" s="4" t="str">
        <v>-2.25%</v>
      </c>
      <c r="H214" s="3">
        <v>45057</v>
      </c>
      <c r="I214" s="4">
        <v>520.29999999999995</v>
      </c>
      <c r="O214" s="4">
        <v>1323</v>
      </c>
    </row>
    <row r="215" spans="1:15" x14ac:dyDescent="0.25">
      <c r="A215" s="3">
        <v>45056</v>
      </c>
      <c r="B215" s="4">
        <v>525.6</v>
      </c>
      <c r="C215" s="4">
        <v>524.95000000000005</v>
      </c>
      <c r="D215" s="4">
        <v>528.70000000000005</v>
      </c>
      <c r="E215" s="4">
        <v>521.6</v>
      </c>
      <c r="F215" s="4" t="str">
        <v>904.80K</v>
      </c>
      <c r="G215" s="4" t="str">
        <v>0.12%</v>
      </c>
      <c r="H215" s="3">
        <v>45056</v>
      </c>
      <c r="I215" s="4">
        <v>525.15000000000009</v>
      </c>
      <c r="O215" s="4">
        <v>1322</v>
      </c>
    </row>
    <row r="216" spans="1:15" x14ac:dyDescent="0.25">
      <c r="A216" s="3">
        <v>45055</v>
      </c>
      <c r="B216" s="4">
        <v>524.95000000000005</v>
      </c>
      <c r="C216" s="4">
        <v>525.29999999999995</v>
      </c>
      <c r="D216" s="4">
        <v>530.85</v>
      </c>
      <c r="E216" s="4">
        <v>521.5</v>
      </c>
      <c r="F216" s="4" t="str">
        <v>1.04M</v>
      </c>
      <c r="G216" s="4" t="str">
        <v>-0.09%</v>
      </c>
      <c r="H216" s="3">
        <v>45055</v>
      </c>
      <c r="I216" s="4">
        <v>526.17499999999995</v>
      </c>
      <c r="O216" s="4">
        <v>1321</v>
      </c>
    </row>
    <row r="217" spans="1:15" x14ac:dyDescent="0.25">
      <c r="A217" s="3">
        <v>45054</v>
      </c>
      <c r="B217" s="4">
        <v>525.4</v>
      </c>
      <c r="C217" s="4">
        <v>517.20000000000005</v>
      </c>
      <c r="D217" s="4">
        <v>526.25</v>
      </c>
      <c r="E217" s="4">
        <v>516</v>
      </c>
      <c r="F217" s="4" t="str">
        <v>661.44K</v>
      </c>
      <c r="G217" s="4" t="str">
        <v>1.62%</v>
      </c>
      <c r="H217" s="3">
        <v>45054</v>
      </c>
      <c r="I217" s="4">
        <v>521.125</v>
      </c>
      <c r="O217" s="4">
        <v>1320</v>
      </c>
    </row>
    <row r="218" spans="1:15" x14ac:dyDescent="0.25">
      <c r="A218" s="3">
        <v>45051</v>
      </c>
      <c r="B218" s="4">
        <v>517</v>
      </c>
      <c r="C218" s="4">
        <v>522.6</v>
      </c>
      <c r="D218" s="4">
        <v>524.6</v>
      </c>
      <c r="E218" s="4">
        <v>514.79999999999995</v>
      </c>
      <c r="F218" s="4" t="str">
        <v>451.81K</v>
      </c>
      <c r="G218" s="4" t="str">
        <v>-0.59%</v>
      </c>
      <c r="H218" s="3">
        <v>45051</v>
      </c>
      <c r="I218" s="4">
        <v>519.70000000000005</v>
      </c>
      <c r="O218" s="4">
        <v>1319</v>
      </c>
    </row>
    <row r="219" spans="1:15" x14ac:dyDescent="0.25">
      <c r="A219" s="3">
        <v>45050</v>
      </c>
      <c r="B219" s="4">
        <v>520.04999999999995</v>
      </c>
      <c r="C219" s="4">
        <v>521</v>
      </c>
      <c r="D219" s="4">
        <v>523.20000000000005</v>
      </c>
      <c r="E219" s="4">
        <v>516.04999999999995</v>
      </c>
      <c r="F219" s="4" t="str">
        <v>530.33K</v>
      </c>
      <c r="G219" s="4" t="str">
        <v>-0.13%</v>
      </c>
      <c r="H219" s="3">
        <v>45050</v>
      </c>
      <c r="I219" s="4">
        <v>519.625</v>
      </c>
      <c r="O219" s="4">
        <v>1318</v>
      </c>
    </row>
    <row r="220" spans="1:15" x14ac:dyDescent="0.25">
      <c r="A220" s="3">
        <v>45049</v>
      </c>
      <c r="B220" s="4">
        <v>520.75</v>
      </c>
      <c r="C220" s="4">
        <v>516</v>
      </c>
      <c r="D220" s="4">
        <v>523.25</v>
      </c>
      <c r="E220" s="4">
        <v>513.95000000000005</v>
      </c>
      <c r="F220" s="4" t="str">
        <v>506.51K</v>
      </c>
      <c r="G220" s="4" t="str">
        <v>0.74%</v>
      </c>
      <c r="H220" s="3">
        <v>45049</v>
      </c>
      <c r="I220" s="4">
        <v>518.6</v>
      </c>
      <c r="O220" s="4">
        <v>1317</v>
      </c>
    </row>
    <row r="221" spans="1:15" x14ac:dyDescent="0.25">
      <c r="A221" s="3">
        <v>45048</v>
      </c>
      <c r="B221" s="4">
        <v>516.95000000000005</v>
      </c>
      <c r="C221" s="4">
        <v>519.9</v>
      </c>
      <c r="D221" s="4">
        <v>528</v>
      </c>
      <c r="E221" s="4">
        <v>501.85</v>
      </c>
      <c r="F221" s="4" t="str">
        <v>1.27M</v>
      </c>
      <c r="G221" s="4" t="str">
        <v>-0.57%</v>
      </c>
      <c r="H221" s="3">
        <v>45048</v>
      </c>
      <c r="I221" s="4">
        <v>514.92499999999995</v>
      </c>
      <c r="O221" s="4">
        <v>1316</v>
      </c>
    </row>
    <row r="222" spans="1:15" x14ac:dyDescent="0.25">
      <c r="A222" s="3">
        <v>45044</v>
      </c>
      <c r="B222" s="4">
        <v>519.9</v>
      </c>
      <c r="C222" s="4">
        <v>515</v>
      </c>
      <c r="D222" s="4">
        <v>520.85</v>
      </c>
      <c r="E222" s="4">
        <v>514.95000000000005</v>
      </c>
      <c r="F222" s="4" t="str">
        <v>428.23K</v>
      </c>
      <c r="G222" s="4" t="str">
        <v>1.02%</v>
      </c>
      <c r="H222" s="3">
        <v>45044</v>
      </c>
      <c r="I222" s="4">
        <v>517.90000000000009</v>
      </c>
      <c r="O222" s="4">
        <v>1315</v>
      </c>
    </row>
    <row r="223" spans="1:15" x14ac:dyDescent="0.25">
      <c r="A223" s="3">
        <v>45043</v>
      </c>
      <c r="B223" s="4">
        <v>514.65</v>
      </c>
      <c r="C223" s="4">
        <v>516.75</v>
      </c>
      <c r="D223" s="4">
        <v>518.85</v>
      </c>
      <c r="E223" s="4">
        <v>509.3</v>
      </c>
      <c r="F223" s="4" t="str">
        <v>865.43K</v>
      </c>
      <c r="G223" s="4" t="str">
        <v>-0.40%</v>
      </c>
      <c r="H223" s="3">
        <v>45043</v>
      </c>
      <c r="I223" s="4">
        <v>514.07500000000005</v>
      </c>
      <c r="O223" s="4">
        <v>1314</v>
      </c>
    </row>
    <row r="224" spans="1:15" x14ac:dyDescent="0.25">
      <c r="A224" s="3">
        <v>45042</v>
      </c>
      <c r="B224" s="4">
        <v>516.70000000000005</v>
      </c>
      <c r="C224" s="4">
        <v>518.65</v>
      </c>
      <c r="D224" s="4">
        <v>521.25</v>
      </c>
      <c r="E224" s="4">
        <v>515</v>
      </c>
      <c r="F224" s="4" t="str">
        <v>385.70K</v>
      </c>
      <c r="G224" s="4" t="str">
        <v>-0.38%</v>
      </c>
      <c r="H224" s="3">
        <v>45042</v>
      </c>
      <c r="I224" s="4">
        <v>518.125</v>
      </c>
      <c r="O224" s="4">
        <v>1313</v>
      </c>
    </row>
    <row r="225" spans="1:15" x14ac:dyDescent="0.25">
      <c r="A225" s="3">
        <v>45041</v>
      </c>
      <c r="B225" s="4">
        <v>518.65</v>
      </c>
      <c r="C225" s="4">
        <v>515.25</v>
      </c>
      <c r="D225" s="4">
        <v>519.9</v>
      </c>
      <c r="E225" s="4">
        <v>513.29999999999995</v>
      </c>
      <c r="F225" s="4" t="str">
        <v>639.72K</v>
      </c>
      <c r="G225" s="4" t="str">
        <v>0.33%</v>
      </c>
      <c r="H225" s="3">
        <v>45041</v>
      </c>
      <c r="I225" s="4">
        <v>516.59999999999991</v>
      </c>
      <c r="O225" s="4">
        <v>1312</v>
      </c>
    </row>
    <row r="226" spans="1:15" x14ac:dyDescent="0.25">
      <c r="A226" s="3">
        <v>45040</v>
      </c>
      <c r="B226" s="4">
        <v>516.95000000000005</v>
      </c>
      <c r="C226" s="4">
        <v>518.9</v>
      </c>
      <c r="D226" s="4">
        <v>524.29999999999995</v>
      </c>
      <c r="E226" s="4">
        <v>515.4</v>
      </c>
      <c r="F226" s="4" t="str">
        <v>798.32K</v>
      </c>
      <c r="G226" s="4" t="str">
        <v>-0.35%</v>
      </c>
      <c r="H226" s="3">
        <v>45040</v>
      </c>
      <c r="I226" s="4">
        <v>519.84999999999991</v>
      </c>
      <c r="O226" s="4">
        <v>1311</v>
      </c>
    </row>
    <row r="227" spans="1:15" x14ac:dyDescent="0.25">
      <c r="A227" s="3">
        <v>45037</v>
      </c>
      <c r="B227" s="4">
        <v>518.75</v>
      </c>
      <c r="C227" s="4">
        <v>512</v>
      </c>
      <c r="D227" s="4">
        <v>520.65</v>
      </c>
      <c r="E227" s="4">
        <v>509.15</v>
      </c>
      <c r="F227" s="4" t="str">
        <v>1.11M</v>
      </c>
      <c r="G227" s="4" t="str">
        <v>0.98%</v>
      </c>
      <c r="H227" s="3">
        <v>45037</v>
      </c>
      <c r="I227" s="4">
        <v>514.9</v>
      </c>
      <c r="O227" s="4">
        <v>1310</v>
      </c>
    </row>
    <row r="228" spans="1:15" x14ac:dyDescent="0.25">
      <c r="A228" s="3">
        <v>45036</v>
      </c>
      <c r="B228" s="4">
        <v>513.70000000000005</v>
      </c>
      <c r="C228" s="4">
        <v>519</v>
      </c>
      <c r="D228" s="4">
        <v>519</v>
      </c>
      <c r="E228" s="4">
        <v>505.8</v>
      </c>
      <c r="F228" s="4" t="str">
        <v>1.26M</v>
      </c>
      <c r="G228" s="4" t="str">
        <v>-0.66%</v>
      </c>
      <c r="H228" s="3">
        <v>45036</v>
      </c>
      <c r="I228" s="4">
        <v>512.4</v>
      </c>
      <c r="O228" s="4">
        <v>1309</v>
      </c>
    </row>
    <row r="229" spans="1:15" x14ac:dyDescent="0.25">
      <c r="A229" s="3">
        <v>45035</v>
      </c>
      <c r="B229" s="4">
        <v>517.1</v>
      </c>
      <c r="C229" s="4">
        <v>518.75</v>
      </c>
      <c r="D229" s="4">
        <v>519.4</v>
      </c>
      <c r="E229" s="4">
        <v>513.5</v>
      </c>
      <c r="F229" s="4" t="str">
        <v>1.54M</v>
      </c>
      <c r="G229" s="4" t="str">
        <v>0.23%</v>
      </c>
      <c r="H229" s="3">
        <v>45035</v>
      </c>
      <c r="I229" s="4">
        <v>516.45000000000005</v>
      </c>
      <c r="O229" s="4">
        <v>1308</v>
      </c>
    </row>
    <row r="230" spans="1:15" x14ac:dyDescent="0.25">
      <c r="A230" s="3">
        <v>45034</v>
      </c>
      <c r="B230" s="4">
        <v>515.9</v>
      </c>
      <c r="C230" s="4">
        <v>500.85</v>
      </c>
      <c r="D230" s="4">
        <v>518.5</v>
      </c>
      <c r="E230" s="4">
        <v>499</v>
      </c>
      <c r="F230" s="4" t="str">
        <v>1.73M</v>
      </c>
      <c r="G230" s="4" t="str">
        <v>2.75%</v>
      </c>
      <c r="H230" s="3">
        <v>45034</v>
      </c>
      <c r="I230" s="4">
        <v>508.75</v>
      </c>
      <c r="O230" s="4">
        <v>1307</v>
      </c>
    </row>
    <row r="231" spans="1:15" x14ac:dyDescent="0.25">
      <c r="A231" s="3">
        <v>45033</v>
      </c>
      <c r="B231" s="4">
        <v>502.1</v>
      </c>
      <c r="C231" s="4">
        <v>506.45</v>
      </c>
      <c r="D231" s="4">
        <v>509.2</v>
      </c>
      <c r="E231" s="4">
        <v>500.1</v>
      </c>
      <c r="F231" s="4" t="str">
        <v>1.14M</v>
      </c>
      <c r="G231" s="4" t="str">
        <v>-0.31%</v>
      </c>
      <c r="H231" s="3">
        <v>45033</v>
      </c>
      <c r="I231" s="4">
        <v>504.65</v>
      </c>
      <c r="O231" s="4">
        <v>1306</v>
      </c>
    </row>
    <row r="232" spans="1:15" x14ac:dyDescent="0.25">
      <c r="A232" s="3">
        <v>45029</v>
      </c>
      <c r="B232" s="4">
        <v>503.65</v>
      </c>
      <c r="C232" s="4">
        <v>504.5</v>
      </c>
      <c r="D232" s="4">
        <v>506.75</v>
      </c>
      <c r="E232" s="4">
        <v>501.75</v>
      </c>
      <c r="F232" s="4" t="str">
        <v>749.24K</v>
      </c>
      <c r="G232" s="4" t="str">
        <v>-0.19%</v>
      </c>
      <c r="H232" s="3">
        <v>45029</v>
      </c>
      <c r="I232" s="4">
        <v>504.25</v>
      </c>
      <c r="O232" s="4">
        <v>1305</v>
      </c>
    </row>
    <row r="233" spans="1:15" x14ac:dyDescent="0.25">
      <c r="A233" s="3">
        <v>45028</v>
      </c>
      <c r="B233" s="4">
        <v>504.6</v>
      </c>
      <c r="C233" s="4">
        <v>503</v>
      </c>
      <c r="D233" s="4">
        <v>505.9</v>
      </c>
      <c r="E233" s="4">
        <v>498.4</v>
      </c>
      <c r="F233" s="4" t="str">
        <v>1.05M</v>
      </c>
      <c r="G233" s="4" t="str">
        <v>0.72%</v>
      </c>
      <c r="H233" s="3">
        <v>45028</v>
      </c>
      <c r="I233" s="4">
        <v>502.15</v>
      </c>
      <c r="O233" s="4">
        <v>1304</v>
      </c>
    </row>
    <row r="234" spans="1:15" x14ac:dyDescent="0.25">
      <c r="A234" s="3">
        <v>45027</v>
      </c>
      <c r="B234" s="4">
        <v>501</v>
      </c>
      <c r="C234" s="4">
        <v>496.95</v>
      </c>
      <c r="D234" s="4">
        <v>502</v>
      </c>
      <c r="E234" s="4">
        <v>493.75</v>
      </c>
      <c r="F234" s="4" t="str">
        <v>1.22M</v>
      </c>
      <c r="G234" s="4" t="str">
        <v>0.91%</v>
      </c>
      <c r="H234" s="3">
        <v>45027</v>
      </c>
      <c r="I234" s="4">
        <v>497.875</v>
      </c>
      <c r="O234" s="4">
        <v>1303</v>
      </c>
    </row>
    <row r="235" spans="1:15" x14ac:dyDescent="0.25">
      <c r="A235" s="3">
        <v>45026</v>
      </c>
      <c r="B235" s="4">
        <v>496.5</v>
      </c>
      <c r="C235" s="4">
        <v>494.15</v>
      </c>
      <c r="D235" s="4">
        <v>499.8</v>
      </c>
      <c r="E235" s="4">
        <v>492</v>
      </c>
      <c r="F235" s="4" t="str">
        <v>969.58K</v>
      </c>
      <c r="G235" s="4" t="str">
        <v>0.48%</v>
      </c>
      <c r="H235" s="3">
        <v>45026</v>
      </c>
      <c r="I235" s="4">
        <v>495.9</v>
      </c>
      <c r="O235" s="4">
        <v>1302</v>
      </c>
    </row>
    <row r="236" spans="1:15" x14ac:dyDescent="0.25">
      <c r="A236" s="3">
        <v>45022</v>
      </c>
      <c r="B236" s="4">
        <v>494.15</v>
      </c>
      <c r="C236" s="4">
        <v>492</v>
      </c>
      <c r="D236" s="4">
        <v>497.05</v>
      </c>
      <c r="E236" s="4">
        <v>490.5</v>
      </c>
      <c r="F236" s="4" t="str">
        <v>904.25K</v>
      </c>
      <c r="G236" s="4" t="str">
        <v>0.21%</v>
      </c>
      <c r="H236" s="3">
        <v>45022</v>
      </c>
      <c r="I236" s="4">
        <v>493.77499999999998</v>
      </c>
      <c r="O236" s="4">
        <v>1301</v>
      </c>
    </row>
    <row r="237" spans="1:15" x14ac:dyDescent="0.25">
      <c r="A237" s="3">
        <v>45021</v>
      </c>
      <c r="B237" s="4">
        <v>493.1</v>
      </c>
      <c r="C237" s="4">
        <v>488</v>
      </c>
      <c r="D237" s="4">
        <v>494.2</v>
      </c>
      <c r="E237" s="4">
        <v>486</v>
      </c>
      <c r="F237" s="4" t="str">
        <v>690.99K</v>
      </c>
      <c r="G237" s="4" t="str">
        <v>0.14%</v>
      </c>
      <c r="H237" s="3">
        <v>45021</v>
      </c>
      <c r="I237" s="4">
        <v>490.1</v>
      </c>
      <c r="O237" s="4">
        <v>1300</v>
      </c>
    </row>
    <row r="238" spans="1:15" x14ac:dyDescent="0.25">
      <c r="A238" s="3">
        <v>45019</v>
      </c>
      <c r="B238" s="4">
        <v>492.4</v>
      </c>
      <c r="C238" s="4">
        <v>498</v>
      </c>
      <c r="D238" s="4">
        <v>498</v>
      </c>
      <c r="E238" s="4">
        <v>489.2</v>
      </c>
      <c r="F238" s="4" t="str">
        <v>708.52K</v>
      </c>
      <c r="G238" s="4" t="str">
        <v>0.17%</v>
      </c>
      <c r="H238" s="3">
        <v>45019</v>
      </c>
      <c r="I238" s="4">
        <v>493.6</v>
      </c>
      <c r="O238" s="4">
        <v>1299</v>
      </c>
    </row>
    <row r="239" spans="1:15" x14ac:dyDescent="0.25">
      <c r="A239" s="3">
        <v>45016</v>
      </c>
      <c r="B239" s="4">
        <v>491.55</v>
      </c>
      <c r="C239" s="4">
        <v>490.95</v>
      </c>
      <c r="D239" s="4">
        <v>494.9</v>
      </c>
      <c r="E239" s="4">
        <v>485.05</v>
      </c>
      <c r="F239" s="4" t="str">
        <v>1.12M</v>
      </c>
      <c r="G239" s="4" t="str">
        <v>0.24%</v>
      </c>
      <c r="H239" s="3">
        <v>45016</v>
      </c>
      <c r="I239" s="4">
        <v>489.97500000000002</v>
      </c>
      <c r="O239" s="4">
        <v>1298</v>
      </c>
    </row>
    <row r="240" spans="1:15" x14ac:dyDescent="0.25">
      <c r="A240" s="3">
        <v>45014</v>
      </c>
      <c r="B240" s="4">
        <v>490.35</v>
      </c>
      <c r="C240" s="4">
        <v>487.1</v>
      </c>
      <c r="D240" s="4">
        <v>493.15</v>
      </c>
      <c r="E240" s="4">
        <v>483.5</v>
      </c>
      <c r="F240" s="4" t="str">
        <v>1.28M</v>
      </c>
      <c r="G240" s="4" t="str">
        <v>1.16%</v>
      </c>
      <c r="H240" s="3">
        <v>45014</v>
      </c>
      <c r="I240" s="4">
        <v>488.32499999999999</v>
      </c>
      <c r="O240" s="4">
        <v>1297</v>
      </c>
    </row>
    <row r="241" spans="1:15" x14ac:dyDescent="0.25">
      <c r="A241" s="3">
        <v>45013</v>
      </c>
      <c r="B241" s="4">
        <v>484.75</v>
      </c>
      <c r="C241" s="4">
        <v>481.9</v>
      </c>
      <c r="D241" s="4">
        <v>489</v>
      </c>
      <c r="E241" s="4">
        <v>478.2</v>
      </c>
      <c r="F241" s="4" t="str">
        <v>707.82K</v>
      </c>
      <c r="G241" s="4" t="str">
        <v>0.59%</v>
      </c>
      <c r="H241" s="3">
        <v>45013</v>
      </c>
      <c r="I241" s="4">
        <v>483.6</v>
      </c>
      <c r="O241" s="4">
        <v>1296</v>
      </c>
    </row>
    <row r="242" spans="1:15" x14ac:dyDescent="0.25">
      <c r="A242" s="3">
        <v>45012</v>
      </c>
      <c r="B242" s="4">
        <v>481.9</v>
      </c>
      <c r="C242" s="4">
        <v>475.25</v>
      </c>
      <c r="D242" s="4">
        <v>486.6</v>
      </c>
      <c r="E242" s="4">
        <v>475.05</v>
      </c>
      <c r="F242" s="4" t="str">
        <v>843.62K</v>
      </c>
      <c r="G242" s="4" t="str">
        <v>0.25%</v>
      </c>
      <c r="H242" s="3">
        <v>45012</v>
      </c>
      <c r="I242" s="4">
        <v>480.82500000000005</v>
      </c>
      <c r="O242" s="4">
        <v>1295</v>
      </c>
    </row>
    <row r="243" spans="1:15" x14ac:dyDescent="0.25">
      <c r="A243" s="3">
        <v>45009</v>
      </c>
      <c r="B243" s="4">
        <v>480.7</v>
      </c>
      <c r="C243" s="4">
        <v>483.5</v>
      </c>
      <c r="D243" s="4">
        <v>487</v>
      </c>
      <c r="E243" s="4">
        <v>478.8</v>
      </c>
      <c r="F243" s="4" t="str">
        <v>938.60K</v>
      </c>
      <c r="G243" s="4" t="str">
        <v>-0.33%</v>
      </c>
      <c r="H243" s="3">
        <v>45009</v>
      </c>
      <c r="I243" s="4">
        <v>482.9</v>
      </c>
      <c r="O243" s="4">
        <v>1294</v>
      </c>
    </row>
    <row r="244" spans="1:15" x14ac:dyDescent="0.25">
      <c r="A244" s="3">
        <v>45008</v>
      </c>
      <c r="B244" s="4">
        <v>482.3</v>
      </c>
      <c r="C244" s="4">
        <v>479.05</v>
      </c>
      <c r="D244" s="4">
        <v>484.6</v>
      </c>
      <c r="E244" s="4">
        <v>478.35</v>
      </c>
      <c r="F244" s="4" t="str">
        <v>831.79K</v>
      </c>
      <c r="G244" s="4" t="str">
        <v>0.76%</v>
      </c>
      <c r="H244" s="3">
        <v>45008</v>
      </c>
      <c r="I244" s="4">
        <v>481.47500000000002</v>
      </c>
      <c r="O244" s="4">
        <v>1293</v>
      </c>
    </row>
    <row r="245" spans="1:15" x14ac:dyDescent="0.25">
      <c r="A245" s="3">
        <v>45007</v>
      </c>
      <c r="B245" s="4">
        <v>478.65</v>
      </c>
      <c r="C245" s="4">
        <v>479</v>
      </c>
      <c r="D245" s="4">
        <v>483.7</v>
      </c>
      <c r="E245" s="4">
        <v>473.35</v>
      </c>
      <c r="F245" s="4" t="str">
        <v>904.66K</v>
      </c>
      <c r="G245" s="4" t="str">
        <v>0.06%</v>
      </c>
      <c r="H245" s="3">
        <v>45007</v>
      </c>
      <c r="I245" s="4">
        <v>478.52499999999998</v>
      </c>
      <c r="O245" s="4">
        <v>1292</v>
      </c>
    </row>
    <row r="246" spans="1:15" x14ac:dyDescent="0.25">
      <c r="A246" s="3">
        <v>45006</v>
      </c>
      <c r="B246" s="4">
        <v>478.35</v>
      </c>
      <c r="C246" s="4">
        <v>478.6</v>
      </c>
      <c r="D246" s="4">
        <v>480</v>
      </c>
      <c r="E246" s="4">
        <v>473.35</v>
      </c>
      <c r="F246" s="4" t="str">
        <v>792.64K</v>
      </c>
      <c r="G246" s="4" t="str">
        <v>0.45%</v>
      </c>
      <c r="H246" s="3">
        <v>45006</v>
      </c>
      <c r="I246" s="4">
        <v>476.67500000000001</v>
      </c>
      <c r="O246" s="4">
        <v>1291</v>
      </c>
    </row>
    <row r="247" spans="1:15" x14ac:dyDescent="0.25">
      <c r="A247" s="3">
        <v>45005</v>
      </c>
      <c r="B247" s="4">
        <v>476.2</v>
      </c>
      <c r="C247" s="4">
        <v>472.05</v>
      </c>
      <c r="D247" s="4">
        <v>478</v>
      </c>
      <c r="E247" s="4">
        <v>468.85</v>
      </c>
      <c r="F247" s="4" t="str">
        <v>637.49K</v>
      </c>
      <c r="G247" s="4" t="str">
        <v>-0.24%</v>
      </c>
      <c r="H247" s="3">
        <v>45005</v>
      </c>
      <c r="I247" s="4">
        <v>473.42500000000001</v>
      </c>
      <c r="O247" s="4">
        <v>1290</v>
      </c>
    </row>
    <row r="248" spans="1:15" x14ac:dyDescent="0.25">
      <c r="A248" s="3">
        <v>45002</v>
      </c>
      <c r="B248" s="4">
        <v>477.35</v>
      </c>
      <c r="C248" s="4">
        <v>483.5</v>
      </c>
      <c r="D248" s="4">
        <v>486</v>
      </c>
      <c r="E248" s="4">
        <v>474.3</v>
      </c>
      <c r="F248" s="4" t="str">
        <v>1.06M</v>
      </c>
      <c r="G248" s="4" t="str">
        <v>-0.48%</v>
      </c>
      <c r="H248" s="3">
        <v>45002</v>
      </c>
      <c r="I248" s="4">
        <v>480.15</v>
      </c>
      <c r="O248" s="4">
        <v>1289</v>
      </c>
    </row>
    <row r="249" spans="1:15" x14ac:dyDescent="0.25">
      <c r="A249" s="3">
        <v>45001</v>
      </c>
      <c r="B249" s="4">
        <v>479.65</v>
      </c>
      <c r="C249" s="4">
        <v>473.4</v>
      </c>
      <c r="D249" s="4">
        <v>488.3</v>
      </c>
      <c r="E249" s="4">
        <v>470.05</v>
      </c>
      <c r="F249" s="4" t="str">
        <v>1.59M</v>
      </c>
      <c r="G249" s="4" t="str">
        <v>1.32%</v>
      </c>
      <c r="H249" s="3">
        <v>45001</v>
      </c>
      <c r="I249" s="4">
        <v>479.17500000000001</v>
      </c>
      <c r="O249" s="4">
        <v>1288</v>
      </c>
    </row>
    <row r="250" spans="1:15" x14ac:dyDescent="0.25">
      <c r="A250" s="3">
        <v>45000</v>
      </c>
      <c r="B250" s="4">
        <v>473.4</v>
      </c>
      <c r="C250" s="4">
        <v>472.5</v>
      </c>
      <c r="D250" s="4">
        <v>476</v>
      </c>
      <c r="E250" s="4">
        <v>469.2</v>
      </c>
      <c r="F250" s="4" t="str">
        <v>835.88K</v>
      </c>
      <c r="G250" s="4" t="str">
        <v>0.61%</v>
      </c>
      <c r="H250" s="3">
        <v>45000</v>
      </c>
      <c r="I250" s="4">
        <v>472.6</v>
      </c>
      <c r="O250" s="4">
        <v>1287</v>
      </c>
    </row>
    <row r="251" spans="1:15" x14ac:dyDescent="0.25">
      <c r="A251" s="3">
        <v>44999</v>
      </c>
      <c r="B251" s="4">
        <v>470.55</v>
      </c>
      <c r="C251" s="4">
        <v>466.2</v>
      </c>
      <c r="D251" s="4">
        <v>472.6</v>
      </c>
      <c r="E251" s="4">
        <v>464.1</v>
      </c>
      <c r="F251" s="4" t="str">
        <v>910.05K</v>
      </c>
      <c r="G251" s="4" t="str">
        <v>0.93%</v>
      </c>
      <c r="H251" s="3">
        <v>44999</v>
      </c>
      <c r="I251" s="4">
        <v>468.35</v>
      </c>
      <c r="O251" s="4">
        <v>1286</v>
      </c>
    </row>
    <row r="252" spans="1:15" x14ac:dyDescent="0.25">
      <c r="A252" s="3">
        <v>44998</v>
      </c>
      <c r="B252" s="4">
        <v>466.2</v>
      </c>
      <c r="C252" s="4">
        <v>477.3</v>
      </c>
      <c r="D252" s="4">
        <v>477.3</v>
      </c>
      <c r="E252" s="4">
        <v>461.45</v>
      </c>
      <c r="F252" s="4" t="str">
        <v>764.67K</v>
      </c>
      <c r="G252" s="4" t="str">
        <v>-1.83%</v>
      </c>
      <c r="H252" s="3">
        <v>44998</v>
      </c>
      <c r="I252" s="4">
        <v>469.375</v>
      </c>
      <c r="O252" s="4">
        <v>1285</v>
      </c>
    </row>
    <row r="253" spans="1:15" x14ac:dyDescent="0.25">
      <c r="A253" s="3">
        <v>44995</v>
      </c>
      <c r="B253" s="4">
        <v>474.9</v>
      </c>
      <c r="C253" s="4">
        <v>469</v>
      </c>
      <c r="D253" s="4">
        <v>478.45</v>
      </c>
      <c r="E253" s="4">
        <v>466.05</v>
      </c>
      <c r="F253" s="4" t="str">
        <v>1.96M</v>
      </c>
      <c r="G253" s="4" t="str">
        <v>1.32%</v>
      </c>
      <c r="H253" s="3">
        <v>44995</v>
      </c>
      <c r="I253" s="4">
        <v>472.25</v>
      </c>
      <c r="O253" s="4">
        <v>1284</v>
      </c>
    </row>
    <row r="254" spans="1:15" x14ac:dyDescent="0.25">
      <c r="A254" s="3">
        <v>44994</v>
      </c>
      <c r="B254" s="4">
        <v>468.7</v>
      </c>
      <c r="C254" s="4">
        <v>471.5</v>
      </c>
      <c r="D254" s="4">
        <v>475.4</v>
      </c>
      <c r="E254" s="4">
        <v>467</v>
      </c>
      <c r="F254" s="4" t="str">
        <v>551.90K</v>
      </c>
      <c r="G254" s="4" t="str">
        <v>-0.58%</v>
      </c>
      <c r="H254" s="3">
        <v>44994</v>
      </c>
      <c r="I254" s="4">
        <v>471.2</v>
      </c>
      <c r="O254" s="4">
        <v>1283</v>
      </c>
    </row>
    <row r="255" spans="1:15" x14ac:dyDescent="0.25">
      <c r="A255" s="3">
        <v>44993</v>
      </c>
      <c r="B255" s="4">
        <v>471.45</v>
      </c>
      <c r="C255" s="4">
        <v>475</v>
      </c>
      <c r="D255" s="4">
        <v>479.35</v>
      </c>
      <c r="E255" s="4">
        <v>470.25</v>
      </c>
      <c r="F255" s="4" t="str">
        <v>732.95K</v>
      </c>
      <c r="G255" s="4" t="str">
        <v>-0.99%</v>
      </c>
      <c r="H255" s="3">
        <v>44993</v>
      </c>
      <c r="I255" s="4">
        <v>474.8</v>
      </c>
      <c r="O255" s="4">
        <v>1282</v>
      </c>
    </row>
    <row r="256" spans="1:15" x14ac:dyDescent="0.25">
      <c r="A256" s="3">
        <v>44991</v>
      </c>
      <c r="B256" s="4">
        <v>476.15</v>
      </c>
      <c r="C256" s="4">
        <v>475.15</v>
      </c>
      <c r="D256" s="4">
        <v>479.7</v>
      </c>
      <c r="E256" s="4">
        <v>474.1</v>
      </c>
      <c r="F256" s="4" t="str">
        <v>696.28K</v>
      </c>
      <c r="G256" s="4" t="str">
        <v>0.68%</v>
      </c>
      <c r="H256" s="3">
        <v>44991</v>
      </c>
      <c r="I256" s="4">
        <v>476.9</v>
      </c>
      <c r="O256" s="4">
        <v>1281</v>
      </c>
    </row>
    <row r="257" spans="1:15" x14ac:dyDescent="0.25">
      <c r="A257" s="3">
        <v>44988</v>
      </c>
      <c r="B257" s="4">
        <v>472.95</v>
      </c>
      <c r="C257" s="4">
        <v>469.1</v>
      </c>
      <c r="D257" s="4">
        <v>474.65</v>
      </c>
      <c r="E257" s="4">
        <v>468.1</v>
      </c>
      <c r="F257" s="4" t="str">
        <v>708.42K</v>
      </c>
      <c r="G257" s="4" t="str">
        <v>1.33%</v>
      </c>
      <c r="H257" s="3">
        <v>44988</v>
      </c>
      <c r="I257" s="4">
        <v>471.375</v>
      </c>
      <c r="O257" s="4">
        <v>1280</v>
      </c>
    </row>
    <row r="258" spans="1:15" x14ac:dyDescent="0.25">
      <c r="A258" s="3">
        <v>44987</v>
      </c>
      <c r="B258" s="4">
        <v>466.75</v>
      </c>
      <c r="C258" s="4">
        <v>474</v>
      </c>
      <c r="D258" s="4">
        <v>476.5</v>
      </c>
      <c r="E258" s="4">
        <v>465.2</v>
      </c>
      <c r="F258" s="4" t="str">
        <v>652.77K</v>
      </c>
      <c r="G258" s="4" t="str">
        <v>-1.44%</v>
      </c>
      <c r="H258" s="3">
        <v>44987</v>
      </c>
      <c r="I258" s="4">
        <v>470.85</v>
      </c>
      <c r="O258" s="4">
        <v>1279</v>
      </c>
    </row>
    <row r="259" spans="1:15" x14ac:dyDescent="0.25">
      <c r="A259" s="3">
        <v>44986</v>
      </c>
      <c r="B259" s="4">
        <v>473.55</v>
      </c>
      <c r="C259" s="4">
        <v>468.95</v>
      </c>
      <c r="D259" s="4">
        <v>476</v>
      </c>
      <c r="E259" s="4">
        <v>463.05</v>
      </c>
      <c r="F259" s="4" t="str">
        <v>1.47M</v>
      </c>
      <c r="G259" s="4" t="str">
        <v>1.66%</v>
      </c>
      <c r="H259" s="3">
        <v>44986</v>
      </c>
      <c r="I259" s="4">
        <v>469.52499999999998</v>
      </c>
      <c r="O259" s="4">
        <v>1278</v>
      </c>
    </row>
    <row r="260" spans="1:15" x14ac:dyDescent="0.25">
      <c r="A260" s="3">
        <v>44985</v>
      </c>
      <c r="B260" s="4">
        <v>465.8</v>
      </c>
      <c r="C260" s="4">
        <v>457.4</v>
      </c>
      <c r="D260" s="4">
        <v>467</v>
      </c>
      <c r="E260" s="4">
        <v>454.4</v>
      </c>
      <c r="F260" s="4" t="str">
        <v>835.58K</v>
      </c>
      <c r="G260" s="4" t="str">
        <v>2.14%</v>
      </c>
      <c r="H260" s="3">
        <v>44985</v>
      </c>
      <c r="I260" s="4">
        <v>460.7</v>
      </c>
      <c r="O260" s="4">
        <v>1277</v>
      </c>
    </row>
    <row r="261" spans="1:15" x14ac:dyDescent="0.25">
      <c r="A261" s="3">
        <v>44984</v>
      </c>
      <c r="B261" s="4">
        <v>456.05</v>
      </c>
      <c r="C261" s="4">
        <v>466.35</v>
      </c>
      <c r="D261" s="4">
        <v>466.35</v>
      </c>
      <c r="E261" s="4">
        <v>452.2</v>
      </c>
      <c r="F261" s="4" t="str">
        <v>937.56K</v>
      </c>
      <c r="G261" s="4" t="str">
        <v>-2.23%</v>
      </c>
      <c r="H261" s="3">
        <v>44984</v>
      </c>
      <c r="I261" s="4">
        <v>459.27499999999998</v>
      </c>
      <c r="O261" s="4">
        <v>1276</v>
      </c>
    </row>
    <row r="262" spans="1:15" x14ac:dyDescent="0.25">
      <c r="A262" s="3">
        <v>44981</v>
      </c>
      <c r="B262" s="4">
        <v>466.45</v>
      </c>
      <c r="C262" s="4">
        <v>468.5</v>
      </c>
      <c r="D262" s="4">
        <v>471.65</v>
      </c>
      <c r="E262" s="4">
        <v>461.5</v>
      </c>
      <c r="F262" s="4" t="str">
        <v>892.85K</v>
      </c>
      <c r="G262" s="4" t="str">
        <v>-0.30%</v>
      </c>
      <c r="H262" s="3">
        <v>44981</v>
      </c>
      <c r="I262" s="4">
        <v>466.57499999999999</v>
      </c>
      <c r="O262" s="4">
        <v>1275</v>
      </c>
    </row>
    <row r="263" spans="1:15" x14ac:dyDescent="0.25">
      <c r="A263" s="3">
        <v>44980</v>
      </c>
      <c r="B263" s="4">
        <v>467.85</v>
      </c>
      <c r="C263" s="4">
        <v>465.65</v>
      </c>
      <c r="D263" s="4">
        <v>469.95</v>
      </c>
      <c r="E263" s="4">
        <v>459.05</v>
      </c>
      <c r="F263" s="4" t="str">
        <v>841.91K</v>
      </c>
      <c r="G263" s="4" t="str">
        <v>0.78%</v>
      </c>
      <c r="H263" s="3">
        <v>44980</v>
      </c>
      <c r="I263" s="4">
        <v>464.5</v>
      </c>
      <c r="O263" s="4">
        <v>1274</v>
      </c>
    </row>
    <row r="264" spans="1:15" x14ac:dyDescent="0.25">
      <c r="A264" s="3">
        <v>44979</v>
      </c>
      <c r="B264" s="4">
        <v>464.25</v>
      </c>
      <c r="C264" s="4">
        <v>467.7</v>
      </c>
      <c r="D264" s="4">
        <v>469.45</v>
      </c>
      <c r="E264" s="4">
        <v>460.1</v>
      </c>
      <c r="F264" s="4" t="str">
        <v>715.22K</v>
      </c>
      <c r="G264" s="4" t="str">
        <v>-0.90%</v>
      </c>
      <c r="H264" s="3">
        <v>44979</v>
      </c>
      <c r="I264" s="4">
        <v>464.77499999999998</v>
      </c>
      <c r="O264" s="4">
        <v>1273</v>
      </c>
    </row>
    <row r="265" spans="1:15" x14ac:dyDescent="0.25">
      <c r="A265" s="3">
        <v>44978</v>
      </c>
      <c r="B265" s="4">
        <v>468.45</v>
      </c>
      <c r="C265" s="4">
        <v>466.7</v>
      </c>
      <c r="D265" s="4">
        <v>472.3</v>
      </c>
      <c r="E265" s="4">
        <v>463.3</v>
      </c>
      <c r="F265" s="4" t="str">
        <v>693.83K</v>
      </c>
      <c r="G265" s="4" t="str">
        <v>0.86%</v>
      </c>
      <c r="H265" s="3">
        <v>44978</v>
      </c>
      <c r="I265" s="4">
        <v>467.8</v>
      </c>
      <c r="O265" s="4">
        <v>1272</v>
      </c>
    </row>
    <row r="266" spans="1:15" x14ac:dyDescent="0.25">
      <c r="A266" s="3">
        <v>44977</v>
      </c>
      <c r="B266" s="4">
        <v>464.45</v>
      </c>
      <c r="C266" s="4">
        <v>473.35</v>
      </c>
      <c r="D266" s="4">
        <v>473.35</v>
      </c>
      <c r="E266" s="4">
        <v>461.75</v>
      </c>
      <c r="F266" s="4" t="str">
        <v>738.66K</v>
      </c>
      <c r="G266" s="4" t="str">
        <v>-1.32%</v>
      </c>
      <c r="H266" s="3">
        <v>44977</v>
      </c>
      <c r="I266" s="4">
        <v>467.55</v>
      </c>
      <c r="O266" s="4">
        <v>1271</v>
      </c>
    </row>
    <row r="267" spans="1:15" x14ac:dyDescent="0.25">
      <c r="A267" s="3">
        <v>44974</v>
      </c>
      <c r="B267" s="4">
        <v>470.65</v>
      </c>
      <c r="C267" s="4">
        <v>477.3</v>
      </c>
      <c r="D267" s="4">
        <v>479.15</v>
      </c>
      <c r="E267" s="4">
        <v>469.45</v>
      </c>
      <c r="F267" s="4" t="str">
        <v>591.34K</v>
      </c>
      <c r="G267" s="4" t="str">
        <v>-1.39%</v>
      </c>
      <c r="H267" s="3">
        <v>44974</v>
      </c>
      <c r="I267" s="4">
        <v>474.29999999999995</v>
      </c>
      <c r="O267" s="4">
        <v>1270</v>
      </c>
    </row>
    <row r="268" spans="1:15" x14ac:dyDescent="0.25">
      <c r="A268" s="3">
        <v>44973</v>
      </c>
      <c r="B268" s="4">
        <v>477.3</v>
      </c>
      <c r="C268" s="4">
        <v>470</v>
      </c>
      <c r="D268" s="4">
        <v>480</v>
      </c>
      <c r="E268" s="4">
        <v>470</v>
      </c>
      <c r="F268" s="4" t="str">
        <v>1.32M</v>
      </c>
      <c r="G268" s="4" t="str">
        <v>1.70%</v>
      </c>
      <c r="H268" s="3">
        <v>44973</v>
      </c>
      <c r="I268" s="4">
        <v>475</v>
      </c>
      <c r="O268" s="4">
        <v>1269</v>
      </c>
    </row>
    <row r="269" spans="1:15" x14ac:dyDescent="0.25">
      <c r="A269" s="3">
        <v>44972</v>
      </c>
      <c r="B269" s="4">
        <v>469.3</v>
      </c>
      <c r="C269" s="4">
        <v>470.8</v>
      </c>
      <c r="D269" s="4">
        <v>474.7</v>
      </c>
      <c r="E269" s="4">
        <v>465.9</v>
      </c>
      <c r="F269" s="4" t="str">
        <v>703.30K</v>
      </c>
      <c r="G269" s="4" t="str">
        <v>-0.79%</v>
      </c>
      <c r="H269" s="3">
        <v>44972</v>
      </c>
      <c r="I269" s="4">
        <v>470.29999999999995</v>
      </c>
      <c r="O269" s="4">
        <v>1268</v>
      </c>
    </row>
    <row r="270" spans="1:15" x14ac:dyDescent="0.25">
      <c r="A270" s="3">
        <v>44971</v>
      </c>
      <c r="B270" s="4">
        <v>473.05</v>
      </c>
      <c r="C270" s="4">
        <v>473.8</v>
      </c>
      <c r="D270" s="4">
        <v>474.9</v>
      </c>
      <c r="E270" s="4">
        <v>467.75</v>
      </c>
      <c r="F270" s="4" t="str">
        <v>638.81K</v>
      </c>
      <c r="G270" s="4" t="str">
        <v>0.34%</v>
      </c>
      <c r="H270" s="3">
        <v>44971</v>
      </c>
      <c r="I270" s="4">
        <v>471.32499999999999</v>
      </c>
      <c r="O270" s="4">
        <v>1267</v>
      </c>
    </row>
    <row r="271" spans="1:15" x14ac:dyDescent="0.25">
      <c r="A271" s="3">
        <v>44970</v>
      </c>
      <c r="B271" s="4">
        <v>471.45</v>
      </c>
      <c r="C271" s="4">
        <v>476.85</v>
      </c>
      <c r="D271" s="4">
        <v>476.85</v>
      </c>
      <c r="E271" s="4">
        <v>466.15</v>
      </c>
      <c r="F271" s="4" t="str">
        <v>554.98K</v>
      </c>
      <c r="G271" s="4" t="str">
        <v>-0.43%</v>
      </c>
      <c r="H271" s="3">
        <v>44970</v>
      </c>
      <c r="I271" s="4">
        <v>471.5</v>
      </c>
      <c r="O271" s="4">
        <v>1266</v>
      </c>
    </row>
    <row r="272" spans="1:15" x14ac:dyDescent="0.25">
      <c r="A272" s="3">
        <v>44967</v>
      </c>
      <c r="B272" s="4">
        <v>473.5</v>
      </c>
      <c r="C272" s="4">
        <v>473.5</v>
      </c>
      <c r="D272" s="4">
        <v>477.45</v>
      </c>
      <c r="E272" s="4">
        <v>471.75</v>
      </c>
      <c r="F272" s="4" t="str">
        <v>378.66K</v>
      </c>
      <c r="G272" s="4" t="str">
        <v>-0.19%</v>
      </c>
      <c r="H272" s="3">
        <v>44967</v>
      </c>
      <c r="I272" s="4">
        <v>474.6</v>
      </c>
      <c r="O272" s="4">
        <v>1265</v>
      </c>
    </row>
    <row r="273" spans="1:15" x14ac:dyDescent="0.25">
      <c r="A273" s="3">
        <v>44966</v>
      </c>
      <c r="B273" s="4">
        <v>474.4</v>
      </c>
      <c r="C273" s="4">
        <v>469.7</v>
      </c>
      <c r="D273" s="4">
        <v>480.5</v>
      </c>
      <c r="E273" s="4">
        <v>469</v>
      </c>
      <c r="F273" s="4" t="str">
        <v>1.14M</v>
      </c>
      <c r="G273" s="4" t="str">
        <v>0.08%</v>
      </c>
      <c r="H273" s="3">
        <v>44966</v>
      </c>
      <c r="I273" s="4">
        <v>474.75</v>
      </c>
      <c r="O273" s="4">
        <v>1264</v>
      </c>
    </row>
    <row r="274" spans="1:15" x14ac:dyDescent="0.25">
      <c r="A274" s="3">
        <v>44965</v>
      </c>
      <c r="B274" s="4">
        <v>474</v>
      </c>
      <c r="C274" s="4">
        <v>480.15</v>
      </c>
      <c r="D274" s="4">
        <v>482.25</v>
      </c>
      <c r="E274" s="4">
        <v>468.45</v>
      </c>
      <c r="F274" s="4" t="str">
        <v>2.19M</v>
      </c>
      <c r="G274" s="4" t="str">
        <v>-1.14%</v>
      </c>
      <c r="H274" s="3">
        <v>44965</v>
      </c>
      <c r="I274" s="4">
        <v>475.35</v>
      </c>
      <c r="O274" s="4">
        <v>1263</v>
      </c>
    </row>
    <row r="275" spans="1:15" x14ac:dyDescent="0.25">
      <c r="A275" s="3">
        <v>44964</v>
      </c>
      <c r="B275" s="4">
        <v>479.45</v>
      </c>
      <c r="C275" s="4">
        <v>470.2</v>
      </c>
      <c r="D275" s="4">
        <v>480.7</v>
      </c>
      <c r="E275" s="4">
        <v>469</v>
      </c>
      <c r="F275" s="4" t="str">
        <v>2.59M</v>
      </c>
      <c r="G275" s="4" t="str">
        <v>1.98%</v>
      </c>
      <c r="H275" s="3">
        <v>44964</v>
      </c>
      <c r="I275" s="4">
        <v>474.85</v>
      </c>
      <c r="O275" s="4">
        <v>1262</v>
      </c>
    </row>
    <row r="276" spans="1:15" x14ac:dyDescent="0.25">
      <c r="A276" s="3">
        <v>44963</v>
      </c>
      <c r="B276" s="4">
        <v>470.15</v>
      </c>
      <c r="C276" s="4">
        <v>452</v>
      </c>
      <c r="D276" s="4">
        <v>476.5</v>
      </c>
      <c r="E276" s="4">
        <v>446.95</v>
      </c>
      <c r="F276" s="4" t="str">
        <v>7.08M</v>
      </c>
      <c r="G276" s="4" t="str">
        <v>8.17%</v>
      </c>
      <c r="H276" s="3">
        <v>44963</v>
      </c>
      <c r="I276" s="4">
        <v>461.72500000000002</v>
      </c>
      <c r="O276" s="4">
        <v>1261</v>
      </c>
    </row>
    <row r="277" spans="1:15" x14ac:dyDescent="0.25">
      <c r="A277" s="3">
        <v>44960</v>
      </c>
      <c r="B277" s="4">
        <v>434.65</v>
      </c>
      <c r="C277" s="4">
        <v>433.95</v>
      </c>
      <c r="D277" s="4">
        <v>442</v>
      </c>
      <c r="E277" s="4">
        <v>426.6</v>
      </c>
      <c r="F277" s="4" t="str">
        <v>1.46M</v>
      </c>
      <c r="G277" s="4" t="str">
        <v>0.42%</v>
      </c>
      <c r="H277" s="3">
        <v>44960</v>
      </c>
      <c r="I277" s="4">
        <v>434.3</v>
      </c>
      <c r="O277" s="4">
        <v>1260</v>
      </c>
    </row>
    <row r="278" spans="1:15" x14ac:dyDescent="0.25">
      <c r="A278" s="3">
        <v>44959</v>
      </c>
      <c r="B278" s="4">
        <v>432.85</v>
      </c>
      <c r="C278" s="4">
        <v>434</v>
      </c>
      <c r="D278" s="4">
        <v>440.95</v>
      </c>
      <c r="E278" s="4">
        <v>430.6</v>
      </c>
      <c r="F278" s="4" t="str">
        <v>425.00K</v>
      </c>
      <c r="G278" s="4" t="str">
        <v>-0.60%</v>
      </c>
      <c r="H278" s="3">
        <v>44959</v>
      </c>
      <c r="I278" s="4">
        <v>435.77499999999998</v>
      </c>
      <c r="O278" s="4">
        <v>1259</v>
      </c>
    </row>
    <row r="279" spans="1:15" x14ac:dyDescent="0.25">
      <c r="A279" s="3">
        <v>44958</v>
      </c>
      <c r="B279" s="4">
        <v>435.45</v>
      </c>
      <c r="C279" s="4">
        <v>434.1</v>
      </c>
      <c r="D279" s="4">
        <v>444.5</v>
      </c>
      <c r="E279" s="4">
        <v>430.85</v>
      </c>
      <c r="F279" s="4" t="str">
        <v>1.20M</v>
      </c>
      <c r="G279" s="4" t="str">
        <v>0.90%</v>
      </c>
      <c r="H279" s="3">
        <v>44958</v>
      </c>
      <c r="I279" s="4">
        <v>437.67500000000001</v>
      </c>
      <c r="O279" s="4">
        <v>1258</v>
      </c>
    </row>
    <row r="280" spans="1:15" x14ac:dyDescent="0.25">
      <c r="A280" s="3">
        <v>44957</v>
      </c>
      <c r="B280" s="4">
        <v>431.55</v>
      </c>
      <c r="C280" s="4">
        <v>427.95</v>
      </c>
      <c r="D280" s="4">
        <v>434.2</v>
      </c>
      <c r="E280" s="4">
        <v>425.7</v>
      </c>
      <c r="F280" s="4" t="str">
        <v>403.64K</v>
      </c>
      <c r="G280" s="4" t="str">
        <v>0.84%</v>
      </c>
      <c r="H280" s="3">
        <v>44957</v>
      </c>
      <c r="I280" s="4">
        <v>429.95</v>
      </c>
      <c r="O280" s="4">
        <v>1257</v>
      </c>
    </row>
    <row r="281" spans="1:15" x14ac:dyDescent="0.25">
      <c r="A281" s="3">
        <v>44956</v>
      </c>
      <c r="B281" s="4">
        <v>427.95</v>
      </c>
      <c r="C281" s="4">
        <v>433</v>
      </c>
      <c r="D281" s="4">
        <v>438.8</v>
      </c>
      <c r="E281" s="4">
        <v>425.8</v>
      </c>
      <c r="F281" s="4" t="str">
        <v>673.08K</v>
      </c>
      <c r="G281" s="4" t="str">
        <v>-0.55%</v>
      </c>
      <c r="H281" s="3">
        <v>44956</v>
      </c>
      <c r="I281" s="4">
        <v>432.3</v>
      </c>
      <c r="O281" s="4">
        <v>1256</v>
      </c>
    </row>
    <row r="282" spans="1:15" x14ac:dyDescent="0.25">
      <c r="A282" s="3">
        <v>44953</v>
      </c>
      <c r="B282" s="4">
        <v>430.3</v>
      </c>
      <c r="C282" s="4">
        <v>426.05</v>
      </c>
      <c r="D282" s="4">
        <v>433.95</v>
      </c>
      <c r="E282" s="4">
        <v>421.3</v>
      </c>
      <c r="F282" s="4" t="str">
        <v>1.31M</v>
      </c>
      <c r="G282" s="4" t="str">
        <v>0.86%</v>
      </c>
      <c r="H282" s="3">
        <v>44953</v>
      </c>
      <c r="I282" s="4">
        <v>427.625</v>
      </c>
      <c r="O282" s="4">
        <v>1255</v>
      </c>
    </row>
    <row r="283" spans="1:15" x14ac:dyDescent="0.25">
      <c r="A283" s="3">
        <v>44951</v>
      </c>
      <c r="B283" s="4">
        <v>426.65</v>
      </c>
      <c r="C283" s="4">
        <v>438</v>
      </c>
      <c r="D283" s="4">
        <v>438.55</v>
      </c>
      <c r="E283" s="4">
        <v>425.3</v>
      </c>
      <c r="F283" s="4" t="str">
        <v>750.79K</v>
      </c>
      <c r="G283" s="4" t="str">
        <v>-2.39%</v>
      </c>
      <c r="H283" s="3">
        <v>44951</v>
      </c>
      <c r="I283" s="4">
        <v>431.92500000000001</v>
      </c>
      <c r="O283" s="4">
        <v>1254</v>
      </c>
    </row>
    <row r="284" spans="1:15" x14ac:dyDescent="0.25">
      <c r="A284" s="3">
        <v>44950</v>
      </c>
      <c r="B284" s="4">
        <v>437.1</v>
      </c>
      <c r="C284" s="4">
        <v>443</v>
      </c>
      <c r="D284" s="4">
        <v>444.2</v>
      </c>
      <c r="E284" s="4">
        <v>434.3</v>
      </c>
      <c r="F284" s="4" t="str">
        <v>546.72K</v>
      </c>
      <c r="G284" s="4" t="str">
        <v>-1.62%</v>
      </c>
      <c r="H284" s="3">
        <v>44950</v>
      </c>
      <c r="I284" s="4">
        <v>439.25</v>
      </c>
      <c r="O284" s="4">
        <v>1253</v>
      </c>
    </row>
    <row r="285" spans="1:15" x14ac:dyDescent="0.25">
      <c r="A285" s="3">
        <v>44949</v>
      </c>
      <c r="B285" s="4">
        <v>444.3</v>
      </c>
      <c r="C285" s="4">
        <v>440.4</v>
      </c>
      <c r="D285" s="4">
        <v>447.65</v>
      </c>
      <c r="E285" s="4">
        <v>436</v>
      </c>
      <c r="F285" s="4" t="str">
        <v>1.11M</v>
      </c>
      <c r="G285" s="4" t="str">
        <v>1.39%</v>
      </c>
      <c r="H285" s="3">
        <v>44949</v>
      </c>
      <c r="I285" s="4">
        <v>441.82499999999999</v>
      </c>
      <c r="O285" s="4">
        <v>1252</v>
      </c>
    </row>
    <row r="286" spans="1:15" x14ac:dyDescent="0.25">
      <c r="A286" s="3">
        <v>44946</v>
      </c>
      <c r="B286" s="4">
        <v>438.2</v>
      </c>
      <c r="C286" s="4">
        <v>442</v>
      </c>
      <c r="D286" s="4">
        <v>442</v>
      </c>
      <c r="E286" s="4">
        <v>434.3</v>
      </c>
      <c r="F286" s="4" t="str">
        <v>407.30K</v>
      </c>
      <c r="G286" s="4" t="str">
        <v>-0.83%</v>
      </c>
      <c r="H286" s="3">
        <v>44946</v>
      </c>
      <c r="I286" s="4">
        <v>438.15</v>
      </c>
      <c r="O286" s="4">
        <v>1251</v>
      </c>
    </row>
    <row r="287" spans="1:15" x14ac:dyDescent="0.25">
      <c r="A287" s="3">
        <v>44945</v>
      </c>
      <c r="B287" s="4">
        <v>441.85</v>
      </c>
      <c r="C287" s="4">
        <v>443.5</v>
      </c>
      <c r="D287" s="4">
        <v>446.75</v>
      </c>
      <c r="E287" s="4">
        <v>439.65</v>
      </c>
      <c r="F287" s="4" t="str">
        <v>471.69K</v>
      </c>
      <c r="G287" s="4" t="str">
        <v>-0.36%</v>
      </c>
      <c r="H287" s="3">
        <v>44945</v>
      </c>
      <c r="I287" s="4">
        <v>443.2</v>
      </c>
      <c r="O287" s="4">
        <v>1250</v>
      </c>
    </row>
    <row r="288" spans="1:15" x14ac:dyDescent="0.25">
      <c r="A288" s="3">
        <v>44944</v>
      </c>
      <c r="B288" s="4">
        <v>443.45</v>
      </c>
      <c r="C288" s="4">
        <v>432.7</v>
      </c>
      <c r="D288" s="4">
        <v>445.6</v>
      </c>
      <c r="E288" s="4">
        <v>432</v>
      </c>
      <c r="F288" s="4" t="str">
        <v>1.77M</v>
      </c>
      <c r="G288" s="4" t="str">
        <v>2.78%</v>
      </c>
      <c r="H288" s="3">
        <v>44944</v>
      </c>
      <c r="I288" s="4">
        <v>438.8</v>
      </c>
      <c r="O288" s="4">
        <v>1249</v>
      </c>
    </row>
    <row r="289" spans="1:15" x14ac:dyDescent="0.25">
      <c r="A289" s="3">
        <v>44943</v>
      </c>
      <c r="B289" s="4">
        <v>431.45</v>
      </c>
      <c r="C289" s="4">
        <v>439</v>
      </c>
      <c r="D289" s="4">
        <v>440</v>
      </c>
      <c r="E289" s="4">
        <v>430</v>
      </c>
      <c r="F289" s="4" t="str">
        <v>989.69K</v>
      </c>
      <c r="G289" s="4" t="str">
        <v>-1.74%</v>
      </c>
      <c r="H289" s="3">
        <v>44943</v>
      </c>
      <c r="I289" s="4">
        <v>435</v>
      </c>
      <c r="O289" s="4">
        <v>1248</v>
      </c>
    </row>
    <row r="290" spans="1:15" x14ac:dyDescent="0.25">
      <c r="A290" s="3">
        <v>44942</v>
      </c>
      <c r="B290" s="4">
        <v>439.1</v>
      </c>
      <c r="C290" s="4">
        <v>442.75</v>
      </c>
      <c r="D290" s="4">
        <v>444.05</v>
      </c>
      <c r="E290" s="4">
        <v>437.3</v>
      </c>
      <c r="F290" s="4" t="str">
        <v>408.12K</v>
      </c>
      <c r="G290" s="4" t="str">
        <v>-0.51%</v>
      </c>
      <c r="H290" s="3">
        <v>44942</v>
      </c>
      <c r="I290" s="4">
        <v>440.67500000000001</v>
      </c>
      <c r="O290" s="4">
        <v>1247</v>
      </c>
    </row>
    <row r="291" spans="1:15" x14ac:dyDescent="0.25">
      <c r="A291" s="3">
        <v>44939</v>
      </c>
      <c r="B291" s="4">
        <v>441.35</v>
      </c>
      <c r="C291" s="4">
        <v>449.3</v>
      </c>
      <c r="D291" s="4">
        <v>449.3</v>
      </c>
      <c r="E291" s="4">
        <v>440.2</v>
      </c>
      <c r="F291" s="4" t="str">
        <v>950.06K</v>
      </c>
      <c r="G291" s="4" t="str">
        <v>-1.52%</v>
      </c>
      <c r="H291" s="3">
        <v>44939</v>
      </c>
      <c r="I291" s="4">
        <v>444.75</v>
      </c>
      <c r="O291" s="4">
        <v>1246</v>
      </c>
    </row>
    <row r="292" spans="1:15" x14ac:dyDescent="0.25">
      <c r="A292" s="3">
        <v>44938</v>
      </c>
      <c r="B292" s="4">
        <v>448.15</v>
      </c>
      <c r="C292" s="4">
        <v>452.05</v>
      </c>
      <c r="D292" s="4">
        <v>457.3</v>
      </c>
      <c r="E292" s="4">
        <v>444.15</v>
      </c>
      <c r="F292" s="4" t="str">
        <v>1.55M</v>
      </c>
      <c r="G292" s="4" t="str">
        <v>-0.93%</v>
      </c>
      <c r="H292" s="3">
        <v>44938</v>
      </c>
      <c r="I292" s="4">
        <v>450.72500000000002</v>
      </c>
      <c r="O292" s="4">
        <v>1245</v>
      </c>
    </row>
    <row r="293" spans="1:15" x14ac:dyDescent="0.25">
      <c r="A293" s="3">
        <v>44937</v>
      </c>
      <c r="B293" s="4">
        <v>452.35</v>
      </c>
      <c r="C293" s="4">
        <v>459</v>
      </c>
      <c r="D293" s="4">
        <v>459</v>
      </c>
      <c r="E293" s="4">
        <v>447.55</v>
      </c>
      <c r="F293" s="4" t="str">
        <v>1.54M</v>
      </c>
      <c r="G293" s="4" t="str">
        <v>-1.09%</v>
      </c>
      <c r="H293" s="3">
        <v>44937</v>
      </c>
      <c r="I293" s="4">
        <v>453.27499999999998</v>
      </c>
      <c r="O293" s="4">
        <v>1244</v>
      </c>
    </row>
    <row r="294" spans="1:15" x14ac:dyDescent="0.25">
      <c r="A294" s="3">
        <v>44936</v>
      </c>
      <c r="B294" s="4">
        <v>457.35</v>
      </c>
      <c r="C294" s="4">
        <v>443.5</v>
      </c>
      <c r="D294" s="4">
        <v>458.7</v>
      </c>
      <c r="E294" s="4">
        <v>442</v>
      </c>
      <c r="F294" s="4" t="str">
        <v>3.56M</v>
      </c>
      <c r="G294" s="4" t="str">
        <v>3.00%</v>
      </c>
      <c r="H294" s="3">
        <v>44936</v>
      </c>
      <c r="I294" s="4">
        <v>450.35</v>
      </c>
      <c r="O294" s="4">
        <v>1243</v>
      </c>
    </row>
    <row r="295" spans="1:15" x14ac:dyDescent="0.25">
      <c r="A295" s="3">
        <v>44935</v>
      </c>
      <c r="B295" s="4">
        <v>444.05</v>
      </c>
      <c r="C295" s="4">
        <v>436</v>
      </c>
      <c r="D295" s="4">
        <v>445.25</v>
      </c>
      <c r="E295" s="4">
        <v>432.65</v>
      </c>
      <c r="F295" s="4" t="str">
        <v>2.05M</v>
      </c>
      <c r="G295" s="4" t="str">
        <v>3.10%</v>
      </c>
      <c r="H295" s="3">
        <v>44935</v>
      </c>
      <c r="I295" s="4">
        <v>438.95</v>
      </c>
      <c r="O295" s="4">
        <v>1242</v>
      </c>
    </row>
    <row r="296" spans="1:15" x14ac:dyDescent="0.25">
      <c r="A296" s="3">
        <v>44932</v>
      </c>
      <c r="B296" s="4">
        <v>430.7</v>
      </c>
      <c r="C296" s="4">
        <v>434.2</v>
      </c>
      <c r="D296" s="4">
        <v>435.7</v>
      </c>
      <c r="E296" s="4">
        <v>428</v>
      </c>
      <c r="F296" s="4" t="str">
        <v>2.09M</v>
      </c>
      <c r="G296" s="4" t="str">
        <v>-0.37%</v>
      </c>
      <c r="H296" s="3">
        <v>44932</v>
      </c>
      <c r="I296" s="4">
        <v>431.85</v>
      </c>
      <c r="O296" s="4">
        <v>1241</v>
      </c>
    </row>
    <row r="297" spans="1:15" x14ac:dyDescent="0.25">
      <c r="A297" s="3">
        <v>44931</v>
      </c>
      <c r="B297" s="4">
        <v>432.3</v>
      </c>
      <c r="C297" s="4">
        <v>425</v>
      </c>
      <c r="D297" s="4">
        <v>433.3</v>
      </c>
      <c r="E297" s="4">
        <v>423.4</v>
      </c>
      <c r="F297" s="4" t="str">
        <v>2.08M</v>
      </c>
      <c r="G297" s="4" t="str">
        <v>1.99%</v>
      </c>
      <c r="H297" s="3">
        <v>44931</v>
      </c>
      <c r="I297" s="4">
        <v>428.35</v>
      </c>
      <c r="O297" s="4">
        <v>1240</v>
      </c>
    </row>
    <row r="298" spans="1:15" x14ac:dyDescent="0.25">
      <c r="A298" s="3">
        <v>44930</v>
      </c>
      <c r="B298" s="4">
        <v>423.85</v>
      </c>
      <c r="C298" s="4">
        <v>425.95</v>
      </c>
      <c r="D298" s="4">
        <v>427.35</v>
      </c>
      <c r="E298" s="4">
        <v>419.8</v>
      </c>
      <c r="F298" s="4" t="str">
        <v>482.56K</v>
      </c>
      <c r="G298" s="4" t="str">
        <v>-0.19%</v>
      </c>
      <c r="H298" s="3">
        <v>44930</v>
      </c>
      <c r="I298" s="4">
        <v>423.57500000000005</v>
      </c>
      <c r="O298" s="4">
        <v>1239</v>
      </c>
    </row>
    <row r="299" spans="1:15" x14ac:dyDescent="0.25">
      <c r="A299" s="3">
        <v>44929</v>
      </c>
      <c r="B299" s="4">
        <v>424.65</v>
      </c>
      <c r="C299" s="4">
        <v>420.1</v>
      </c>
      <c r="D299" s="4">
        <v>425.55</v>
      </c>
      <c r="E299" s="4">
        <v>418.7</v>
      </c>
      <c r="F299" s="4" t="str">
        <v>626.22K</v>
      </c>
      <c r="G299" s="4" t="str">
        <v>1.08%</v>
      </c>
      <c r="H299" s="3">
        <v>44929</v>
      </c>
      <c r="I299" s="4">
        <v>422.125</v>
      </c>
      <c r="O299" s="4">
        <v>1238</v>
      </c>
    </row>
    <row r="300" spans="1:15" x14ac:dyDescent="0.25">
      <c r="A300" s="3">
        <v>44928</v>
      </c>
      <c r="B300" s="4">
        <v>420.1</v>
      </c>
      <c r="C300" s="4">
        <v>419.85</v>
      </c>
      <c r="D300" s="4">
        <v>421.45</v>
      </c>
      <c r="E300" s="4">
        <v>414.15</v>
      </c>
      <c r="F300" s="4" t="str">
        <v>562.49K</v>
      </c>
      <c r="G300" s="4" t="str">
        <v>0.04%</v>
      </c>
      <c r="H300" s="3">
        <v>44928</v>
      </c>
      <c r="I300" s="4">
        <v>417.79999999999995</v>
      </c>
      <c r="O300" s="4">
        <v>1237</v>
      </c>
    </row>
    <row r="301" spans="1:15" x14ac:dyDescent="0.25">
      <c r="A301" s="3">
        <v>44925</v>
      </c>
      <c r="B301" s="4">
        <v>419.95</v>
      </c>
      <c r="C301" s="4">
        <v>419.45</v>
      </c>
      <c r="D301" s="4">
        <v>421.85</v>
      </c>
      <c r="E301" s="4">
        <v>413.55</v>
      </c>
      <c r="F301" s="4" t="str">
        <v>1.22M</v>
      </c>
      <c r="G301" s="4" t="str">
        <v>0.62%</v>
      </c>
      <c r="H301" s="3">
        <v>44925</v>
      </c>
      <c r="I301" s="4">
        <v>417.70000000000005</v>
      </c>
      <c r="O301" s="4">
        <v>1236</v>
      </c>
    </row>
    <row r="302" spans="1:15" x14ac:dyDescent="0.25">
      <c r="A302" s="3">
        <v>44924</v>
      </c>
      <c r="B302" s="4">
        <v>417.35</v>
      </c>
      <c r="C302" s="4">
        <v>415.25</v>
      </c>
      <c r="D302" s="4">
        <v>422.75</v>
      </c>
      <c r="E302" s="4">
        <v>414</v>
      </c>
      <c r="F302" s="4" t="str">
        <v>1.30M</v>
      </c>
      <c r="G302" s="4" t="str">
        <v>0.51%</v>
      </c>
      <c r="H302" s="3">
        <v>44924</v>
      </c>
      <c r="I302" s="4">
        <v>418.375</v>
      </c>
      <c r="O302" s="4">
        <v>1235</v>
      </c>
    </row>
    <row r="303" spans="1:15" x14ac:dyDescent="0.25">
      <c r="A303" s="3">
        <v>44923</v>
      </c>
      <c r="B303" s="4">
        <v>415.25</v>
      </c>
      <c r="C303" s="4">
        <v>420.55</v>
      </c>
      <c r="D303" s="4">
        <v>420.85</v>
      </c>
      <c r="E303" s="4">
        <v>414.35</v>
      </c>
      <c r="F303" s="4" t="str">
        <v>518.40K</v>
      </c>
      <c r="G303" s="4" t="str">
        <v>-0.97%</v>
      </c>
      <c r="H303" s="3">
        <v>44923</v>
      </c>
      <c r="I303" s="4">
        <v>417.6</v>
      </c>
      <c r="O303" s="4">
        <v>1234</v>
      </c>
    </row>
    <row r="304" spans="1:15" x14ac:dyDescent="0.25">
      <c r="A304" s="3">
        <v>44922</v>
      </c>
      <c r="B304" s="4">
        <v>419.3</v>
      </c>
      <c r="C304" s="4">
        <v>423</v>
      </c>
      <c r="D304" s="4">
        <v>423</v>
      </c>
      <c r="E304" s="4">
        <v>417.15</v>
      </c>
      <c r="F304" s="4" t="str">
        <v>547.34K</v>
      </c>
      <c r="G304" s="4" t="str">
        <v>-0.34%</v>
      </c>
      <c r="H304" s="3">
        <v>44922</v>
      </c>
      <c r="I304" s="4">
        <v>420.07499999999999</v>
      </c>
      <c r="O304" s="4">
        <v>1233</v>
      </c>
    </row>
    <row r="305" spans="1:15" x14ac:dyDescent="0.25">
      <c r="A305" s="3">
        <v>44921</v>
      </c>
      <c r="B305" s="4">
        <v>420.75</v>
      </c>
      <c r="C305" s="4">
        <v>421</v>
      </c>
      <c r="D305" s="4">
        <v>423.35</v>
      </c>
      <c r="E305" s="4">
        <v>416.15</v>
      </c>
      <c r="F305" s="4" t="str">
        <v>762.15K</v>
      </c>
      <c r="G305" s="4" t="str">
        <v>0.11%</v>
      </c>
      <c r="H305" s="3">
        <v>44921</v>
      </c>
      <c r="I305" s="4">
        <v>419.75</v>
      </c>
      <c r="O305" s="4">
        <v>1232</v>
      </c>
    </row>
    <row r="306" spans="1:15" x14ac:dyDescent="0.25">
      <c r="A306" s="3">
        <v>44918</v>
      </c>
      <c r="B306" s="4">
        <v>420.3</v>
      </c>
      <c r="C306" s="4">
        <v>423.5</v>
      </c>
      <c r="D306" s="4">
        <v>430</v>
      </c>
      <c r="E306" s="4">
        <v>418.9</v>
      </c>
      <c r="F306" s="4" t="str">
        <v>2.08M</v>
      </c>
      <c r="G306" s="4" t="str">
        <v>-0.77%</v>
      </c>
      <c r="H306" s="3">
        <v>44918</v>
      </c>
      <c r="I306" s="4">
        <v>424.45</v>
      </c>
      <c r="O306" s="4">
        <v>1231</v>
      </c>
    </row>
    <row r="307" spans="1:15" x14ac:dyDescent="0.25">
      <c r="A307" s="3">
        <v>44917</v>
      </c>
      <c r="B307" s="4">
        <v>423.55</v>
      </c>
      <c r="C307" s="4">
        <v>427.95</v>
      </c>
      <c r="D307" s="4">
        <v>427.95</v>
      </c>
      <c r="E307" s="4">
        <v>416.25</v>
      </c>
      <c r="F307" s="4" t="str">
        <v>1.77M</v>
      </c>
      <c r="G307" s="4" t="str">
        <v>0.39%</v>
      </c>
      <c r="H307" s="3">
        <v>44917</v>
      </c>
      <c r="I307" s="4">
        <v>422.1</v>
      </c>
      <c r="O307" s="4">
        <v>1230</v>
      </c>
    </row>
    <row r="308" spans="1:15" x14ac:dyDescent="0.25">
      <c r="A308" s="3">
        <v>44916</v>
      </c>
      <c r="B308" s="4">
        <v>421.9</v>
      </c>
      <c r="C308" s="4">
        <v>410.6</v>
      </c>
      <c r="D308" s="4">
        <v>426</v>
      </c>
      <c r="E308" s="4">
        <v>410.3</v>
      </c>
      <c r="F308" s="4" t="str">
        <v>2.70M</v>
      </c>
      <c r="G308" s="4" t="str">
        <v>2.56%</v>
      </c>
      <c r="H308" s="3">
        <v>44916</v>
      </c>
      <c r="I308" s="4">
        <v>418.15</v>
      </c>
      <c r="O308" s="4">
        <v>1229</v>
      </c>
    </row>
    <row r="309" spans="1:15" x14ac:dyDescent="0.25">
      <c r="A309" s="3">
        <v>44915</v>
      </c>
      <c r="B309" s="4">
        <v>411.35</v>
      </c>
      <c r="C309" s="4">
        <v>406.55</v>
      </c>
      <c r="D309" s="4">
        <v>412.5</v>
      </c>
      <c r="E309" s="4">
        <v>404.75</v>
      </c>
      <c r="F309" s="4" t="str">
        <v>789.25K</v>
      </c>
      <c r="G309" s="4" t="str">
        <v>0.51%</v>
      </c>
      <c r="H309" s="3">
        <v>44915</v>
      </c>
      <c r="I309" s="4">
        <v>408.625</v>
      </c>
      <c r="O309" s="4">
        <v>1228</v>
      </c>
    </row>
    <row r="310" spans="1:15" x14ac:dyDescent="0.25">
      <c r="A310" s="3">
        <v>44914</v>
      </c>
      <c r="B310" s="4">
        <v>409.25</v>
      </c>
      <c r="C310" s="4">
        <v>407.9</v>
      </c>
      <c r="D310" s="4">
        <v>411.4</v>
      </c>
      <c r="E310" s="4">
        <v>404.6</v>
      </c>
      <c r="F310" s="4" t="str">
        <v>758.51K</v>
      </c>
      <c r="G310" s="4" t="str">
        <v>0.33%</v>
      </c>
      <c r="H310" s="3">
        <v>44914</v>
      </c>
      <c r="I310" s="4">
        <v>408</v>
      </c>
      <c r="O310" s="4">
        <v>1227</v>
      </c>
    </row>
    <row r="311" spans="1:15" x14ac:dyDescent="0.25">
      <c r="A311" s="3">
        <v>44911</v>
      </c>
      <c r="B311" s="4">
        <v>407.9</v>
      </c>
      <c r="C311" s="4">
        <v>408</v>
      </c>
      <c r="D311" s="4">
        <v>410.4</v>
      </c>
      <c r="E311" s="4">
        <v>404.6</v>
      </c>
      <c r="F311" s="4" t="str">
        <v>647.69K</v>
      </c>
      <c r="G311" s="4" t="str">
        <v>-0.17%</v>
      </c>
      <c r="H311" s="3">
        <v>44911</v>
      </c>
      <c r="I311" s="4">
        <v>407.5</v>
      </c>
      <c r="O311" s="4">
        <v>1226</v>
      </c>
    </row>
    <row r="312" spans="1:15" x14ac:dyDescent="0.25">
      <c r="A312" s="3">
        <v>44910</v>
      </c>
      <c r="B312" s="4">
        <v>408.6</v>
      </c>
      <c r="C312" s="4">
        <v>411</v>
      </c>
      <c r="D312" s="4">
        <v>412.85</v>
      </c>
      <c r="E312" s="4">
        <v>406.65</v>
      </c>
      <c r="F312" s="4" t="str">
        <v>585.46K</v>
      </c>
      <c r="G312" s="4" t="str">
        <v>-0.44%</v>
      </c>
      <c r="H312" s="3">
        <v>44910</v>
      </c>
      <c r="I312" s="4">
        <v>409.75</v>
      </c>
      <c r="O312" s="4">
        <v>1225</v>
      </c>
    </row>
    <row r="313" spans="1:15" x14ac:dyDescent="0.25">
      <c r="A313" s="3">
        <v>44909</v>
      </c>
      <c r="B313" s="4">
        <v>410.4</v>
      </c>
      <c r="C313" s="4">
        <v>407.3</v>
      </c>
      <c r="D313" s="4">
        <v>412</v>
      </c>
      <c r="E313" s="4">
        <v>406.55</v>
      </c>
      <c r="F313" s="4" t="str">
        <v>735.28K</v>
      </c>
      <c r="G313" s="4" t="str">
        <v>1.01%</v>
      </c>
      <c r="H313" s="3">
        <v>44909</v>
      </c>
      <c r="I313" s="4">
        <v>409.27499999999998</v>
      </c>
      <c r="O313" s="4">
        <v>1224</v>
      </c>
    </row>
    <row r="314" spans="1:15" x14ac:dyDescent="0.25">
      <c r="A314" s="3">
        <v>44908</v>
      </c>
      <c r="B314" s="4">
        <v>406.3</v>
      </c>
      <c r="C314" s="4">
        <v>405</v>
      </c>
      <c r="D314" s="4">
        <v>408.15</v>
      </c>
      <c r="E314" s="4">
        <v>404.1</v>
      </c>
      <c r="F314" s="4" t="str">
        <v>377.06K</v>
      </c>
      <c r="G314" s="4" t="str">
        <v>0.11%</v>
      </c>
      <c r="H314" s="3">
        <v>44908</v>
      </c>
      <c r="I314" s="4">
        <v>406.125</v>
      </c>
      <c r="O314" s="4">
        <v>1223</v>
      </c>
    </row>
    <row r="315" spans="1:15" x14ac:dyDescent="0.25">
      <c r="A315" s="3">
        <v>44907</v>
      </c>
      <c r="B315" s="4">
        <v>405.85</v>
      </c>
      <c r="C315" s="4">
        <v>408.95</v>
      </c>
      <c r="D315" s="4">
        <v>410.3</v>
      </c>
      <c r="E315" s="4">
        <v>403.2</v>
      </c>
      <c r="F315" s="4" t="str">
        <v>771.77K</v>
      </c>
      <c r="G315" s="4" t="str">
        <v>-0.47%</v>
      </c>
      <c r="H315" s="3">
        <v>44907</v>
      </c>
      <c r="I315" s="4">
        <v>406.75</v>
      </c>
      <c r="O315" s="4">
        <v>1222</v>
      </c>
    </row>
    <row r="316" spans="1:15" x14ac:dyDescent="0.25">
      <c r="A316" s="3">
        <v>44904</v>
      </c>
      <c r="B316" s="4">
        <v>407.75</v>
      </c>
      <c r="C316" s="4">
        <v>412.9</v>
      </c>
      <c r="D316" s="4">
        <v>414.7</v>
      </c>
      <c r="E316" s="4">
        <v>405</v>
      </c>
      <c r="F316" s="4" t="str">
        <v>443.45K</v>
      </c>
      <c r="G316" s="4" t="str">
        <v>-1.04%</v>
      </c>
      <c r="H316" s="3">
        <v>44904</v>
      </c>
      <c r="I316" s="4">
        <v>409.85</v>
      </c>
      <c r="O316" s="4">
        <v>1221</v>
      </c>
    </row>
    <row r="317" spans="1:15" x14ac:dyDescent="0.25">
      <c r="A317" s="3">
        <v>44903</v>
      </c>
      <c r="B317" s="4">
        <v>412.05</v>
      </c>
      <c r="C317" s="4">
        <v>405.1</v>
      </c>
      <c r="D317" s="4">
        <v>413</v>
      </c>
      <c r="E317" s="4">
        <v>404.6</v>
      </c>
      <c r="F317" s="4" t="str">
        <v>545.88K</v>
      </c>
      <c r="G317" s="4" t="str">
        <v>1.68%</v>
      </c>
      <c r="H317" s="3">
        <v>44903</v>
      </c>
      <c r="I317" s="4">
        <v>408.8</v>
      </c>
      <c r="O317" s="4">
        <v>1220</v>
      </c>
    </row>
    <row r="318" spans="1:15" x14ac:dyDescent="0.25">
      <c r="A318" s="3">
        <v>44902</v>
      </c>
      <c r="B318" s="4">
        <v>405.25</v>
      </c>
      <c r="C318" s="4">
        <v>410.3</v>
      </c>
      <c r="D318" s="4">
        <v>413.15</v>
      </c>
      <c r="E318" s="4">
        <v>404.6</v>
      </c>
      <c r="F318" s="4" t="str">
        <v>594.97K</v>
      </c>
      <c r="G318" s="4" t="str">
        <v>-1.19%</v>
      </c>
      <c r="H318" s="3">
        <v>44902</v>
      </c>
      <c r="I318" s="4">
        <v>408.875</v>
      </c>
      <c r="O318" s="4">
        <v>1219</v>
      </c>
    </row>
    <row r="319" spans="1:15" x14ac:dyDescent="0.25">
      <c r="A319" s="3">
        <v>44901</v>
      </c>
      <c r="B319" s="4">
        <v>410.15</v>
      </c>
      <c r="C319" s="4">
        <v>413</v>
      </c>
      <c r="D319" s="4">
        <v>414.35</v>
      </c>
      <c r="E319" s="4">
        <v>408</v>
      </c>
      <c r="F319" s="4" t="str">
        <v>391.51K</v>
      </c>
      <c r="G319" s="4" t="str">
        <v>-0.80%</v>
      </c>
      <c r="H319" s="3">
        <v>44901</v>
      </c>
      <c r="I319" s="4">
        <v>411.17500000000001</v>
      </c>
      <c r="O319" s="4">
        <v>1218</v>
      </c>
    </row>
    <row r="320" spans="1:15" x14ac:dyDescent="0.25">
      <c r="A320" s="3">
        <v>44900</v>
      </c>
      <c r="B320" s="4">
        <v>413.45</v>
      </c>
      <c r="C320" s="4">
        <v>418.1</v>
      </c>
      <c r="D320" s="4">
        <v>418.1</v>
      </c>
      <c r="E320" s="4">
        <v>410.65</v>
      </c>
      <c r="F320" s="4" t="str">
        <v>596.12K</v>
      </c>
      <c r="G320" s="4" t="str">
        <v>-0.49%</v>
      </c>
      <c r="H320" s="3">
        <v>44900</v>
      </c>
      <c r="I320" s="4">
        <v>414.375</v>
      </c>
      <c r="O320" s="4">
        <v>1217</v>
      </c>
    </row>
    <row r="321" spans="1:15" x14ac:dyDescent="0.25">
      <c r="A321" s="3">
        <v>44897</v>
      </c>
      <c r="B321" s="4">
        <v>415.5</v>
      </c>
      <c r="C321" s="4">
        <v>410.4</v>
      </c>
      <c r="D321" s="4">
        <v>416.5</v>
      </c>
      <c r="E321" s="4">
        <v>409.2</v>
      </c>
      <c r="F321" s="4" t="str">
        <v>740.98K</v>
      </c>
      <c r="G321" s="4" t="str">
        <v>1.06%</v>
      </c>
      <c r="H321" s="3">
        <v>44897</v>
      </c>
      <c r="I321" s="4">
        <v>412.85</v>
      </c>
      <c r="O321" s="4">
        <v>1216</v>
      </c>
    </row>
    <row r="322" spans="1:15" x14ac:dyDescent="0.25">
      <c r="A322" s="3">
        <v>44896</v>
      </c>
      <c r="B322" s="4">
        <v>411.15</v>
      </c>
      <c r="C322" s="4">
        <v>413</v>
      </c>
      <c r="D322" s="4">
        <v>414.35</v>
      </c>
      <c r="E322" s="4">
        <v>408.35</v>
      </c>
      <c r="F322" s="4" t="str">
        <v>607.93K</v>
      </c>
      <c r="G322" s="4" t="str">
        <v>0.30%</v>
      </c>
      <c r="H322" s="3">
        <v>44896</v>
      </c>
      <c r="I322" s="4">
        <v>411.35</v>
      </c>
      <c r="O322" s="4">
        <v>1215</v>
      </c>
    </row>
    <row r="323" spans="1:15" x14ac:dyDescent="0.25">
      <c r="A323" s="3">
        <v>44895</v>
      </c>
      <c r="B323" s="4">
        <v>409.9</v>
      </c>
      <c r="C323" s="4">
        <v>407.4</v>
      </c>
      <c r="D323" s="4">
        <v>410.95</v>
      </c>
      <c r="E323" s="4">
        <v>404.25</v>
      </c>
      <c r="F323" s="4" t="str">
        <v>972.36K</v>
      </c>
      <c r="G323" s="4" t="str">
        <v>1.12%</v>
      </c>
      <c r="H323" s="3">
        <v>44895</v>
      </c>
      <c r="I323" s="4">
        <v>407.6</v>
      </c>
      <c r="O323" s="4">
        <v>1214</v>
      </c>
    </row>
    <row r="324" spans="1:15" x14ac:dyDescent="0.25">
      <c r="A324" s="3">
        <v>44894</v>
      </c>
      <c r="B324" s="4">
        <v>405.35</v>
      </c>
      <c r="C324" s="4">
        <v>400.85</v>
      </c>
      <c r="D324" s="4">
        <v>408.5</v>
      </c>
      <c r="E324" s="4">
        <v>400</v>
      </c>
      <c r="F324" s="4" t="str">
        <v>756.28K</v>
      </c>
      <c r="G324" s="4" t="str">
        <v>1.35%</v>
      </c>
      <c r="H324" s="3">
        <v>44894</v>
      </c>
      <c r="I324" s="4">
        <v>404.25</v>
      </c>
      <c r="O324" s="4">
        <v>1213</v>
      </c>
    </row>
    <row r="325" spans="1:15" x14ac:dyDescent="0.25">
      <c r="A325" s="3">
        <v>44893</v>
      </c>
      <c r="B325" s="4">
        <v>399.95</v>
      </c>
      <c r="C325" s="4">
        <v>404.15</v>
      </c>
      <c r="D325" s="4">
        <v>404.95</v>
      </c>
      <c r="E325" s="4">
        <v>398.95</v>
      </c>
      <c r="F325" s="4" t="str">
        <v>601.07K</v>
      </c>
      <c r="G325" s="4" t="str">
        <v>-0.53%</v>
      </c>
      <c r="H325" s="3">
        <v>44893</v>
      </c>
      <c r="I325" s="4">
        <v>401.95</v>
      </c>
      <c r="O325" s="4">
        <v>1212</v>
      </c>
    </row>
    <row r="326" spans="1:15" x14ac:dyDescent="0.25">
      <c r="A326" s="3">
        <v>44890</v>
      </c>
      <c r="B326" s="4">
        <v>402.1</v>
      </c>
      <c r="C326" s="4">
        <v>395</v>
      </c>
      <c r="D326" s="4">
        <v>404</v>
      </c>
      <c r="E326" s="4">
        <v>392.4</v>
      </c>
      <c r="F326" s="4" t="str">
        <v>1.58M</v>
      </c>
      <c r="G326" s="4" t="str">
        <v>2.32%</v>
      </c>
      <c r="H326" s="3">
        <v>44890</v>
      </c>
      <c r="I326" s="4">
        <v>398.2</v>
      </c>
      <c r="O326" s="4">
        <v>1211</v>
      </c>
    </row>
    <row r="327" spans="1:15" x14ac:dyDescent="0.25">
      <c r="A327" s="3">
        <v>44889</v>
      </c>
      <c r="B327" s="4">
        <v>393</v>
      </c>
      <c r="C327" s="4">
        <v>395.05</v>
      </c>
      <c r="D327" s="4">
        <v>396.6</v>
      </c>
      <c r="E327" s="4">
        <v>390.6</v>
      </c>
      <c r="F327" s="4" t="str">
        <v>954.53K</v>
      </c>
      <c r="G327" s="4" t="str">
        <v>-0.27%</v>
      </c>
      <c r="H327" s="3">
        <v>44889</v>
      </c>
      <c r="I327" s="4">
        <v>393.6</v>
      </c>
      <c r="O327" s="4">
        <v>1210</v>
      </c>
    </row>
    <row r="328" spans="1:15" x14ac:dyDescent="0.25">
      <c r="A328" s="3">
        <v>44888</v>
      </c>
      <c r="B328" s="4">
        <v>394.05</v>
      </c>
      <c r="C328" s="4">
        <v>392.25</v>
      </c>
      <c r="D328" s="4">
        <v>395.35</v>
      </c>
      <c r="E328" s="4">
        <v>390.85</v>
      </c>
      <c r="F328" s="4" t="str">
        <v>771.82K</v>
      </c>
      <c r="G328" s="4" t="str">
        <v>0.46%</v>
      </c>
      <c r="H328" s="3">
        <v>44888</v>
      </c>
      <c r="I328" s="4">
        <v>393.1</v>
      </c>
      <c r="O328" s="4">
        <v>1209</v>
      </c>
    </row>
    <row r="329" spans="1:15" x14ac:dyDescent="0.25">
      <c r="A329" s="3">
        <v>44887</v>
      </c>
      <c r="B329" s="4">
        <v>392.25</v>
      </c>
      <c r="C329" s="4">
        <v>395.2</v>
      </c>
      <c r="D329" s="4">
        <v>397.9</v>
      </c>
      <c r="E329" s="4">
        <v>390</v>
      </c>
      <c r="F329" s="4" t="str">
        <v>1.33M</v>
      </c>
      <c r="G329" s="4" t="str">
        <v>-1.22%</v>
      </c>
      <c r="H329" s="3">
        <v>44887</v>
      </c>
      <c r="I329" s="4">
        <v>393.95</v>
      </c>
      <c r="O329" s="4">
        <v>1208</v>
      </c>
    </row>
    <row r="330" spans="1:15" x14ac:dyDescent="0.25">
      <c r="A330" s="3">
        <v>44886</v>
      </c>
      <c r="B330" s="4">
        <v>397.1</v>
      </c>
      <c r="C330" s="4">
        <v>401</v>
      </c>
      <c r="D330" s="4">
        <v>401.4</v>
      </c>
      <c r="E330" s="4">
        <v>395.05</v>
      </c>
      <c r="F330" s="4" t="str">
        <v>654.45K</v>
      </c>
      <c r="G330" s="4" t="str">
        <v>-1.10%</v>
      </c>
      <c r="H330" s="3">
        <v>44886</v>
      </c>
      <c r="I330" s="4">
        <v>398.22500000000002</v>
      </c>
      <c r="O330" s="4">
        <v>1207</v>
      </c>
    </row>
    <row r="331" spans="1:15" x14ac:dyDescent="0.25">
      <c r="A331" s="3">
        <v>44883</v>
      </c>
      <c r="B331" s="4">
        <v>401.5</v>
      </c>
      <c r="C331" s="4">
        <v>408.4</v>
      </c>
      <c r="D331" s="4">
        <v>410</v>
      </c>
      <c r="E331" s="4">
        <v>400.25</v>
      </c>
      <c r="F331" s="4" t="str">
        <v>899.25K</v>
      </c>
      <c r="G331" s="4" t="str">
        <v>-1.69%</v>
      </c>
      <c r="H331" s="3">
        <v>44883</v>
      </c>
      <c r="I331" s="4">
        <v>405.125</v>
      </c>
      <c r="O331" s="4">
        <v>1206</v>
      </c>
    </row>
    <row r="332" spans="1:15" x14ac:dyDescent="0.25">
      <c r="A332" s="3">
        <v>44882</v>
      </c>
      <c r="B332" s="4">
        <v>408.4</v>
      </c>
      <c r="C332" s="4">
        <v>416.8</v>
      </c>
      <c r="D332" s="4">
        <v>418.5</v>
      </c>
      <c r="E332" s="4">
        <v>407.05</v>
      </c>
      <c r="F332" s="4" t="str">
        <v>803.45K</v>
      </c>
      <c r="G332" s="4" t="str">
        <v>-1.60%</v>
      </c>
      <c r="H332" s="3">
        <v>44882</v>
      </c>
      <c r="I332" s="4">
        <v>412.77499999999998</v>
      </c>
      <c r="O332" s="4">
        <v>1205</v>
      </c>
    </row>
    <row r="333" spans="1:15" x14ac:dyDescent="0.25">
      <c r="A333" s="3">
        <v>44881</v>
      </c>
      <c r="B333" s="4">
        <v>415.05</v>
      </c>
      <c r="C333" s="4">
        <v>416.9</v>
      </c>
      <c r="D333" s="4">
        <v>419.45</v>
      </c>
      <c r="E333" s="4">
        <v>413</v>
      </c>
      <c r="F333" s="4" t="str">
        <v>586.97K</v>
      </c>
      <c r="G333" s="4" t="str">
        <v>-0.41%</v>
      </c>
      <c r="H333" s="3">
        <v>44881</v>
      </c>
      <c r="I333" s="4">
        <v>416.22500000000002</v>
      </c>
      <c r="O333" s="4">
        <v>1204</v>
      </c>
    </row>
    <row r="334" spans="1:15" x14ac:dyDescent="0.25">
      <c r="A334" s="3">
        <v>44880</v>
      </c>
      <c r="B334" s="4">
        <v>416.75</v>
      </c>
      <c r="C334" s="4">
        <v>423.8</v>
      </c>
      <c r="D334" s="4">
        <v>425.7</v>
      </c>
      <c r="E334" s="4">
        <v>414.05</v>
      </c>
      <c r="F334" s="4" t="str">
        <v>940.63K</v>
      </c>
      <c r="G334" s="4" t="str">
        <v>-1.66%</v>
      </c>
      <c r="H334" s="3">
        <v>44880</v>
      </c>
      <c r="I334" s="4">
        <v>419.875</v>
      </c>
      <c r="O334" s="4">
        <v>1203</v>
      </c>
    </row>
    <row r="335" spans="1:15" x14ac:dyDescent="0.25">
      <c r="A335" s="3">
        <v>44879</v>
      </c>
      <c r="B335" s="4">
        <v>423.8</v>
      </c>
      <c r="C335" s="4">
        <v>423.85</v>
      </c>
      <c r="D335" s="4">
        <v>425.6</v>
      </c>
      <c r="E335" s="4">
        <v>411.8</v>
      </c>
      <c r="F335" s="4" t="str">
        <v>1.25M</v>
      </c>
      <c r="G335" s="4" t="str">
        <v>-1.32%</v>
      </c>
      <c r="H335" s="3">
        <v>44879</v>
      </c>
      <c r="I335" s="4">
        <v>418.70000000000005</v>
      </c>
      <c r="O335" s="4">
        <v>1202</v>
      </c>
    </row>
    <row r="336" spans="1:15" x14ac:dyDescent="0.25">
      <c r="A336" s="3">
        <v>44876</v>
      </c>
      <c r="B336" s="4">
        <v>429.45</v>
      </c>
      <c r="C336" s="4">
        <v>435.65</v>
      </c>
      <c r="D336" s="4">
        <v>445.25</v>
      </c>
      <c r="E336" s="4">
        <v>421.3</v>
      </c>
      <c r="F336" s="4" t="str">
        <v>3.68M</v>
      </c>
      <c r="G336" s="4" t="str">
        <v>-1.00%</v>
      </c>
      <c r="H336" s="3">
        <v>44876</v>
      </c>
      <c r="I336" s="4">
        <v>433.27499999999998</v>
      </c>
      <c r="O336" s="4">
        <v>1201</v>
      </c>
    </row>
    <row r="337" spans="1:15" x14ac:dyDescent="0.25">
      <c r="A337" s="3">
        <v>44875</v>
      </c>
      <c r="B337" s="4">
        <v>433.8</v>
      </c>
      <c r="C337" s="4">
        <v>448.4</v>
      </c>
      <c r="D337" s="4">
        <v>454.05</v>
      </c>
      <c r="E337" s="4">
        <v>423.45</v>
      </c>
      <c r="F337" s="4" t="str">
        <v>1.88M</v>
      </c>
      <c r="G337" s="4" t="str">
        <v>-3.26%</v>
      </c>
      <c r="H337" s="3">
        <v>44875</v>
      </c>
      <c r="I337" s="4">
        <v>438.75</v>
      </c>
      <c r="O337" s="4">
        <v>1200</v>
      </c>
    </row>
    <row r="338" spans="1:15" x14ac:dyDescent="0.25">
      <c r="A338" s="3">
        <v>44874</v>
      </c>
      <c r="B338" s="4">
        <v>448.4</v>
      </c>
      <c r="C338" s="4">
        <v>451.05</v>
      </c>
      <c r="D338" s="4">
        <v>453.45</v>
      </c>
      <c r="E338" s="4">
        <v>445.05</v>
      </c>
      <c r="F338" s="4" t="str">
        <v>1.41M</v>
      </c>
      <c r="G338" s="4" t="str">
        <v>-0.59%</v>
      </c>
      <c r="H338" s="3">
        <v>44874</v>
      </c>
      <c r="I338" s="4">
        <v>449.25</v>
      </c>
      <c r="O338" s="4">
        <v>1199</v>
      </c>
    </row>
    <row r="339" spans="1:15" x14ac:dyDescent="0.25">
      <c r="A339" s="3">
        <v>44872</v>
      </c>
      <c r="B339" s="4">
        <v>451.05</v>
      </c>
      <c r="C339" s="4">
        <v>447.2</v>
      </c>
      <c r="D339" s="4">
        <v>453.95</v>
      </c>
      <c r="E339" s="4">
        <v>441.25</v>
      </c>
      <c r="F339" s="4" t="str">
        <v>2.41M</v>
      </c>
      <c r="G339" s="4" t="str">
        <v>2.49%</v>
      </c>
      <c r="H339" s="3">
        <v>44872</v>
      </c>
      <c r="I339" s="4">
        <v>447.6</v>
      </c>
      <c r="O339" s="4">
        <v>1198</v>
      </c>
    </row>
    <row r="340" spans="1:15" x14ac:dyDescent="0.25">
      <c r="A340" s="3">
        <v>44869</v>
      </c>
      <c r="B340" s="4">
        <v>440.1</v>
      </c>
      <c r="C340" s="4">
        <v>440.85</v>
      </c>
      <c r="D340" s="4">
        <v>441</v>
      </c>
      <c r="E340" s="4">
        <v>434.55</v>
      </c>
      <c r="F340" s="4" t="str">
        <v>1.10M</v>
      </c>
      <c r="G340" s="4" t="str">
        <v>0.33%</v>
      </c>
      <c r="H340" s="3">
        <v>44869</v>
      </c>
      <c r="I340" s="4">
        <v>437.77499999999998</v>
      </c>
      <c r="O340" s="4">
        <v>1197</v>
      </c>
    </row>
    <row r="341" spans="1:15" x14ac:dyDescent="0.25">
      <c r="A341" s="3">
        <v>44868</v>
      </c>
      <c r="B341" s="4">
        <v>438.65</v>
      </c>
      <c r="C341" s="4">
        <v>437.15</v>
      </c>
      <c r="D341" s="4">
        <v>440</v>
      </c>
      <c r="E341" s="4">
        <v>432.5</v>
      </c>
      <c r="F341" s="4" t="str">
        <v>824.79K</v>
      </c>
      <c r="G341" s="4" t="str">
        <v>0.34%</v>
      </c>
      <c r="H341" s="3">
        <v>44868</v>
      </c>
      <c r="I341" s="4">
        <v>436.25</v>
      </c>
      <c r="O341" s="4">
        <v>1196</v>
      </c>
    </row>
    <row r="342" spans="1:15" x14ac:dyDescent="0.25">
      <c r="A342" s="3">
        <v>44867</v>
      </c>
      <c r="B342" s="4">
        <v>437.15</v>
      </c>
      <c r="C342" s="4">
        <v>433.35</v>
      </c>
      <c r="D342" s="4">
        <v>442.15</v>
      </c>
      <c r="E342" s="4">
        <v>432.4</v>
      </c>
      <c r="F342" s="4" t="str">
        <v>1.73M</v>
      </c>
      <c r="G342" s="4" t="str">
        <v>0.95%</v>
      </c>
      <c r="H342" s="3">
        <v>44867</v>
      </c>
      <c r="I342" s="4">
        <v>437.27499999999998</v>
      </c>
      <c r="O342" s="4">
        <v>1195</v>
      </c>
    </row>
    <row r="343" spans="1:15" x14ac:dyDescent="0.25">
      <c r="A343" s="3">
        <v>44866</v>
      </c>
      <c r="B343" s="4">
        <v>433.05</v>
      </c>
      <c r="C343" s="4">
        <v>435.55</v>
      </c>
      <c r="D343" s="4">
        <v>438.8</v>
      </c>
      <c r="E343" s="4">
        <v>429.8</v>
      </c>
      <c r="F343" s="4" t="str">
        <v>1.39M</v>
      </c>
      <c r="G343" s="4" t="str">
        <v>-0.07%</v>
      </c>
      <c r="H343" s="3">
        <v>44866</v>
      </c>
      <c r="I343" s="4">
        <v>434.3</v>
      </c>
      <c r="O343" s="4">
        <v>1194</v>
      </c>
    </row>
    <row r="344" spans="1:15" x14ac:dyDescent="0.25">
      <c r="A344" s="3">
        <v>44865</v>
      </c>
      <c r="B344" s="4">
        <v>433.35</v>
      </c>
      <c r="C344" s="4">
        <v>432</v>
      </c>
      <c r="D344" s="4">
        <v>443</v>
      </c>
      <c r="E344" s="4">
        <v>431.85</v>
      </c>
      <c r="F344" s="4" t="str">
        <v>2.06M</v>
      </c>
      <c r="G344" s="4" t="str">
        <v>0.78%</v>
      </c>
      <c r="H344" s="3">
        <v>44865</v>
      </c>
      <c r="I344" s="4">
        <v>437.42500000000001</v>
      </c>
      <c r="O344" s="4">
        <v>1193</v>
      </c>
    </row>
    <row r="345" spans="1:15" x14ac:dyDescent="0.25">
      <c r="A345" s="3">
        <v>44862</v>
      </c>
      <c r="B345" s="4">
        <v>430</v>
      </c>
      <c r="C345" s="4">
        <v>435.8</v>
      </c>
      <c r="D345" s="4">
        <v>437</v>
      </c>
      <c r="E345" s="4">
        <v>428.6</v>
      </c>
      <c r="F345" s="4" t="str">
        <v>1.47M</v>
      </c>
      <c r="G345" s="4" t="str">
        <v>-0.83%</v>
      </c>
      <c r="H345" s="3">
        <v>44862</v>
      </c>
      <c r="I345" s="4">
        <v>432.8</v>
      </c>
      <c r="O345" s="4">
        <v>1192</v>
      </c>
    </row>
    <row r="346" spans="1:15" x14ac:dyDescent="0.25">
      <c r="A346" s="3">
        <v>44861</v>
      </c>
      <c r="B346" s="4">
        <v>433.6</v>
      </c>
      <c r="C346" s="4">
        <v>419.5</v>
      </c>
      <c r="D346" s="4">
        <v>434.9</v>
      </c>
      <c r="E346" s="4">
        <v>416.6</v>
      </c>
      <c r="F346" s="4" t="str">
        <v>2.74M</v>
      </c>
      <c r="G346" s="4" t="str">
        <v>3.88%</v>
      </c>
      <c r="H346" s="3">
        <v>44861</v>
      </c>
      <c r="I346" s="4">
        <v>425.75</v>
      </c>
      <c r="O346" s="4">
        <v>1191</v>
      </c>
    </row>
    <row r="347" spans="1:15" x14ac:dyDescent="0.25">
      <c r="A347" s="3">
        <v>44859</v>
      </c>
      <c r="B347" s="4">
        <v>417.4</v>
      </c>
      <c r="C347" s="4">
        <v>414</v>
      </c>
      <c r="D347" s="4">
        <v>420.35</v>
      </c>
      <c r="E347" s="4">
        <v>410.4</v>
      </c>
      <c r="F347" s="4" t="str">
        <v>870.69K</v>
      </c>
      <c r="G347" s="4" t="str">
        <v>1.04%</v>
      </c>
      <c r="H347" s="3">
        <v>44859</v>
      </c>
      <c r="I347" s="4">
        <v>415.375</v>
      </c>
      <c r="O347" s="4">
        <v>1190</v>
      </c>
    </row>
    <row r="348" spans="1:15" x14ac:dyDescent="0.25">
      <c r="A348" s="3">
        <v>44858</v>
      </c>
      <c r="B348" s="4">
        <v>413.1</v>
      </c>
      <c r="C348" s="4">
        <v>415.8</v>
      </c>
      <c r="D348" s="4">
        <v>417.35</v>
      </c>
      <c r="E348" s="4">
        <v>412</v>
      </c>
      <c r="F348" s="4" t="str">
        <v>171.70K</v>
      </c>
      <c r="G348" s="4" t="str">
        <v>0.72%</v>
      </c>
      <c r="H348" s="3">
        <v>44858</v>
      </c>
      <c r="I348" s="4">
        <v>414.67500000000001</v>
      </c>
      <c r="O348" s="4">
        <v>1189</v>
      </c>
    </row>
    <row r="349" spans="1:15" x14ac:dyDescent="0.25">
      <c r="A349" s="3">
        <v>44855</v>
      </c>
      <c r="B349" s="4">
        <v>410.15</v>
      </c>
      <c r="C349" s="4">
        <v>414.3</v>
      </c>
      <c r="D349" s="4">
        <v>416.1</v>
      </c>
      <c r="E349" s="4">
        <v>408.85</v>
      </c>
      <c r="F349" s="4" t="str">
        <v>459.26K</v>
      </c>
      <c r="G349" s="4" t="str">
        <v>-1.00%</v>
      </c>
      <c r="H349" s="3">
        <v>44855</v>
      </c>
      <c r="I349" s="4">
        <v>412.47500000000002</v>
      </c>
      <c r="O349" s="4">
        <v>1188</v>
      </c>
    </row>
    <row r="350" spans="1:15" x14ac:dyDescent="0.25">
      <c r="A350" s="3">
        <v>44854</v>
      </c>
      <c r="B350" s="4">
        <v>414.3</v>
      </c>
      <c r="C350" s="4">
        <v>409.75</v>
      </c>
      <c r="D350" s="4">
        <v>415.9</v>
      </c>
      <c r="E350" s="4">
        <v>408.65</v>
      </c>
      <c r="F350" s="4" t="str">
        <v>452.55K</v>
      </c>
      <c r="G350" s="4" t="str">
        <v>0.99%</v>
      </c>
      <c r="H350" s="3">
        <v>44854</v>
      </c>
      <c r="I350" s="4">
        <v>412.27499999999998</v>
      </c>
      <c r="O350" s="4">
        <v>1187</v>
      </c>
    </row>
    <row r="351" spans="1:15" x14ac:dyDescent="0.25">
      <c r="A351" s="3">
        <v>44853</v>
      </c>
      <c r="B351" s="4">
        <v>410.25</v>
      </c>
      <c r="C351" s="4">
        <v>415.55</v>
      </c>
      <c r="D351" s="4">
        <v>418.75</v>
      </c>
      <c r="E351" s="4">
        <v>409.75</v>
      </c>
      <c r="F351" s="4" t="str">
        <v>988.43K</v>
      </c>
      <c r="G351" s="4" t="str">
        <v>-1.28%</v>
      </c>
      <c r="H351" s="3">
        <v>44853</v>
      </c>
      <c r="I351" s="4">
        <v>414.25</v>
      </c>
      <c r="O351" s="4">
        <v>1186</v>
      </c>
    </row>
    <row r="352" spans="1:15" x14ac:dyDescent="0.25">
      <c r="A352" s="3">
        <v>44852</v>
      </c>
      <c r="B352" s="4">
        <v>415.55</v>
      </c>
      <c r="C352" s="4">
        <v>420.95</v>
      </c>
      <c r="D352" s="4">
        <v>421.85</v>
      </c>
      <c r="E352" s="4">
        <v>412.25</v>
      </c>
      <c r="F352" s="4" t="str">
        <v>631.85K</v>
      </c>
      <c r="G352" s="4" t="str">
        <v>-0.79%</v>
      </c>
      <c r="H352" s="3">
        <v>44852</v>
      </c>
      <c r="I352" s="4">
        <v>417.05</v>
      </c>
      <c r="O352" s="4">
        <v>1185</v>
      </c>
    </row>
    <row r="353" spans="1:15" x14ac:dyDescent="0.25">
      <c r="A353" s="3">
        <v>44851</v>
      </c>
      <c r="B353" s="4">
        <v>418.85</v>
      </c>
      <c r="C353" s="4">
        <v>412.9</v>
      </c>
      <c r="D353" s="4">
        <v>422</v>
      </c>
      <c r="E353" s="4">
        <v>408.65</v>
      </c>
      <c r="F353" s="4" t="str">
        <v>1.27M</v>
      </c>
      <c r="G353" s="4" t="str">
        <v>1.70%</v>
      </c>
      <c r="H353" s="3">
        <v>44851</v>
      </c>
      <c r="I353" s="4">
        <v>415.32499999999999</v>
      </c>
      <c r="O353" s="4">
        <v>1184</v>
      </c>
    </row>
    <row r="354" spans="1:15" x14ac:dyDescent="0.25">
      <c r="A354" s="3">
        <v>44848</v>
      </c>
      <c r="B354" s="4">
        <v>411.85</v>
      </c>
      <c r="C354" s="4">
        <v>419.95</v>
      </c>
      <c r="D354" s="4">
        <v>421.8</v>
      </c>
      <c r="E354" s="4">
        <v>410.45</v>
      </c>
      <c r="F354" s="4" t="str">
        <v>835.50K</v>
      </c>
      <c r="G354" s="4" t="str">
        <v>-0.70%</v>
      </c>
      <c r="H354" s="3">
        <v>44848</v>
      </c>
      <c r="I354" s="4">
        <v>416.125</v>
      </c>
      <c r="O354" s="4">
        <v>1183</v>
      </c>
    </row>
    <row r="355" spans="1:15" x14ac:dyDescent="0.25">
      <c r="A355" s="3">
        <v>44847</v>
      </c>
      <c r="B355" s="4">
        <v>414.75</v>
      </c>
      <c r="C355" s="4">
        <v>420.6</v>
      </c>
      <c r="D355" s="4">
        <v>423.7</v>
      </c>
      <c r="E355" s="4">
        <v>412.9</v>
      </c>
      <c r="F355" s="4" t="str">
        <v>612.11K</v>
      </c>
      <c r="G355" s="4" t="str">
        <v>-1.39%</v>
      </c>
      <c r="H355" s="3">
        <v>44847</v>
      </c>
      <c r="I355" s="4">
        <v>418.29999999999995</v>
      </c>
      <c r="O355" s="4">
        <v>1182</v>
      </c>
    </row>
    <row r="356" spans="1:15" x14ac:dyDescent="0.25">
      <c r="A356" s="3">
        <v>44846</v>
      </c>
      <c r="B356" s="4">
        <v>420.6</v>
      </c>
      <c r="C356" s="4">
        <v>418</v>
      </c>
      <c r="D356" s="4">
        <v>422.9</v>
      </c>
      <c r="E356" s="4">
        <v>412.15</v>
      </c>
      <c r="F356" s="4" t="str">
        <v>1.01M</v>
      </c>
      <c r="G356" s="4" t="str">
        <v>1.13%</v>
      </c>
      <c r="H356" s="3">
        <v>44846</v>
      </c>
      <c r="I356" s="4">
        <v>417.52499999999998</v>
      </c>
      <c r="O356" s="4">
        <v>1181</v>
      </c>
    </row>
    <row r="357" spans="1:15" x14ac:dyDescent="0.25">
      <c r="A357" s="3">
        <v>44845</v>
      </c>
      <c r="B357" s="4">
        <v>415.9</v>
      </c>
      <c r="C357" s="4">
        <v>425.25</v>
      </c>
      <c r="D357" s="4">
        <v>426.85</v>
      </c>
      <c r="E357" s="4">
        <v>414</v>
      </c>
      <c r="F357" s="4" t="str">
        <v>1.33M</v>
      </c>
      <c r="G357" s="4" t="str">
        <v>-2.19%</v>
      </c>
      <c r="H357" s="3">
        <v>44845</v>
      </c>
      <c r="I357" s="4">
        <v>420.42500000000001</v>
      </c>
      <c r="O357" s="4">
        <v>1180</v>
      </c>
    </row>
    <row r="358" spans="1:15" x14ac:dyDescent="0.25">
      <c r="A358" s="3">
        <v>44844</v>
      </c>
      <c r="B358" s="4">
        <v>425.2</v>
      </c>
      <c r="C358" s="4">
        <v>419.95</v>
      </c>
      <c r="D358" s="4">
        <v>426.9</v>
      </c>
      <c r="E358" s="4">
        <v>416.6</v>
      </c>
      <c r="F358" s="4" t="str">
        <v>1.38M</v>
      </c>
      <c r="G358" s="4" t="str">
        <v>0.76%</v>
      </c>
      <c r="H358" s="3">
        <v>44844</v>
      </c>
      <c r="I358" s="4">
        <v>421.75</v>
      </c>
      <c r="O358" s="4">
        <v>1179</v>
      </c>
    </row>
    <row r="359" spans="1:15" x14ac:dyDescent="0.25">
      <c r="A359" s="3">
        <v>44841</v>
      </c>
      <c r="B359" s="4">
        <v>422</v>
      </c>
      <c r="C359" s="4">
        <v>420</v>
      </c>
      <c r="D359" s="4">
        <v>426</v>
      </c>
      <c r="E359" s="4">
        <v>417.2</v>
      </c>
      <c r="F359" s="4" t="str">
        <v>1.93M</v>
      </c>
      <c r="G359" s="4" t="str">
        <v>-0.30%</v>
      </c>
      <c r="H359" s="3">
        <v>44841</v>
      </c>
      <c r="I359" s="4">
        <v>421.6</v>
      </c>
      <c r="O359" s="4">
        <v>1178</v>
      </c>
    </row>
    <row r="360" spans="1:15" x14ac:dyDescent="0.25">
      <c r="A360" s="3">
        <v>44840</v>
      </c>
      <c r="B360" s="4">
        <v>423.25</v>
      </c>
      <c r="C360" s="4">
        <v>420</v>
      </c>
      <c r="D360" s="4">
        <v>427.95</v>
      </c>
      <c r="E360" s="4">
        <v>418.55</v>
      </c>
      <c r="F360" s="4" t="str">
        <v>2.92M</v>
      </c>
      <c r="G360" s="4" t="str">
        <v>0.80%</v>
      </c>
      <c r="H360" s="3">
        <v>44840</v>
      </c>
      <c r="I360" s="4">
        <v>423.25</v>
      </c>
      <c r="O360" s="4">
        <v>1177</v>
      </c>
    </row>
    <row r="361" spans="1:15" x14ac:dyDescent="0.25">
      <c r="A361" s="3">
        <v>44838</v>
      </c>
      <c r="B361" s="4">
        <v>419.9</v>
      </c>
      <c r="C361" s="4">
        <v>414</v>
      </c>
      <c r="D361" s="4">
        <v>421.5</v>
      </c>
      <c r="E361" s="4">
        <v>405.7</v>
      </c>
      <c r="F361" s="4" t="str">
        <v>4.34M</v>
      </c>
      <c r="G361" s="4" t="str">
        <v>2.58%</v>
      </c>
      <c r="H361" s="3">
        <v>44838</v>
      </c>
      <c r="I361" s="4">
        <v>413.6</v>
      </c>
      <c r="O361" s="4">
        <v>1176</v>
      </c>
    </row>
    <row r="362" spans="1:15" x14ac:dyDescent="0.25">
      <c r="A362" s="3">
        <v>44837</v>
      </c>
      <c r="B362" s="4">
        <v>409.35</v>
      </c>
      <c r="C362" s="4">
        <v>388.8</v>
      </c>
      <c r="D362" s="4">
        <v>415.05</v>
      </c>
      <c r="E362" s="4">
        <v>388</v>
      </c>
      <c r="F362" s="4" t="str">
        <v>8.02M</v>
      </c>
      <c r="G362" s="4" t="str">
        <v>5.80%</v>
      </c>
      <c r="H362" s="3">
        <v>44837</v>
      </c>
      <c r="I362" s="4">
        <v>401.52499999999998</v>
      </c>
      <c r="O362" s="4">
        <v>1175</v>
      </c>
    </row>
    <row r="363" spans="1:15" x14ac:dyDescent="0.25">
      <c r="A363" s="3">
        <v>44834</v>
      </c>
      <c r="B363" s="4">
        <v>386.9</v>
      </c>
      <c r="C363" s="4">
        <v>384.8</v>
      </c>
      <c r="D363" s="4">
        <v>388.2</v>
      </c>
      <c r="E363" s="4">
        <v>380.75</v>
      </c>
      <c r="F363" s="4" t="str">
        <v>1.89M</v>
      </c>
      <c r="G363" s="4" t="str">
        <v>1.06%</v>
      </c>
      <c r="H363" s="3">
        <v>44834</v>
      </c>
      <c r="I363" s="4">
        <v>384.47500000000002</v>
      </c>
      <c r="O363" s="4">
        <v>1174</v>
      </c>
    </row>
    <row r="364" spans="1:15" x14ac:dyDescent="0.25">
      <c r="A364" s="3">
        <v>44833</v>
      </c>
      <c r="B364" s="4">
        <v>382.85</v>
      </c>
      <c r="C364" s="4">
        <v>370.75</v>
      </c>
      <c r="D364" s="4">
        <v>386.9</v>
      </c>
      <c r="E364" s="4">
        <v>370</v>
      </c>
      <c r="F364" s="4" t="str">
        <v>6.55M</v>
      </c>
      <c r="G364" s="4" t="str">
        <v>3.71%</v>
      </c>
      <c r="H364" s="3">
        <v>44833</v>
      </c>
      <c r="I364" s="4">
        <v>378.45</v>
      </c>
      <c r="O364" s="4">
        <v>1173</v>
      </c>
    </row>
    <row r="365" spans="1:15" x14ac:dyDescent="0.25">
      <c r="A365" s="3">
        <v>44832</v>
      </c>
      <c r="B365" s="4">
        <v>369.15</v>
      </c>
      <c r="C365" s="4">
        <v>360</v>
      </c>
      <c r="D365" s="4">
        <v>373.5</v>
      </c>
      <c r="E365" s="4">
        <v>357.2</v>
      </c>
      <c r="F365" s="4" t="str">
        <v>1.98M</v>
      </c>
      <c r="G365" s="4" t="str">
        <v>2.44%</v>
      </c>
      <c r="H365" s="3">
        <v>44832</v>
      </c>
      <c r="I365" s="4">
        <v>365.35</v>
      </c>
      <c r="O365" s="4">
        <v>1172</v>
      </c>
    </row>
    <row r="366" spans="1:15" x14ac:dyDescent="0.25">
      <c r="A366" s="3">
        <v>44831</v>
      </c>
      <c r="B366" s="4">
        <v>360.35</v>
      </c>
      <c r="C366" s="4">
        <v>358.15</v>
      </c>
      <c r="D366" s="4">
        <v>361.8</v>
      </c>
      <c r="E366" s="4">
        <v>354.1</v>
      </c>
      <c r="F366" s="4" t="str">
        <v>720.38K</v>
      </c>
      <c r="G366" s="4" t="str">
        <v>1.12%</v>
      </c>
      <c r="H366" s="3">
        <v>44831</v>
      </c>
      <c r="I366" s="4">
        <v>357.95000000000005</v>
      </c>
      <c r="O366" s="4">
        <v>1171</v>
      </c>
    </row>
    <row r="367" spans="1:15" x14ac:dyDescent="0.25">
      <c r="A367" s="3">
        <v>44830</v>
      </c>
      <c r="B367" s="4">
        <v>356.35</v>
      </c>
      <c r="C367" s="4">
        <v>356</v>
      </c>
      <c r="D367" s="4">
        <v>360.5</v>
      </c>
      <c r="E367" s="4">
        <v>350.25</v>
      </c>
      <c r="F367" s="4" t="str">
        <v>882.54K</v>
      </c>
      <c r="G367" s="4" t="str">
        <v>-0.11%</v>
      </c>
      <c r="H367" s="3">
        <v>44830</v>
      </c>
      <c r="I367" s="4">
        <v>355.375</v>
      </c>
      <c r="O367" s="4">
        <v>1170</v>
      </c>
    </row>
    <row r="368" spans="1:15" x14ac:dyDescent="0.25">
      <c r="A368" s="3">
        <v>44827</v>
      </c>
      <c r="B368" s="4">
        <v>356.75</v>
      </c>
      <c r="C368" s="4">
        <v>363.5</v>
      </c>
      <c r="D368" s="4">
        <v>366.95</v>
      </c>
      <c r="E368" s="4">
        <v>355.15</v>
      </c>
      <c r="F368" s="4" t="str">
        <v>734.68K</v>
      </c>
      <c r="G368" s="4" t="str">
        <v>-1.78%</v>
      </c>
      <c r="H368" s="3">
        <v>44827</v>
      </c>
      <c r="I368" s="4">
        <v>361.04999999999995</v>
      </c>
      <c r="O368" s="4">
        <v>1169</v>
      </c>
    </row>
    <row r="369" spans="1:15" x14ac:dyDescent="0.25">
      <c r="A369" s="3">
        <v>44826</v>
      </c>
      <c r="B369" s="4">
        <v>363.2</v>
      </c>
      <c r="C369" s="4">
        <v>364</v>
      </c>
      <c r="D369" s="4">
        <v>367.4</v>
      </c>
      <c r="E369" s="4">
        <v>360.65</v>
      </c>
      <c r="F369" s="4" t="str">
        <v>831.11K</v>
      </c>
      <c r="G369" s="4" t="str">
        <v>-0.86%</v>
      </c>
      <c r="H369" s="3">
        <v>44826</v>
      </c>
      <c r="I369" s="4">
        <v>364.02499999999998</v>
      </c>
      <c r="O369" s="4">
        <v>1168</v>
      </c>
    </row>
    <row r="370" spans="1:15" x14ac:dyDescent="0.25">
      <c r="A370" s="3">
        <v>44825</v>
      </c>
      <c r="B370" s="4">
        <v>366.35</v>
      </c>
      <c r="C370" s="4">
        <v>372.7</v>
      </c>
      <c r="D370" s="4">
        <v>373.85</v>
      </c>
      <c r="E370" s="4">
        <v>363.7</v>
      </c>
      <c r="F370" s="4" t="str">
        <v>1.15M</v>
      </c>
      <c r="G370" s="4" t="str">
        <v>-1.23%</v>
      </c>
      <c r="H370" s="3">
        <v>44825</v>
      </c>
      <c r="I370" s="4">
        <v>368.77499999999998</v>
      </c>
      <c r="O370" s="4">
        <v>1167</v>
      </c>
    </row>
    <row r="371" spans="1:15" x14ac:dyDescent="0.25">
      <c r="A371" s="3">
        <v>44824</v>
      </c>
      <c r="B371" s="4">
        <v>370.9</v>
      </c>
      <c r="C371" s="4">
        <v>360.5</v>
      </c>
      <c r="D371" s="4">
        <v>371.5</v>
      </c>
      <c r="E371" s="4">
        <v>360.25</v>
      </c>
      <c r="F371" s="4" t="str">
        <v>907.97K</v>
      </c>
      <c r="G371" s="4" t="str">
        <v>3.07%</v>
      </c>
      <c r="H371" s="3">
        <v>44824</v>
      </c>
      <c r="I371" s="4">
        <v>365.875</v>
      </c>
      <c r="O371" s="4">
        <v>1166</v>
      </c>
    </row>
    <row r="372" spans="1:15" x14ac:dyDescent="0.25">
      <c r="A372" s="3">
        <v>44823</v>
      </c>
      <c r="B372" s="4">
        <v>359.85</v>
      </c>
      <c r="C372" s="4">
        <v>363</v>
      </c>
      <c r="D372" s="4">
        <v>363.2</v>
      </c>
      <c r="E372" s="4">
        <v>355.5</v>
      </c>
      <c r="F372" s="4" t="str">
        <v>584.65K</v>
      </c>
      <c r="G372" s="4" t="str">
        <v>-0.40%</v>
      </c>
      <c r="H372" s="3">
        <v>44823</v>
      </c>
      <c r="I372" s="4">
        <v>359.35</v>
      </c>
      <c r="O372" s="4">
        <v>1165</v>
      </c>
    </row>
    <row r="373" spans="1:15" x14ac:dyDescent="0.25">
      <c r="A373" s="3">
        <v>44820</v>
      </c>
      <c r="B373" s="4">
        <v>361.3</v>
      </c>
      <c r="C373" s="4">
        <v>370.8</v>
      </c>
      <c r="D373" s="4">
        <v>372.65</v>
      </c>
      <c r="E373" s="4">
        <v>359.45</v>
      </c>
      <c r="F373" s="4" t="str">
        <v>1.63M</v>
      </c>
      <c r="G373" s="4" t="str">
        <v>-2.59%</v>
      </c>
      <c r="H373" s="3">
        <v>44820</v>
      </c>
      <c r="I373" s="4">
        <v>366.04999999999995</v>
      </c>
      <c r="O373" s="4">
        <v>1164</v>
      </c>
    </row>
    <row r="374" spans="1:15" x14ac:dyDescent="0.25">
      <c r="A374" s="3">
        <v>44819</v>
      </c>
      <c r="B374" s="4">
        <v>370.9</v>
      </c>
      <c r="C374" s="4">
        <v>376.1</v>
      </c>
      <c r="D374" s="4">
        <v>377.4</v>
      </c>
      <c r="E374" s="4">
        <v>368.1</v>
      </c>
      <c r="F374" s="4" t="str">
        <v>581.13K</v>
      </c>
      <c r="G374" s="4" t="str">
        <v>-1.20%</v>
      </c>
      <c r="H374" s="3">
        <v>44819</v>
      </c>
      <c r="I374" s="4">
        <v>372.75</v>
      </c>
      <c r="O374" s="4">
        <v>1163</v>
      </c>
    </row>
    <row r="375" spans="1:15" x14ac:dyDescent="0.25">
      <c r="A375" s="3">
        <v>44818</v>
      </c>
      <c r="B375" s="4">
        <v>375.4</v>
      </c>
      <c r="C375" s="4">
        <v>370.95</v>
      </c>
      <c r="D375" s="4">
        <v>378</v>
      </c>
      <c r="E375" s="4">
        <v>370.05</v>
      </c>
      <c r="F375" s="4" t="str">
        <v>1.00M</v>
      </c>
      <c r="G375" s="4" t="str">
        <v>-0.09%</v>
      </c>
      <c r="H375" s="3">
        <v>44818</v>
      </c>
      <c r="I375" s="4">
        <v>374.02499999999998</v>
      </c>
      <c r="O375" s="4">
        <v>1162</v>
      </c>
    </row>
    <row r="376" spans="1:15" x14ac:dyDescent="0.25">
      <c r="A376" s="3">
        <v>44817</v>
      </c>
      <c r="B376" s="4">
        <v>375.75</v>
      </c>
      <c r="C376" s="4">
        <v>378.95</v>
      </c>
      <c r="D376" s="4">
        <v>378.95</v>
      </c>
      <c r="E376" s="4">
        <v>374.5</v>
      </c>
      <c r="F376" s="4" t="str">
        <v>720.82K</v>
      </c>
      <c r="G376" s="4" t="str">
        <v>-0.24%</v>
      </c>
      <c r="H376" s="3">
        <v>44817</v>
      </c>
      <c r="I376" s="4">
        <v>376.72500000000002</v>
      </c>
      <c r="O376" s="4">
        <v>1161</v>
      </c>
    </row>
    <row r="377" spans="1:15" x14ac:dyDescent="0.25">
      <c r="A377" s="3">
        <v>44816</v>
      </c>
      <c r="B377" s="4">
        <v>376.65</v>
      </c>
      <c r="C377" s="4">
        <v>374.35</v>
      </c>
      <c r="D377" s="4">
        <v>381.85</v>
      </c>
      <c r="E377" s="4">
        <v>373.25</v>
      </c>
      <c r="F377" s="4" t="str">
        <v>834.97K</v>
      </c>
      <c r="G377" s="4" t="str">
        <v>0.68%</v>
      </c>
      <c r="H377" s="3">
        <v>44816</v>
      </c>
      <c r="I377" s="4">
        <v>377.55</v>
      </c>
      <c r="O377" s="4">
        <v>1160</v>
      </c>
    </row>
    <row r="378" spans="1:15" x14ac:dyDescent="0.25">
      <c r="A378" s="3">
        <v>44813</v>
      </c>
      <c r="B378" s="4">
        <v>374.1</v>
      </c>
      <c r="C378" s="4">
        <v>374.45</v>
      </c>
      <c r="D378" s="4">
        <v>381.5</v>
      </c>
      <c r="E378" s="4">
        <v>372.65</v>
      </c>
      <c r="F378" s="4" t="str">
        <v>803.32K</v>
      </c>
      <c r="G378" s="4" t="str">
        <v>-0.15%</v>
      </c>
      <c r="H378" s="3">
        <v>44813</v>
      </c>
      <c r="I378" s="4">
        <v>377.07499999999999</v>
      </c>
      <c r="O378" s="4">
        <v>1159</v>
      </c>
    </row>
    <row r="379" spans="1:15" x14ac:dyDescent="0.25">
      <c r="A379" s="3">
        <v>44812</v>
      </c>
      <c r="B379" s="4">
        <v>374.65</v>
      </c>
      <c r="C379" s="4">
        <v>378.95</v>
      </c>
      <c r="D379" s="4">
        <v>379.9</v>
      </c>
      <c r="E379" s="4">
        <v>373.4</v>
      </c>
      <c r="F379" s="4" t="str">
        <v>699.37K</v>
      </c>
      <c r="G379" s="4" t="str">
        <v>-0.40%</v>
      </c>
      <c r="H379" s="3">
        <v>44812</v>
      </c>
      <c r="I379" s="4">
        <v>376.65</v>
      </c>
      <c r="O379" s="4">
        <v>1158</v>
      </c>
    </row>
    <row r="380" spans="1:15" x14ac:dyDescent="0.25">
      <c r="A380" s="3">
        <v>44811</v>
      </c>
      <c r="B380" s="4">
        <v>376.15</v>
      </c>
      <c r="C380" s="4">
        <v>370</v>
      </c>
      <c r="D380" s="4">
        <v>377.5</v>
      </c>
      <c r="E380" s="4">
        <v>370</v>
      </c>
      <c r="F380" s="4" t="str">
        <v>594.15K</v>
      </c>
      <c r="G380" s="4" t="str">
        <v>1.27%</v>
      </c>
      <c r="H380" s="3">
        <v>44811</v>
      </c>
      <c r="I380" s="4">
        <v>373.75</v>
      </c>
      <c r="O380" s="4">
        <v>1157</v>
      </c>
    </row>
    <row r="381" spans="1:15" x14ac:dyDescent="0.25">
      <c r="A381" s="3">
        <v>44810</v>
      </c>
      <c r="B381" s="4">
        <v>371.45</v>
      </c>
      <c r="C381" s="4">
        <v>371.2</v>
      </c>
      <c r="D381" s="4">
        <v>373.8</v>
      </c>
      <c r="E381" s="4">
        <v>368.5</v>
      </c>
      <c r="F381" s="4" t="str">
        <v>520.18K</v>
      </c>
      <c r="G381" s="4" t="str">
        <v>0.07%</v>
      </c>
      <c r="H381" s="3">
        <v>44810</v>
      </c>
      <c r="I381" s="4">
        <v>371.15</v>
      </c>
      <c r="O381" s="4">
        <v>1156</v>
      </c>
    </row>
    <row r="382" spans="1:15" x14ac:dyDescent="0.25">
      <c r="A382" s="3">
        <v>44809</v>
      </c>
      <c r="B382" s="4">
        <v>371.2</v>
      </c>
      <c r="C382" s="4">
        <v>369</v>
      </c>
      <c r="D382" s="4">
        <v>374.45</v>
      </c>
      <c r="E382" s="4">
        <v>365.75</v>
      </c>
      <c r="F382" s="4" t="str">
        <v>833.70K</v>
      </c>
      <c r="G382" s="4" t="str">
        <v>0.68%</v>
      </c>
      <c r="H382" s="3">
        <v>44809</v>
      </c>
      <c r="I382" s="4">
        <v>370.1</v>
      </c>
      <c r="O382" s="4">
        <v>1155</v>
      </c>
    </row>
    <row r="383" spans="1:15" x14ac:dyDescent="0.25">
      <c r="A383" s="3">
        <v>44806</v>
      </c>
      <c r="B383" s="4">
        <v>368.7</v>
      </c>
      <c r="C383" s="4">
        <v>374.4</v>
      </c>
      <c r="D383" s="4">
        <v>376.95</v>
      </c>
      <c r="E383" s="4">
        <v>368</v>
      </c>
      <c r="F383" s="4" t="str">
        <v>695.67K</v>
      </c>
      <c r="G383" s="4" t="str">
        <v>-1.02%</v>
      </c>
      <c r="H383" s="3">
        <v>44806</v>
      </c>
      <c r="I383" s="4">
        <v>372.47500000000002</v>
      </c>
      <c r="O383" s="4">
        <v>1154</v>
      </c>
    </row>
    <row r="384" spans="1:15" x14ac:dyDescent="0.25">
      <c r="A384" s="3">
        <v>44805</v>
      </c>
      <c r="B384" s="4">
        <v>372.5</v>
      </c>
      <c r="C384" s="4">
        <v>381.1</v>
      </c>
      <c r="D384" s="4">
        <v>384.8</v>
      </c>
      <c r="E384" s="4">
        <v>371.4</v>
      </c>
      <c r="F384" s="4" t="str">
        <v>1.33M</v>
      </c>
      <c r="G384" s="4" t="str">
        <v>-1.51%</v>
      </c>
      <c r="H384" s="3">
        <v>44805</v>
      </c>
      <c r="I384" s="4">
        <v>378.1</v>
      </c>
      <c r="O384" s="4">
        <v>1153</v>
      </c>
    </row>
    <row r="385" spans="1:15" x14ac:dyDescent="0.25">
      <c r="A385" s="3">
        <v>44803</v>
      </c>
      <c r="B385" s="4">
        <v>378.2</v>
      </c>
      <c r="C385" s="4">
        <v>379</v>
      </c>
      <c r="D385" s="4">
        <v>382.2</v>
      </c>
      <c r="E385" s="4">
        <v>375.2</v>
      </c>
      <c r="F385" s="4" t="str">
        <v>638.10K</v>
      </c>
      <c r="G385" s="4" t="str">
        <v>0.20%</v>
      </c>
      <c r="H385" s="3">
        <v>44803</v>
      </c>
      <c r="I385" s="4">
        <v>378.7</v>
      </c>
      <c r="O385" s="4">
        <v>1152</v>
      </c>
    </row>
    <row r="386" spans="1:15" x14ac:dyDescent="0.25">
      <c r="A386" s="3">
        <v>44802</v>
      </c>
      <c r="B386" s="4">
        <v>377.45</v>
      </c>
      <c r="C386" s="4">
        <v>374.9</v>
      </c>
      <c r="D386" s="4">
        <v>379.6</v>
      </c>
      <c r="E386" s="4">
        <v>371.35</v>
      </c>
      <c r="F386" s="4" t="str">
        <v>522.01K</v>
      </c>
      <c r="G386" s="4" t="str">
        <v>-1.33%</v>
      </c>
      <c r="H386" s="3">
        <v>44802</v>
      </c>
      <c r="I386" s="4">
        <v>375.47500000000002</v>
      </c>
      <c r="O386" s="4">
        <v>1151</v>
      </c>
    </row>
    <row r="387" spans="1:15" x14ac:dyDescent="0.25">
      <c r="A387" s="3">
        <v>44799</v>
      </c>
      <c r="B387" s="4">
        <v>382.55</v>
      </c>
      <c r="C387" s="4">
        <v>385.4</v>
      </c>
      <c r="D387" s="4">
        <v>388.5</v>
      </c>
      <c r="E387" s="4">
        <v>381.8</v>
      </c>
      <c r="F387" s="4" t="str">
        <v>673.47K</v>
      </c>
      <c r="G387" s="4" t="str">
        <v>-0.62%</v>
      </c>
      <c r="H387" s="3">
        <v>44799</v>
      </c>
      <c r="I387" s="4">
        <v>385.15</v>
      </c>
      <c r="O387" s="4">
        <v>1150</v>
      </c>
    </row>
    <row r="388" spans="1:15" x14ac:dyDescent="0.25">
      <c r="A388" s="3">
        <v>44798</v>
      </c>
      <c r="B388" s="4">
        <v>384.95</v>
      </c>
      <c r="C388" s="4">
        <v>392.25</v>
      </c>
      <c r="D388" s="4">
        <v>394.05</v>
      </c>
      <c r="E388" s="4">
        <v>383</v>
      </c>
      <c r="F388" s="4" t="str">
        <v>867.25K</v>
      </c>
      <c r="G388" s="4" t="str">
        <v>-1.59%</v>
      </c>
      <c r="H388" s="3">
        <v>44798</v>
      </c>
      <c r="I388" s="4">
        <v>388.52499999999998</v>
      </c>
      <c r="O388" s="4">
        <v>1149</v>
      </c>
    </row>
    <row r="389" spans="1:15" x14ac:dyDescent="0.25">
      <c r="A389" s="3">
        <v>44797</v>
      </c>
      <c r="B389" s="4">
        <v>391.15</v>
      </c>
      <c r="C389" s="4">
        <v>384.8</v>
      </c>
      <c r="D389" s="4">
        <v>393</v>
      </c>
      <c r="E389" s="4">
        <v>384.4</v>
      </c>
      <c r="F389" s="4" t="str">
        <v>995.75K</v>
      </c>
      <c r="G389" s="4" t="str">
        <v>1.92%</v>
      </c>
      <c r="H389" s="3">
        <v>44797</v>
      </c>
      <c r="I389" s="4">
        <v>388.7</v>
      </c>
      <c r="O389" s="4">
        <v>1148</v>
      </c>
    </row>
    <row r="390" spans="1:15" x14ac:dyDescent="0.25">
      <c r="A390" s="3">
        <v>44796</v>
      </c>
      <c r="B390" s="4">
        <v>383.8</v>
      </c>
      <c r="C390" s="4">
        <v>381</v>
      </c>
      <c r="D390" s="4">
        <v>388.3</v>
      </c>
      <c r="E390" s="4">
        <v>377.35</v>
      </c>
      <c r="F390" s="4" t="str">
        <v>729.40K</v>
      </c>
      <c r="G390" s="4" t="str">
        <v>0.14%</v>
      </c>
      <c r="H390" s="3">
        <v>44796</v>
      </c>
      <c r="I390" s="4">
        <v>382.82500000000005</v>
      </c>
      <c r="O390" s="4">
        <v>1147</v>
      </c>
    </row>
    <row r="391" spans="1:15" x14ac:dyDescent="0.25">
      <c r="A391" s="3">
        <v>44795</v>
      </c>
      <c r="B391" s="4">
        <v>383.25</v>
      </c>
      <c r="C391" s="4">
        <v>385.05</v>
      </c>
      <c r="D391" s="4">
        <v>388</v>
      </c>
      <c r="E391" s="4">
        <v>382.05</v>
      </c>
      <c r="F391" s="4" t="str">
        <v>785.24K</v>
      </c>
      <c r="G391" s="4" t="str">
        <v>-1.30%</v>
      </c>
      <c r="H391" s="3">
        <v>44795</v>
      </c>
      <c r="I391" s="4">
        <v>385.02499999999998</v>
      </c>
      <c r="O391" s="4">
        <v>1146</v>
      </c>
    </row>
    <row r="392" spans="1:15" x14ac:dyDescent="0.25">
      <c r="A392" s="3">
        <v>44792</v>
      </c>
      <c r="B392" s="4">
        <v>388.3</v>
      </c>
      <c r="C392" s="4">
        <v>395</v>
      </c>
      <c r="D392" s="4">
        <v>396.3</v>
      </c>
      <c r="E392" s="4">
        <v>384.9</v>
      </c>
      <c r="F392" s="4" t="str">
        <v>1.54M</v>
      </c>
      <c r="G392" s="4" t="str">
        <v>-1.46%</v>
      </c>
      <c r="H392" s="3">
        <v>44792</v>
      </c>
      <c r="I392" s="4">
        <v>390.6</v>
      </c>
      <c r="O392" s="4">
        <v>1145</v>
      </c>
    </row>
    <row r="393" spans="1:15" x14ac:dyDescent="0.25">
      <c r="A393" s="3">
        <v>44791</v>
      </c>
      <c r="B393" s="4">
        <v>394.05</v>
      </c>
      <c r="C393" s="4">
        <v>399.95</v>
      </c>
      <c r="D393" s="4">
        <v>400</v>
      </c>
      <c r="E393" s="4">
        <v>393.2</v>
      </c>
      <c r="F393" s="4" t="str">
        <v>950.77K</v>
      </c>
      <c r="G393" s="4" t="str">
        <v>-1.45%</v>
      </c>
      <c r="H393" s="3">
        <v>44791</v>
      </c>
      <c r="I393" s="4">
        <v>396.6</v>
      </c>
      <c r="O393" s="4">
        <v>1144</v>
      </c>
    </row>
    <row r="394" spans="1:15" x14ac:dyDescent="0.25">
      <c r="A394" s="3">
        <v>44790</v>
      </c>
      <c r="B394" s="4">
        <v>399.85</v>
      </c>
      <c r="C394" s="4">
        <v>399</v>
      </c>
      <c r="D394" s="4">
        <v>401.75</v>
      </c>
      <c r="E394" s="4">
        <v>396.4</v>
      </c>
      <c r="F394" s="4" t="str">
        <v>1.83M</v>
      </c>
      <c r="G394" s="4" t="str">
        <v>0.33%</v>
      </c>
      <c r="H394" s="3">
        <v>44790</v>
      </c>
      <c r="I394" s="4">
        <v>399.07499999999999</v>
      </c>
      <c r="O394" s="4">
        <v>1143</v>
      </c>
    </row>
    <row r="395" spans="1:15" x14ac:dyDescent="0.25">
      <c r="A395" s="3">
        <v>44789</v>
      </c>
      <c r="B395" s="4">
        <v>398.55</v>
      </c>
      <c r="C395" s="4">
        <v>390</v>
      </c>
      <c r="D395" s="4">
        <v>399.5</v>
      </c>
      <c r="E395" s="4">
        <v>389</v>
      </c>
      <c r="F395" s="4" t="str">
        <v>3.57M</v>
      </c>
      <c r="G395" s="4" t="str">
        <v>3.02%</v>
      </c>
      <c r="H395" s="3">
        <v>44789</v>
      </c>
      <c r="I395" s="4">
        <v>394.25</v>
      </c>
      <c r="O395" s="4">
        <v>1142</v>
      </c>
    </row>
    <row r="396" spans="1:15" x14ac:dyDescent="0.25">
      <c r="A396" s="3">
        <v>44785</v>
      </c>
      <c r="B396" s="4">
        <v>386.85</v>
      </c>
      <c r="C396" s="4">
        <v>383.75</v>
      </c>
      <c r="D396" s="4">
        <v>388.5</v>
      </c>
      <c r="E396" s="4">
        <v>380.45</v>
      </c>
      <c r="F396" s="4" t="str">
        <v>4.79M</v>
      </c>
      <c r="G396" s="4" t="str">
        <v>1.35%</v>
      </c>
      <c r="H396" s="3">
        <v>44785</v>
      </c>
      <c r="I396" s="4">
        <v>384.47500000000002</v>
      </c>
      <c r="O396" s="4">
        <v>1141</v>
      </c>
    </row>
    <row r="397" spans="1:15" x14ac:dyDescent="0.25">
      <c r="A397" s="3">
        <v>44784</v>
      </c>
      <c r="B397" s="4">
        <v>381.7</v>
      </c>
      <c r="C397" s="4">
        <v>369</v>
      </c>
      <c r="D397" s="4">
        <v>382.9</v>
      </c>
      <c r="E397" s="4">
        <v>367.55</v>
      </c>
      <c r="F397" s="4" t="str">
        <v>3.69M</v>
      </c>
      <c r="G397" s="4" t="str">
        <v>4.70%</v>
      </c>
      <c r="H397" s="3">
        <v>44784</v>
      </c>
      <c r="I397" s="4">
        <v>375.22500000000002</v>
      </c>
      <c r="O397" s="4">
        <v>1140</v>
      </c>
    </row>
    <row r="398" spans="1:15" x14ac:dyDescent="0.25">
      <c r="A398" s="3">
        <v>44783</v>
      </c>
      <c r="B398" s="4">
        <v>364.55</v>
      </c>
      <c r="C398" s="4">
        <v>362</v>
      </c>
      <c r="D398" s="4">
        <v>367.2</v>
      </c>
      <c r="E398" s="4">
        <v>358</v>
      </c>
      <c r="F398" s="4" t="str">
        <v>1.95M</v>
      </c>
      <c r="G398" s="4" t="str">
        <v>1.07%</v>
      </c>
      <c r="H398" s="3">
        <v>44783</v>
      </c>
      <c r="I398" s="4">
        <v>362.6</v>
      </c>
      <c r="O398" s="4">
        <v>1139</v>
      </c>
    </row>
    <row r="399" spans="1:15" x14ac:dyDescent="0.25">
      <c r="A399" s="3">
        <v>44781</v>
      </c>
      <c r="B399" s="4">
        <v>360.7</v>
      </c>
      <c r="C399" s="4">
        <v>358.25</v>
      </c>
      <c r="D399" s="4">
        <v>364</v>
      </c>
      <c r="E399" s="4">
        <v>357.15</v>
      </c>
      <c r="F399" s="4" t="str">
        <v>765.46K</v>
      </c>
      <c r="G399" s="4" t="str">
        <v>0.87%</v>
      </c>
      <c r="H399" s="3">
        <v>44781</v>
      </c>
      <c r="I399" s="4">
        <v>360.57499999999999</v>
      </c>
      <c r="O399" s="4">
        <v>1138</v>
      </c>
    </row>
    <row r="400" spans="1:15" x14ac:dyDescent="0.25">
      <c r="A400" s="3">
        <v>44778</v>
      </c>
      <c r="B400" s="4">
        <v>357.6</v>
      </c>
      <c r="C400" s="4">
        <v>364.5</v>
      </c>
      <c r="D400" s="4">
        <v>365.6</v>
      </c>
      <c r="E400" s="4">
        <v>353.7</v>
      </c>
      <c r="F400" s="4" t="str">
        <v>2.57M</v>
      </c>
      <c r="G400" s="4" t="str">
        <v>-1.92%</v>
      </c>
      <c r="H400" s="3">
        <v>44778</v>
      </c>
      <c r="I400" s="4">
        <v>359.65</v>
      </c>
      <c r="O400" s="4">
        <v>1137</v>
      </c>
    </row>
    <row r="401" spans="1:15" x14ac:dyDescent="0.25">
      <c r="A401" s="3">
        <v>44777</v>
      </c>
      <c r="B401" s="4">
        <v>364.6</v>
      </c>
      <c r="C401" s="4">
        <v>346.8</v>
      </c>
      <c r="D401" s="4">
        <v>365.9</v>
      </c>
      <c r="E401" s="4">
        <v>346</v>
      </c>
      <c r="F401" s="4" t="str">
        <v>5.08M</v>
      </c>
      <c r="G401" s="4" t="str">
        <v>5.24%</v>
      </c>
      <c r="H401" s="3">
        <v>44777</v>
      </c>
      <c r="I401" s="4">
        <v>355.95</v>
      </c>
      <c r="O401" s="4">
        <v>1136</v>
      </c>
    </row>
    <row r="402" spans="1:15" x14ac:dyDescent="0.25">
      <c r="A402" s="3">
        <v>44776</v>
      </c>
      <c r="B402" s="4">
        <v>346.45</v>
      </c>
      <c r="C402" s="4">
        <v>350</v>
      </c>
      <c r="D402" s="4">
        <v>353.85</v>
      </c>
      <c r="E402" s="4">
        <v>342.75</v>
      </c>
      <c r="F402" s="4" t="str">
        <v>866.09K</v>
      </c>
      <c r="G402" s="4" t="str">
        <v>-1.07%</v>
      </c>
      <c r="H402" s="3">
        <v>44776</v>
      </c>
      <c r="I402" s="4">
        <v>348.3</v>
      </c>
      <c r="O402" s="4">
        <v>1135</v>
      </c>
    </row>
    <row r="403" spans="1:15" x14ac:dyDescent="0.25">
      <c r="A403" s="3">
        <v>44775</v>
      </c>
      <c r="B403" s="4">
        <v>350.2</v>
      </c>
      <c r="C403" s="4">
        <v>350</v>
      </c>
      <c r="D403" s="4">
        <v>351.55</v>
      </c>
      <c r="E403" s="4">
        <v>346.75</v>
      </c>
      <c r="F403" s="4" t="str">
        <v>834.76K</v>
      </c>
      <c r="G403" s="4" t="str">
        <v>0.01%</v>
      </c>
      <c r="H403" s="3">
        <v>44775</v>
      </c>
      <c r="I403" s="4">
        <v>349.15</v>
      </c>
      <c r="O403" s="4">
        <v>1134</v>
      </c>
    </row>
    <row r="404" spans="1:15" x14ac:dyDescent="0.25">
      <c r="A404" s="3">
        <v>44774</v>
      </c>
      <c r="B404" s="4">
        <v>350.15</v>
      </c>
      <c r="C404" s="4">
        <v>347.3</v>
      </c>
      <c r="D404" s="4">
        <v>350.95</v>
      </c>
      <c r="E404" s="4">
        <v>346.9</v>
      </c>
      <c r="F404" s="4" t="str">
        <v>663.06K</v>
      </c>
      <c r="G404" s="4" t="str">
        <v>0.97%</v>
      </c>
      <c r="H404" s="3">
        <v>44774</v>
      </c>
      <c r="I404" s="4">
        <v>348.92499999999995</v>
      </c>
      <c r="O404" s="4">
        <v>1133</v>
      </c>
    </row>
    <row r="405" spans="1:15" x14ac:dyDescent="0.25">
      <c r="A405" s="3">
        <v>44771</v>
      </c>
      <c r="B405" s="4">
        <v>346.8</v>
      </c>
      <c r="C405" s="4">
        <v>350.1</v>
      </c>
      <c r="D405" s="4">
        <v>351.4</v>
      </c>
      <c r="E405" s="4">
        <v>344.2</v>
      </c>
      <c r="F405" s="4" t="str">
        <v>1.06M</v>
      </c>
      <c r="G405" s="4" t="str">
        <v>-0.80%</v>
      </c>
      <c r="H405" s="3">
        <v>44771</v>
      </c>
      <c r="I405" s="4">
        <v>347.79999999999995</v>
      </c>
      <c r="O405" s="4">
        <v>1132</v>
      </c>
    </row>
    <row r="406" spans="1:15" x14ac:dyDescent="0.25">
      <c r="A406" s="3">
        <v>44770</v>
      </c>
      <c r="B406" s="4">
        <v>349.6</v>
      </c>
      <c r="C406" s="4">
        <v>350.5</v>
      </c>
      <c r="D406" s="4">
        <v>352.5</v>
      </c>
      <c r="E406" s="4">
        <v>347.75</v>
      </c>
      <c r="F406" s="4" t="str">
        <v>1.20M</v>
      </c>
      <c r="G406" s="4" t="str">
        <v>-0.53%</v>
      </c>
      <c r="H406" s="3">
        <v>44770</v>
      </c>
      <c r="I406" s="4">
        <v>350.125</v>
      </c>
      <c r="O406" s="4">
        <v>1131</v>
      </c>
    </row>
    <row r="407" spans="1:15" x14ac:dyDescent="0.25">
      <c r="A407" s="3">
        <v>44769</v>
      </c>
      <c r="B407" s="4">
        <v>351.45</v>
      </c>
      <c r="C407" s="4">
        <v>343</v>
      </c>
      <c r="D407" s="4">
        <v>353.1</v>
      </c>
      <c r="E407" s="4">
        <v>340.4</v>
      </c>
      <c r="F407" s="4" t="str">
        <v>2.78M</v>
      </c>
      <c r="G407" s="4" t="str">
        <v>2.60%</v>
      </c>
      <c r="H407" s="3">
        <v>44769</v>
      </c>
      <c r="I407" s="4">
        <v>346.75</v>
      </c>
      <c r="O407" s="4">
        <v>1130</v>
      </c>
    </row>
    <row r="408" spans="1:15" x14ac:dyDescent="0.25">
      <c r="A408" s="3">
        <v>44768</v>
      </c>
      <c r="B408" s="4">
        <v>342.55</v>
      </c>
      <c r="C408" s="4">
        <v>347.6</v>
      </c>
      <c r="D408" s="4">
        <v>349</v>
      </c>
      <c r="E408" s="4">
        <v>340</v>
      </c>
      <c r="F408" s="4" t="str">
        <v>1.05M</v>
      </c>
      <c r="G408" s="4" t="str">
        <v>-1.37%</v>
      </c>
      <c r="H408" s="3">
        <v>44768</v>
      </c>
      <c r="I408" s="4">
        <v>344.5</v>
      </c>
      <c r="O408" s="4">
        <v>1129</v>
      </c>
    </row>
    <row r="409" spans="1:15" x14ac:dyDescent="0.25">
      <c r="A409" s="3">
        <v>44767</v>
      </c>
      <c r="B409" s="4">
        <v>347.3</v>
      </c>
      <c r="C409" s="4">
        <v>350.9</v>
      </c>
      <c r="D409" s="4">
        <v>352.85</v>
      </c>
      <c r="E409" s="4">
        <v>345.65</v>
      </c>
      <c r="F409" s="4" t="str">
        <v>729.81K</v>
      </c>
      <c r="G409" s="4" t="str">
        <v>-0.87%</v>
      </c>
      <c r="H409" s="3">
        <v>44767</v>
      </c>
      <c r="I409" s="4">
        <v>349.25</v>
      </c>
      <c r="O409" s="4">
        <v>1128</v>
      </c>
    </row>
    <row r="410" spans="1:15" x14ac:dyDescent="0.25">
      <c r="A410" s="3">
        <v>44764</v>
      </c>
      <c r="B410" s="4">
        <v>350.35</v>
      </c>
      <c r="C410" s="4">
        <v>356</v>
      </c>
      <c r="D410" s="4">
        <v>356</v>
      </c>
      <c r="E410" s="4">
        <v>349.75</v>
      </c>
      <c r="F410" s="4" t="str">
        <v>697.28K</v>
      </c>
      <c r="G410" s="4" t="str">
        <v>-1.21%</v>
      </c>
      <c r="H410" s="3">
        <v>44764</v>
      </c>
      <c r="I410" s="4">
        <v>352.875</v>
      </c>
      <c r="O410" s="4">
        <v>1127</v>
      </c>
    </row>
    <row r="411" spans="1:15" x14ac:dyDescent="0.25">
      <c r="A411" s="3">
        <v>44763</v>
      </c>
      <c r="B411" s="4">
        <v>354.65</v>
      </c>
      <c r="C411" s="4">
        <v>359.9</v>
      </c>
      <c r="D411" s="4">
        <v>360.5</v>
      </c>
      <c r="E411" s="4">
        <v>353.75</v>
      </c>
      <c r="F411" s="4" t="str">
        <v>1.11M</v>
      </c>
      <c r="G411" s="4" t="str">
        <v>-1.16%</v>
      </c>
      <c r="H411" s="3">
        <v>44763</v>
      </c>
      <c r="I411" s="4">
        <v>357.125</v>
      </c>
      <c r="O411" s="4">
        <v>1126</v>
      </c>
    </row>
    <row r="412" spans="1:15" x14ac:dyDescent="0.25">
      <c r="A412" s="3">
        <v>44762</v>
      </c>
      <c r="B412" s="4">
        <v>358.8</v>
      </c>
      <c r="C412" s="4">
        <v>359.8</v>
      </c>
      <c r="D412" s="4">
        <v>364.3</v>
      </c>
      <c r="E412" s="4">
        <v>358.15</v>
      </c>
      <c r="F412" s="4" t="str">
        <v>1.09M</v>
      </c>
      <c r="G412" s="4" t="str">
        <v>0.42%</v>
      </c>
      <c r="H412" s="3">
        <v>44762</v>
      </c>
      <c r="I412" s="4">
        <v>361.22500000000002</v>
      </c>
      <c r="O412" s="4">
        <v>1125</v>
      </c>
    </row>
    <row r="413" spans="1:15" x14ac:dyDescent="0.25">
      <c r="A413" s="3">
        <v>44761</v>
      </c>
      <c r="B413" s="4">
        <v>357.3</v>
      </c>
      <c r="C413" s="4">
        <v>358.6</v>
      </c>
      <c r="D413" s="4">
        <v>361.8</v>
      </c>
      <c r="E413" s="4">
        <v>356.5</v>
      </c>
      <c r="F413" s="4" t="str">
        <v>1.01M</v>
      </c>
      <c r="G413" s="4" t="str">
        <v>-0.27%</v>
      </c>
      <c r="H413" s="3">
        <v>44761</v>
      </c>
      <c r="I413" s="4">
        <v>359.15</v>
      </c>
      <c r="O413" s="4">
        <v>1124</v>
      </c>
    </row>
    <row r="414" spans="1:15" x14ac:dyDescent="0.25">
      <c r="A414" s="3">
        <v>44760</v>
      </c>
      <c r="B414" s="4">
        <v>358.25</v>
      </c>
      <c r="C414" s="4">
        <v>370</v>
      </c>
      <c r="D414" s="4">
        <v>372.5</v>
      </c>
      <c r="E414" s="4">
        <v>356.6</v>
      </c>
      <c r="F414" s="4" t="str">
        <v>4.13M</v>
      </c>
      <c r="G414" s="4" t="str">
        <v>-3.42%</v>
      </c>
      <c r="H414" s="3">
        <v>44760</v>
      </c>
      <c r="I414" s="4">
        <v>364.55</v>
      </c>
      <c r="O414" s="4">
        <v>1123</v>
      </c>
    </row>
    <row r="415" spans="1:15" x14ac:dyDescent="0.25">
      <c r="A415" s="3">
        <v>44757</v>
      </c>
      <c r="B415" s="4">
        <v>370.95</v>
      </c>
      <c r="C415" s="4">
        <v>367.5</v>
      </c>
      <c r="D415" s="4">
        <v>376.4</v>
      </c>
      <c r="E415" s="4">
        <v>367.05</v>
      </c>
      <c r="F415" s="4" t="str">
        <v>2.68M</v>
      </c>
      <c r="G415" s="4" t="str">
        <v>0.30%</v>
      </c>
      <c r="H415" s="3">
        <v>44757</v>
      </c>
      <c r="I415" s="4">
        <v>371.72500000000002</v>
      </c>
      <c r="O415" s="4">
        <v>1122</v>
      </c>
    </row>
    <row r="416" spans="1:15" x14ac:dyDescent="0.25">
      <c r="A416" s="3">
        <v>44756</v>
      </c>
      <c r="B416" s="4">
        <v>369.85</v>
      </c>
      <c r="C416" s="4">
        <v>365</v>
      </c>
      <c r="D416" s="4">
        <v>380.3</v>
      </c>
      <c r="E416" s="4">
        <v>364.1</v>
      </c>
      <c r="F416" s="4" t="str">
        <v>2.62M</v>
      </c>
      <c r="G416" s="4" t="str">
        <v>0.41%</v>
      </c>
      <c r="H416" s="3">
        <v>44756</v>
      </c>
      <c r="I416" s="4">
        <v>372.20000000000005</v>
      </c>
      <c r="O416" s="4">
        <v>1121</v>
      </c>
    </row>
    <row r="417" spans="1:15" x14ac:dyDescent="0.25">
      <c r="A417" s="3">
        <v>44755</v>
      </c>
      <c r="B417" s="4">
        <v>368.35</v>
      </c>
      <c r="C417" s="4">
        <v>364.2</v>
      </c>
      <c r="D417" s="4">
        <v>369.65</v>
      </c>
      <c r="E417" s="4">
        <v>363.15</v>
      </c>
      <c r="F417" s="4" t="str">
        <v>311.18K</v>
      </c>
      <c r="G417" s="4" t="str">
        <v>1.36%</v>
      </c>
      <c r="H417" s="3">
        <v>44755</v>
      </c>
      <c r="I417" s="4">
        <v>366.4</v>
      </c>
      <c r="O417" s="4">
        <v>1120</v>
      </c>
    </row>
    <row r="418" spans="1:15" x14ac:dyDescent="0.25">
      <c r="A418" s="3">
        <v>44754</v>
      </c>
      <c r="B418" s="4">
        <v>363.4</v>
      </c>
      <c r="C418" s="4">
        <v>370</v>
      </c>
      <c r="D418" s="4">
        <v>372</v>
      </c>
      <c r="E418" s="4">
        <v>362.3</v>
      </c>
      <c r="F418" s="4" t="str">
        <v>356.22K</v>
      </c>
      <c r="G418" s="4" t="str">
        <v>-1.97%</v>
      </c>
      <c r="H418" s="3">
        <v>44754</v>
      </c>
      <c r="I418" s="4">
        <v>367.15</v>
      </c>
      <c r="O418" s="4">
        <v>1119</v>
      </c>
    </row>
    <row r="419" spans="1:15" x14ac:dyDescent="0.25">
      <c r="A419" s="3">
        <v>44753</v>
      </c>
      <c r="B419" s="4">
        <v>370.7</v>
      </c>
      <c r="C419" s="4">
        <v>367.15</v>
      </c>
      <c r="D419" s="4">
        <v>372.75</v>
      </c>
      <c r="E419" s="4">
        <v>364.65</v>
      </c>
      <c r="F419" s="4" t="str">
        <v>667.68K</v>
      </c>
      <c r="G419" s="4" t="str">
        <v>1.30%</v>
      </c>
      <c r="H419" s="3">
        <v>44753</v>
      </c>
      <c r="I419" s="4">
        <v>368.7</v>
      </c>
      <c r="O419" s="4">
        <v>1118</v>
      </c>
    </row>
    <row r="420" spans="1:15" x14ac:dyDescent="0.25">
      <c r="A420" s="3">
        <v>44750</v>
      </c>
      <c r="B420" s="4">
        <v>365.95</v>
      </c>
      <c r="C420" s="4">
        <v>368.45</v>
      </c>
      <c r="D420" s="4">
        <v>369.5</v>
      </c>
      <c r="E420" s="4">
        <v>364.55</v>
      </c>
      <c r="F420" s="4" t="str">
        <v>615.15K</v>
      </c>
      <c r="G420" s="4" t="str">
        <v>-0.42%</v>
      </c>
      <c r="H420" s="3">
        <v>44750</v>
      </c>
      <c r="I420" s="4">
        <v>367.02499999999998</v>
      </c>
      <c r="O420" s="4">
        <v>1117</v>
      </c>
    </row>
    <row r="421" spans="1:15" x14ac:dyDescent="0.25">
      <c r="A421" s="3">
        <v>44749</v>
      </c>
      <c r="B421" s="4">
        <v>367.5</v>
      </c>
      <c r="C421" s="4">
        <v>366.8</v>
      </c>
      <c r="D421" s="4">
        <v>369.9</v>
      </c>
      <c r="E421" s="4">
        <v>366.1</v>
      </c>
      <c r="F421" s="4" t="str">
        <v>267.93K</v>
      </c>
      <c r="G421" s="4" t="str">
        <v>0.46%</v>
      </c>
      <c r="H421" s="3">
        <v>44749</v>
      </c>
      <c r="I421" s="4">
        <v>368</v>
      </c>
      <c r="O421" s="4">
        <v>1116</v>
      </c>
    </row>
    <row r="422" spans="1:15" x14ac:dyDescent="0.25">
      <c r="A422" s="3">
        <v>44748</v>
      </c>
      <c r="B422" s="4">
        <v>365.8</v>
      </c>
      <c r="C422" s="4">
        <v>361.9</v>
      </c>
      <c r="D422" s="4">
        <v>368</v>
      </c>
      <c r="E422" s="4">
        <v>360.8</v>
      </c>
      <c r="F422" s="4" t="str">
        <v>670.77K</v>
      </c>
      <c r="G422" s="4" t="str">
        <v>1.25%</v>
      </c>
      <c r="H422" s="3">
        <v>44748</v>
      </c>
      <c r="I422" s="4">
        <v>364.4</v>
      </c>
      <c r="O422" s="4">
        <v>1115</v>
      </c>
    </row>
    <row r="423" spans="1:15" x14ac:dyDescent="0.25">
      <c r="A423" s="3">
        <v>44747</v>
      </c>
      <c r="B423" s="4">
        <v>361.3</v>
      </c>
      <c r="C423" s="4">
        <v>360.4</v>
      </c>
      <c r="D423" s="4">
        <v>366.9</v>
      </c>
      <c r="E423" s="4">
        <v>359.45</v>
      </c>
      <c r="F423" s="4" t="str">
        <v>511.39K</v>
      </c>
      <c r="G423" s="4" t="str">
        <v>0.15%</v>
      </c>
      <c r="H423" s="3">
        <v>44747</v>
      </c>
      <c r="I423" s="4">
        <v>363.17499999999995</v>
      </c>
      <c r="O423" s="4">
        <v>1114</v>
      </c>
    </row>
    <row r="424" spans="1:15" x14ac:dyDescent="0.25">
      <c r="A424" s="3">
        <v>44746</v>
      </c>
      <c r="B424" s="4">
        <v>360.75</v>
      </c>
      <c r="C424" s="4">
        <v>361.3</v>
      </c>
      <c r="D424" s="4">
        <v>365.05</v>
      </c>
      <c r="E424" s="4">
        <v>358.4</v>
      </c>
      <c r="F424" s="4" t="str">
        <v>687.99K</v>
      </c>
      <c r="G424" s="4" t="str">
        <v>-0.15%</v>
      </c>
      <c r="H424" s="3">
        <v>44746</v>
      </c>
      <c r="I424" s="4">
        <v>361.72500000000002</v>
      </c>
      <c r="O424" s="4">
        <v>1113</v>
      </c>
    </row>
    <row r="425" spans="1:15" x14ac:dyDescent="0.25">
      <c r="A425" s="3">
        <v>44743</v>
      </c>
      <c r="B425" s="4">
        <v>361.3</v>
      </c>
      <c r="C425" s="4">
        <v>356.9</v>
      </c>
      <c r="D425" s="4">
        <v>364.05</v>
      </c>
      <c r="E425" s="4">
        <v>354.3</v>
      </c>
      <c r="F425" s="4" t="str">
        <v>862.37K</v>
      </c>
      <c r="G425" s="4" t="str">
        <v>1.20%</v>
      </c>
      <c r="H425" s="3">
        <v>44743</v>
      </c>
      <c r="I425" s="4">
        <v>359.17500000000001</v>
      </c>
      <c r="O425" s="4">
        <v>1112</v>
      </c>
    </row>
    <row r="426" spans="1:15" x14ac:dyDescent="0.25">
      <c r="A426" s="3">
        <v>44742</v>
      </c>
      <c r="B426" s="4">
        <v>357</v>
      </c>
      <c r="C426" s="4">
        <v>355.75</v>
      </c>
      <c r="D426" s="4">
        <v>359.4</v>
      </c>
      <c r="E426" s="4">
        <v>353.4</v>
      </c>
      <c r="F426" s="4" t="str">
        <v>1.07M</v>
      </c>
      <c r="G426" s="4" t="str">
        <v>0.20%</v>
      </c>
      <c r="H426" s="3">
        <v>44742</v>
      </c>
      <c r="I426" s="4">
        <v>356.4</v>
      </c>
      <c r="O426" s="4">
        <v>1111</v>
      </c>
    </row>
    <row r="427" spans="1:15" x14ac:dyDescent="0.25">
      <c r="A427" s="3">
        <v>44741</v>
      </c>
      <c r="B427" s="4">
        <v>356.3</v>
      </c>
      <c r="C427" s="4">
        <v>354.9</v>
      </c>
      <c r="D427" s="4">
        <v>358.85</v>
      </c>
      <c r="E427" s="4">
        <v>352.45</v>
      </c>
      <c r="F427" s="4" t="str">
        <v>1.04M</v>
      </c>
      <c r="G427" s="4" t="str">
        <v>-0.41%</v>
      </c>
      <c r="H427" s="3">
        <v>44741</v>
      </c>
      <c r="I427" s="4">
        <v>355.65</v>
      </c>
      <c r="O427" s="4">
        <v>1110</v>
      </c>
    </row>
    <row r="428" spans="1:15" x14ac:dyDescent="0.25">
      <c r="A428" s="3">
        <v>44740</v>
      </c>
      <c r="B428" s="4">
        <v>357.75</v>
      </c>
      <c r="C428" s="4">
        <v>353</v>
      </c>
      <c r="D428" s="4">
        <v>358.55</v>
      </c>
      <c r="E428" s="4">
        <v>349.2</v>
      </c>
      <c r="F428" s="4" t="str">
        <v>657.49K</v>
      </c>
      <c r="G428" s="4" t="str">
        <v>1.09%</v>
      </c>
      <c r="H428" s="3">
        <v>44740</v>
      </c>
      <c r="I428" s="4">
        <v>353.875</v>
      </c>
      <c r="O428" s="4">
        <v>1109</v>
      </c>
    </row>
    <row r="429" spans="1:15" x14ac:dyDescent="0.25">
      <c r="A429" s="3">
        <v>44739</v>
      </c>
      <c r="B429" s="4">
        <v>353.9</v>
      </c>
      <c r="C429" s="4">
        <v>355.1</v>
      </c>
      <c r="D429" s="4">
        <v>358.8</v>
      </c>
      <c r="E429" s="4">
        <v>352</v>
      </c>
      <c r="F429" s="4" t="str">
        <v>918.61K</v>
      </c>
      <c r="G429" s="4" t="str">
        <v>0.16%</v>
      </c>
      <c r="H429" s="3">
        <v>44739</v>
      </c>
      <c r="I429" s="4">
        <v>355.4</v>
      </c>
      <c r="O429" s="4">
        <v>1108</v>
      </c>
    </row>
    <row r="430" spans="1:15" x14ac:dyDescent="0.25">
      <c r="A430" s="3">
        <v>44736</v>
      </c>
      <c r="B430" s="4">
        <v>353.35</v>
      </c>
      <c r="C430" s="4">
        <v>347.5</v>
      </c>
      <c r="D430" s="4">
        <v>354.5</v>
      </c>
      <c r="E430" s="4">
        <v>346.35</v>
      </c>
      <c r="F430" s="4" t="str">
        <v>624.49K</v>
      </c>
      <c r="G430" s="4" t="str">
        <v>2.01%</v>
      </c>
      <c r="H430" s="3">
        <v>44736</v>
      </c>
      <c r="I430" s="4">
        <v>350.42500000000001</v>
      </c>
      <c r="O430" s="4">
        <v>1107</v>
      </c>
    </row>
    <row r="431" spans="1:15" x14ac:dyDescent="0.25">
      <c r="A431" s="3">
        <v>44735</v>
      </c>
      <c r="B431" s="4">
        <v>346.4</v>
      </c>
      <c r="C431" s="4">
        <v>346</v>
      </c>
      <c r="D431" s="4">
        <v>347.15</v>
      </c>
      <c r="E431" s="4">
        <v>341.45</v>
      </c>
      <c r="F431" s="4" t="str">
        <v>703.71K</v>
      </c>
      <c r="G431" s="4" t="str">
        <v>1.05%</v>
      </c>
      <c r="H431" s="3">
        <v>44735</v>
      </c>
      <c r="I431" s="4">
        <v>344.29999999999995</v>
      </c>
      <c r="O431" s="4">
        <v>1106</v>
      </c>
    </row>
    <row r="432" spans="1:15" x14ac:dyDescent="0.25">
      <c r="A432" s="3">
        <v>44734</v>
      </c>
      <c r="B432" s="4">
        <v>342.8</v>
      </c>
      <c r="C432" s="4">
        <v>345</v>
      </c>
      <c r="D432" s="4">
        <v>348.45</v>
      </c>
      <c r="E432" s="4">
        <v>340.15</v>
      </c>
      <c r="F432" s="4" t="str">
        <v>578.55K</v>
      </c>
      <c r="G432" s="4" t="str">
        <v>-0.95%</v>
      </c>
      <c r="H432" s="3">
        <v>44734</v>
      </c>
      <c r="I432" s="4">
        <v>344.29999999999995</v>
      </c>
      <c r="O432" s="4">
        <v>1105</v>
      </c>
    </row>
    <row r="433" spans="1:15" x14ac:dyDescent="0.25">
      <c r="A433" s="3">
        <v>44733</v>
      </c>
      <c r="B433" s="4">
        <v>346.1</v>
      </c>
      <c r="C433" s="4">
        <v>334.05</v>
      </c>
      <c r="D433" s="4">
        <v>347</v>
      </c>
      <c r="E433" s="4">
        <v>334.05</v>
      </c>
      <c r="F433" s="4" t="str">
        <v>604.03K</v>
      </c>
      <c r="G433" s="4" t="str">
        <v>3.47%</v>
      </c>
      <c r="H433" s="3">
        <v>44733</v>
      </c>
      <c r="I433" s="4">
        <v>340.52499999999998</v>
      </c>
      <c r="O433" s="4">
        <v>1104</v>
      </c>
    </row>
    <row r="434" spans="1:15" x14ac:dyDescent="0.25">
      <c r="A434" s="3">
        <v>44732</v>
      </c>
      <c r="B434" s="4">
        <v>334.5</v>
      </c>
      <c r="C434" s="4">
        <v>336.5</v>
      </c>
      <c r="D434" s="4">
        <v>336.95</v>
      </c>
      <c r="E434" s="4">
        <v>329.8</v>
      </c>
      <c r="F434" s="4" t="str">
        <v>942.15K</v>
      </c>
      <c r="G434" s="4" t="str">
        <v>-0.36%</v>
      </c>
      <c r="H434" s="3">
        <v>44732</v>
      </c>
      <c r="I434" s="4">
        <v>333.375</v>
      </c>
      <c r="O434" s="4">
        <v>1103</v>
      </c>
    </row>
    <row r="435" spans="1:15" x14ac:dyDescent="0.25">
      <c r="A435" s="3">
        <v>44729</v>
      </c>
      <c r="B435" s="4">
        <v>335.7</v>
      </c>
      <c r="C435" s="4">
        <v>342.5</v>
      </c>
      <c r="D435" s="4">
        <v>342.5</v>
      </c>
      <c r="E435" s="4">
        <v>332.75</v>
      </c>
      <c r="F435" s="4" t="str">
        <v>1.00M</v>
      </c>
      <c r="G435" s="4" t="str">
        <v>-2.19%</v>
      </c>
      <c r="H435" s="3">
        <v>44729</v>
      </c>
      <c r="I435" s="4">
        <v>337.625</v>
      </c>
      <c r="O435" s="4">
        <v>1102</v>
      </c>
    </row>
    <row r="436" spans="1:15" x14ac:dyDescent="0.25">
      <c r="A436" s="3">
        <v>44728</v>
      </c>
      <c r="B436" s="4">
        <v>343.2</v>
      </c>
      <c r="C436" s="4">
        <v>354.1</v>
      </c>
      <c r="D436" s="4">
        <v>355.3</v>
      </c>
      <c r="E436" s="4">
        <v>341</v>
      </c>
      <c r="F436" s="4" t="str">
        <v>616.50K</v>
      </c>
      <c r="G436" s="4" t="str">
        <v>-2.68%</v>
      </c>
      <c r="H436" s="3">
        <v>44728</v>
      </c>
      <c r="I436" s="4">
        <v>348.15</v>
      </c>
      <c r="O436" s="4">
        <v>1101</v>
      </c>
    </row>
    <row r="437" spans="1:15" x14ac:dyDescent="0.25">
      <c r="A437" s="3">
        <v>44727</v>
      </c>
      <c r="B437" s="4">
        <v>352.65</v>
      </c>
      <c r="C437" s="4">
        <v>355</v>
      </c>
      <c r="D437" s="4">
        <v>355</v>
      </c>
      <c r="E437" s="4">
        <v>349.85</v>
      </c>
      <c r="F437" s="4" t="str">
        <v>378.98K</v>
      </c>
      <c r="G437" s="4" t="str">
        <v>0.24%</v>
      </c>
      <c r="H437" s="3">
        <v>44727</v>
      </c>
      <c r="I437" s="4">
        <v>352.42500000000001</v>
      </c>
      <c r="O437" s="4">
        <v>1100</v>
      </c>
    </row>
    <row r="438" spans="1:15" x14ac:dyDescent="0.25">
      <c r="A438" s="3">
        <v>44726</v>
      </c>
      <c r="B438" s="4">
        <v>351.8</v>
      </c>
      <c r="C438" s="4">
        <v>350.5</v>
      </c>
      <c r="D438" s="4">
        <v>356.4</v>
      </c>
      <c r="E438" s="4">
        <v>349.8</v>
      </c>
      <c r="F438" s="4" t="str">
        <v>696.17K</v>
      </c>
      <c r="G438" s="4" t="str">
        <v>0.01%</v>
      </c>
      <c r="H438" s="3">
        <v>44726</v>
      </c>
      <c r="I438" s="4">
        <v>353.1</v>
      </c>
      <c r="O438" s="4">
        <v>1099</v>
      </c>
    </row>
    <row r="439" spans="1:15" x14ac:dyDescent="0.25">
      <c r="A439" s="3">
        <v>44725</v>
      </c>
      <c r="B439" s="4">
        <v>351.75</v>
      </c>
      <c r="C439" s="4">
        <v>353.6</v>
      </c>
      <c r="D439" s="4">
        <v>357.4</v>
      </c>
      <c r="E439" s="4">
        <v>349.05</v>
      </c>
      <c r="F439" s="4" t="str">
        <v>567.39K</v>
      </c>
      <c r="G439" s="4" t="str">
        <v>-1.99%</v>
      </c>
      <c r="H439" s="3">
        <v>44725</v>
      </c>
      <c r="I439" s="4">
        <v>353.22500000000002</v>
      </c>
      <c r="O439" s="4">
        <v>1098</v>
      </c>
    </row>
    <row r="440" spans="1:15" x14ac:dyDescent="0.25">
      <c r="A440" s="3">
        <v>44722</v>
      </c>
      <c r="B440" s="4">
        <v>358.9</v>
      </c>
      <c r="C440" s="4">
        <v>359.5</v>
      </c>
      <c r="D440" s="4">
        <v>361.35</v>
      </c>
      <c r="E440" s="4">
        <v>357</v>
      </c>
      <c r="F440" s="4" t="str">
        <v>306.78K</v>
      </c>
      <c r="G440" s="4" t="str">
        <v>-0.68%</v>
      </c>
      <c r="H440" s="3">
        <v>44722</v>
      </c>
      <c r="I440" s="4">
        <v>359.17500000000001</v>
      </c>
      <c r="O440" s="4">
        <v>1097</v>
      </c>
    </row>
    <row r="441" spans="1:15" x14ac:dyDescent="0.25">
      <c r="A441" s="3">
        <v>44721</v>
      </c>
      <c r="B441" s="4">
        <v>361.35</v>
      </c>
      <c r="C441" s="4">
        <v>357</v>
      </c>
      <c r="D441" s="4">
        <v>363.45</v>
      </c>
      <c r="E441" s="4">
        <v>356</v>
      </c>
      <c r="F441" s="4" t="str">
        <v>537.49K</v>
      </c>
      <c r="G441" s="4" t="str">
        <v>0.61%</v>
      </c>
      <c r="H441" s="3">
        <v>44721</v>
      </c>
      <c r="I441" s="4">
        <v>359.72500000000002</v>
      </c>
      <c r="O441" s="4">
        <v>1096</v>
      </c>
    </row>
    <row r="442" spans="1:15" x14ac:dyDescent="0.25">
      <c r="A442" s="3">
        <v>44720</v>
      </c>
      <c r="B442" s="4">
        <v>359.15</v>
      </c>
      <c r="C442" s="4">
        <v>357.1</v>
      </c>
      <c r="D442" s="4">
        <v>359.7</v>
      </c>
      <c r="E442" s="4">
        <v>353.5</v>
      </c>
      <c r="F442" s="4" t="str">
        <v>493.27K</v>
      </c>
      <c r="G442" s="4" t="str">
        <v>0.56%</v>
      </c>
      <c r="H442" s="3">
        <v>44720</v>
      </c>
      <c r="I442" s="4">
        <v>356.6</v>
      </c>
      <c r="O442" s="4">
        <v>1095</v>
      </c>
    </row>
    <row r="443" spans="1:15" x14ac:dyDescent="0.25">
      <c r="A443" s="3">
        <v>44719</v>
      </c>
      <c r="B443" s="4">
        <v>357.15</v>
      </c>
      <c r="C443" s="4">
        <v>364</v>
      </c>
      <c r="D443" s="4">
        <v>365</v>
      </c>
      <c r="E443" s="4">
        <v>355.2</v>
      </c>
      <c r="F443" s="4" t="str">
        <v>808.26K</v>
      </c>
      <c r="G443" s="4" t="str">
        <v>-2.07%</v>
      </c>
      <c r="H443" s="3">
        <v>44719</v>
      </c>
      <c r="I443" s="4">
        <v>360.1</v>
      </c>
      <c r="O443" s="4">
        <v>1094</v>
      </c>
    </row>
    <row r="444" spans="1:15" x14ac:dyDescent="0.25">
      <c r="A444" s="3">
        <v>44718</v>
      </c>
      <c r="B444" s="4">
        <v>364.7</v>
      </c>
      <c r="C444" s="4">
        <v>361.5</v>
      </c>
      <c r="D444" s="4">
        <v>366</v>
      </c>
      <c r="E444" s="4">
        <v>360.2</v>
      </c>
      <c r="F444" s="4" t="str">
        <v>809.19K</v>
      </c>
      <c r="G444" s="4" t="str">
        <v>0.41%</v>
      </c>
      <c r="H444" s="3">
        <v>44718</v>
      </c>
      <c r="I444" s="4">
        <v>363.1</v>
      </c>
      <c r="O444" s="4">
        <v>1093</v>
      </c>
    </row>
    <row r="445" spans="1:15" x14ac:dyDescent="0.25">
      <c r="A445" s="3">
        <v>44715</v>
      </c>
      <c r="B445" s="4">
        <v>363.2</v>
      </c>
      <c r="C445" s="4">
        <v>365.6</v>
      </c>
      <c r="D445" s="4">
        <v>368.45</v>
      </c>
      <c r="E445" s="4">
        <v>362.05</v>
      </c>
      <c r="F445" s="4" t="str">
        <v>1.66M</v>
      </c>
      <c r="G445" s="4" t="str">
        <v>-0.59%</v>
      </c>
      <c r="H445" s="3">
        <v>44715</v>
      </c>
      <c r="I445" s="4">
        <v>365.25</v>
      </c>
      <c r="O445" s="4">
        <v>1092</v>
      </c>
    </row>
    <row r="446" spans="1:15" x14ac:dyDescent="0.25">
      <c r="A446" s="3">
        <v>44714</v>
      </c>
      <c r="B446" s="4">
        <v>365.35</v>
      </c>
      <c r="C446" s="4">
        <v>371.05</v>
      </c>
      <c r="D446" s="4">
        <v>373.6</v>
      </c>
      <c r="E446" s="4">
        <v>363.65</v>
      </c>
      <c r="F446" s="4" t="str">
        <v>1.62M</v>
      </c>
      <c r="G446" s="4" t="str">
        <v>-1.96%</v>
      </c>
      <c r="H446" s="3">
        <v>44714</v>
      </c>
      <c r="I446" s="4">
        <v>368.625</v>
      </c>
      <c r="O446" s="4">
        <v>1091</v>
      </c>
    </row>
    <row r="447" spans="1:15" x14ac:dyDescent="0.25">
      <c r="A447" s="3">
        <v>44713</v>
      </c>
      <c r="B447" s="4">
        <v>372.65</v>
      </c>
      <c r="C447" s="4">
        <v>371</v>
      </c>
      <c r="D447" s="4">
        <v>378.95</v>
      </c>
      <c r="E447" s="4">
        <v>370.5</v>
      </c>
      <c r="F447" s="4" t="str">
        <v>1.60M</v>
      </c>
      <c r="G447" s="4" t="str">
        <v>-1.51%</v>
      </c>
      <c r="H447" s="3">
        <v>44713</v>
      </c>
      <c r="I447" s="4">
        <v>374.72500000000002</v>
      </c>
      <c r="O447" s="4">
        <v>1090</v>
      </c>
    </row>
    <row r="448" spans="1:15" x14ac:dyDescent="0.25">
      <c r="A448" s="3">
        <v>44712</v>
      </c>
      <c r="B448" s="4">
        <v>378.35</v>
      </c>
      <c r="C448" s="4">
        <v>379.45</v>
      </c>
      <c r="D448" s="4">
        <v>381.8</v>
      </c>
      <c r="E448" s="4">
        <v>376.2</v>
      </c>
      <c r="F448" s="4" t="str">
        <v>3.04M</v>
      </c>
      <c r="G448" s="4" t="str">
        <v>0.20%</v>
      </c>
      <c r="H448" s="3">
        <v>44712</v>
      </c>
      <c r="I448" s="4">
        <v>379</v>
      </c>
      <c r="O448" s="4">
        <v>1089</v>
      </c>
    </row>
    <row r="449" spans="1:15" x14ac:dyDescent="0.25">
      <c r="A449" s="3">
        <v>44711</v>
      </c>
      <c r="B449" s="4">
        <v>377.6</v>
      </c>
      <c r="C449" s="4">
        <v>376</v>
      </c>
      <c r="D449" s="4">
        <v>378.5</v>
      </c>
      <c r="E449" s="4">
        <v>373.6</v>
      </c>
      <c r="F449" s="4" t="str">
        <v>2.70M</v>
      </c>
      <c r="G449" s="4" t="str">
        <v>0.99%</v>
      </c>
      <c r="H449" s="3">
        <v>44711</v>
      </c>
      <c r="I449" s="4">
        <v>376.05</v>
      </c>
      <c r="O449" s="4">
        <v>1088</v>
      </c>
    </row>
    <row r="450" spans="1:15" x14ac:dyDescent="0.25">
      <c r="A450" s="3">
        <v>44708</v>
      </c>
      <c r="B450" s="4">
        <v>373.9</v>
      </c>
      <c r="C450" s="4">
        <v>375</v>
      </c>
      <c r="D450" s="4">
        <v>376.55</v>
      </c>
      <c r="E450" s="4">
        <v>371.3</v>
      </c>
      <c r="F450" s="4" t="str">
        <v>2.25M</v>
      </c>
      <c r="G450" s="4" t="str">
        <v>0.13%</v>
      </c>
      <c r="H450" s="3">
        <v>44708</v>
      </c>
      <c r="I450" s="4">
        <v>373.92500000000001</v>
      </c>
      <c r="O450" s="4">
        <v>1087</v>
      </c>
    </row>
    <row r="451" spans="1:15" x14ac:dyDescent="0.25">
      <c r="A451" s="3">
        <v>44707</v>
      </c>
      <c r="B451" s="4">
        <v>373.4</v>
      </c>
      <c r="C451" s="4">
        <v>368</v>
      </c>
      <c r="D451" s="4">
        <v>374.05</v>
      </c>
      <c r="E451" s="4">
        <v>363.55</v>
      </c>
      <c r="F451" s="4" t="str">
        <v>2.83M</v>
      </c>
      <c r="G451" s="4" t="str">
        <v>1.92%</v>
      </c>
      <c r="H451" s="3">
        <v>44707</v>
      </c>
      <c r="I451" s="4">
        <v>368.8</v>
      </c>
      <c r="O451" s="4">
        <v>1086</v>
      </c>
    </row>
    <row r="452" spans="1:15" x14ac:dyDescent="0.25">
      <c r="A452" s="3">
        <v>44706</v>
      </c>
      <c r="B452" s="4">
        <v>366.35</v>
      </c>
      <c r="C452" s="4">
        <v>370.95</v>
      </c>
      <c r="D452" s="4">
        <v>370.95</v>
      </c>
      <c r="E452" s="4">
        <v>363.75</v>
      </c>
      <c r="F452" s="4" t="str">
        <v>1.54M</v>
      </c>
      <c r="G452" s="4" t="str">
        <v>-0.48%</v>
      </c>
      <c r="H452" s="3">
        <v>44706</v>
      </c>
      <c r="I452" s="4">
        <v>367.35</v>
      </c>
      <c r="O452" s="4">
        <v>1085</v>
      </c>
    </row>
    <row r="453" spans="1:15" x14ac:dyDescent="0.25">
      <c r="A453" s="3">
        <v>44705</v>
      </c>
      <c r="B453" s="4">
        <v>368.1</v>
      </c>
      <c r="C453" s="4">
        <v>364.5</v>
      </c>
      <c r="D453" s="4">
        <v>373.65</v>
      </c>
      <c r="E453" s="4">
        <v>360.25</v>
      </c>
      <c r="F453" s="4" t="str">
        <v>3.22M</v>
      </c>
      <c r="G453" s="4" t="str">
        <v>1.54%</v>
      </c>
      <c r="H453" s="3">
        <v>44705</v>
      </c>
      <c r="I453" s="4">
        <v>366.95</v>
      </c>
      <c r="O453" s="4">
        <v>1084</v>
      </c>
    </row>
    <row r="454" spans="1:15" x14ac:dyDescent="0.25">
      <c r="A454" s="3">
        <v>44704</v>
      </c>
      <c r="B454" s="4">
        <v>362.5</v>
      </c>
      <c r="C454" s="4">
        <v>370.8</v>
      </c>
      <c r="D454" s="4">
        <v>370.8</v>
      </c>
      <c r="E454" s="4">
        <v>357.5</v>
      </c>
      <c r="F454" s="4" t="str">
        <v>3.84M</v>
      </c>
      <c r="G454" s="4" t="str">
        <v>1.58%</v>
      </c>
      <c r="H454" s="3">
        <v>44704</v>
      </c>
      <c r="I454" s="4">
        <v>364.15</v>
      </c>
      <c r="O454" s="4">
        <v>1083</v>
      </c>
    </row>
    <row r="455" spans="1:15" x14ac:dyDescent="0.25">
      <c r="A455" s="3">
        <v>44701</v>
      </c>
      <c r="B455" s="4">
        <v>356.85</v>
      </c>
      <c r="C455" s="4">
        <v>345.3</v>
      </c>
      <c r="D455" s="4">
        <v>358.8</v>
      </c>
      <c r="E455" s="4">
        <v>339</v>
      </c>
      <c r="F455" s="4" t="str">
        <v>7.35M</v>
      </c>
      <c r="G455" s="4" t="str">
        <v>5.34%</v>
      </c>
      <c r="H455" s="3">
        <v>44701</v>
      </c>
      <c r="I455" s="4">
        <v>348.9</v>
      </c>
      <c r="O455" s="4">
        <v>1082</v>
      </c>
    </row>
    <row r="456" spans="1:15" x14ac:dyDescent="0.25">
      <c r="A456" s="3">
        <v>44700</v>
      </c>
      <c r="B456" s="4">
        <v>338.75</v>
      </c>
      <c r="C456" s="4">
        <v>341.05</v>
      </c>
      <c r="D456" s="4">
        <v>343.55</v>
      </c>
      <c r="E456" s="4">
        <v>334.45</v>
      </c>
      <c r="F456" s="4" t="str">
        <v>1.08M</v>
      </c>
      <c r="G456" s="4" t="str">
        <v>-2.49%</v>
      </c>
      <c r="H456" s="3">
        <v>44700</v>
      </c>
      <c r="I456" s="4">
        <v>339</v>
      </c>
      <c r="O456" s="4">
        <v>1081</v>
      </c>
    </row>
    <row r="457" spans="1:15" x14ac:dyDescent="0.25">
      <c r="A457" s="3">
        <v>44699</v>
      </c>
      <c r="B457" s="4">
        <v>347.4</v>
      </c>
      <c r="C457" s="4">
        <v>358</v>
      </c>
      <c r="D457" s="4">
        <v>359.35</v>
      </c>
      <c r="E457" s="4">
        <v>345.15</v>
      </c>
      <c r="F457" s="4" t="str">
        <v>3.54M</v>
      </c>
      <c r="G457" s="4" t="str">
        <v>-0.47%</v>
      </c>
      <c r="H457" s="3">
        <v>44699</v>
      </c>
      <c r="I457" s="4">
        <v>352.25</v>
      </c>
      <c r="O457" s="4">
        <v>1080</v>
      </c>
    </row>
    <row r="458" spans="1:15" x14ac:dyDescent="0.25">
      <c r="A458" s="3">
        <v>44698</v>
      </c>
      <c r="B458" s="4">
        <v>349.05</v>
      </c>
      <c r="C458" s="4">
        <v>345.15</v>
      </c>
      <c r="D458" s="4">
        <v>350.45</v>
      </c>
      <c r="E458" s="4">
        <v>343.55</v>
      </c>
      <c r="F458" s="4" t="str">
        <v>1.12M</v>
      </c>
      <c r="G458" s="4" t="str">
        <v>1.14%</v>
      </c>
      <c r="H458" s="3">
        <v>44698</v>
      </c>
      <c r="I458" s="4">
        <v>347</v>
      </c>
      <c r="O458" s="4">
        <v>1079</v>
      </c>
    </row>
    <row r="459" spans="1:15" x14ac:dyDescent="0.25">
      <c r="A459" s="3">
        <v>44697</v>
      </c>
      <c r="B459" s="4">
        <v>345.1</v>
      </c>
      <c r="C459" s="4">
        <v>339.55</v>
      </c>
      <c r="D459" s="4">
        <v>347</v>
      </c>
      <c r="E459" s="4">
        <v>337.1</v>
      </c>
      <c r="F459" s="4" t="str">
        <v>961.96K</v>
      </c>
      <c r="G459" s="4" t="str">
        <v>1.25%</v>
      </c>
      <c r="H459" s="3">
        <v>44697</v>
      </c>
      <c r="I459" s="4">
        <v>342.05</v>
      </c>
      <c r="O459" s="4">
        <v>1078</v>
      </c>
    </row>
    <row r="460" spans="1:15" x14ac:dyDescent="0.25">
      <c r="A460" s="3">
        <v>44694</v>
      </c>
      <c r="B460" s="4">
        <v>340.85</v>
      </c>
      <c r="C460" s="4">
        <v>336.7</v>
      </c>
      <c r="D460" s="4">
        <v>344.6</v>
      </c>
      <c r="E460" s="4">
        <v>336</v>
      </c>
      <c r="F460" s="4" t="str">
        <v>1.29M</v>
      </c>
      <c r="G460" s="4" t="str">
        <v>2.23%</v>
      </c>
      <c r="H460" s="3">
        <v>44694</v>
      </c>
      <c r="I460" s="4">
        <v>340.3</v>
      </c>
      <c r="O460" s="4">
        <v>1077</v>
      </c>
    </row>
    <row r="461" spans="1:15" x14ac:dyDescent="0.25">
      <c r="A461" s="3">
        <v>44693</v>
      </c>
      <c r="B461" s="4">
        <v>333.4</v>
      </c>
      <c r="C461" s="4">
        <v>331.85</v>
      </c>
      <c r="D461" s="4">
        <v>335</v>
      </c>
      <c r="E461" s="4">
        <v>324.10000000000002</v>
      </c>
      <c r="F461" s="4" t="str">
        <v>1.26M</v>
      </c>
      <c r="G461" s="4" t="str">
        <v>0.51%</v>
      </c>
      <c r="H461" s="3">
        <v>44693</v>
      </c>
      <c r="I461" s="4">
        <v>329.55</v>
      </c>
      <c r="O461" s="4">
        <v>1076</v>
      </c>
    </row>
    <row r="462" spans="1:15" x14ac:dyDescent="0.25">
      <c r="A462" s="3">
        <v>44692</v>
      </c>
      <c r="B462" s="4">
        <v>331.7</v>
      </c>
      <c r="C462" s="4">
        <v>330.1</v>
      </c>
      <c r="D462" s="4">
        <v>333.25</v>
      </c>
      <c r="E462" s="4">
        <v>319</v>
      </c>
      <c r="F462" s="4" t="str">
        <v>1.12M</v>
      </c>
      <c r="G462" s="4" t="str">
        <v>0.48%</v>
      </c>
      <c r="H462" s="3">
        <v>44692</v>
      </c>
      <c r="I462" s="4">
        <v>326.125</v>
      </c>
      <c r="O462" s="4">
        <v>1075</v>
      </c>
    </row>
    <row r="463" spans="1:15" x14ac:dyDescent="0.25">
      <c r="A463" s="3">
        <v>44691</v>
      </c>
      <c r="B463" s="4">
        <v>330.1</v>
      </c>
      <c r="C463" s="4">
        <v>335.8</v>
      </c>
      <c r="D463" s="4">
        <v>338.75</v>
      </c>
      <c r="E463" s="4">
        <v>329</v>
      </c>
      <c r="F463" s="4" t="str">
        <v>783.58K</v>
      </c>
      <c r="G463" s="4" t="str">
        <v>-1.71%</v>
      </c>
      <c r="H463" s="3">
        <v>44691</v>
      </c>
      <c r="I463" s="4">
        <v>333.875</v>
      </c>
      <c r="O463" s="4">
        <v>1074</v>
      </c>
    </row>
    <row r="464" spans="1:15" x14ac:dyDescent="0.25">
      <c r="A464" s="3">
        <v>44690</v>
      </c>
      <c r="B464" s="4">
        <v>335.85</v>
      </c>
      <c r="C464" s="4">
        <v>336</v>
      </c>
      <c r="D464" s="4">
        <v>338.75</v>
      </c>
      <c r="E464" s="4">
        <v>330.05</v>
      </c>
      <c r="F464" s="4" t="str">
        <v>916.22K</v>
      </c>
      <c r="G464" s="4" t="str">
        <v>-0.69%</v>
      </c>
      <c r="H464" s="3">
        <v>44690</v>
      </c>
      <c r="I464" s="4">
        <v>334.4</v>
      </c>
      <c r="O464" s="4">
        <v>1073</v>
      </c>
    </row>
    <row r="465" spans="1:15" x14ac:dyDescent="0.25">
      <c r="A465" s="3">
        <v>44687</v>
      </c>
      <c r="B465" s="4">
        <v>338.2</v>
      </c>
      <c r="C465" s="4">
        <v>337</v>
      </c>
      <c r="D465" s="4">
        <v>340.35</v>
      </c>
      <c r="E465" s="4">
        <v>332.1</v>
      </c>
      <c r="F465" s="4" t="str">
        <v>1.01M</v>
      </c>
      <c r="G465" s="4" t="str">
        <v>-0.72%</v>
      </c>
      <c r="H465" s="3">
        <v>44687</v>
      </c>
      <c r="I465" s="4">
        <v>336.22500000000002</v>
      </c>
      <c r="O465" s="4">
        <v>1072</v>
      </c>
    </row>
    <row r="466" spans="1:15" x14ac:dyDescent="0.25">
      <c r="A466" s="3">
        <v>44686</v>
      </c>
      <c r="B466" s="4">
        <v>340.65</v>
      </c>
      <c r="C466" s="4">
        <v>342.2</v>
      </c>
      <c r="D466" s="4">
        <v>347</v>
      </c>
      <c r="E466" s="4">
        <v>338.05</v>
      </c>
      <c r="F466" s="4" t="str">
        <v>976.43K</v>
      </c>
      <c r="G466" s="4" t="str">
        <v>0.44%</v>
      </c>
      <c r="H466" s="3">
        <v>44686</v>
      </c>
      <c r="I466" s="4">
        <v>342.52499999999998</v>
      </c>
      <c r="O466" s="4">
        <v>1071</v>
      </c>
    </row>
    <row r="467" spans="1:15" x14ac:dyDescent="0.25">
      <c r="A467" s="3">
        <v>44685</v>
      </c>
      <c r="B467" s="4">
        <v>339.15</v>
      </c>
      <c r="C467" s="4">
        <v>352.5</v>
      </c>
      <c r="D467" s="4">
        <v>352.65</v>
      </c>
      <c r="E467" s="4">
        <v>338.1</v>
      </c>
      <c r="F467" s="4" t="str">
        <v>1.00M</v>
      </c>
      <c r="G467" s="4" t="str">
        <v>-3.14%</v>
      </c>
      <c r="H467" s="3">
        <v>44685</v>
      </c>
      <c r="I467" s="4">
        <v>345.375</v>
      </c>
      <c r="O467" s="4">
        <v>1070</v>
      </c>
    </row>
    <row r="468" spans="1:15" x14ac:dyDescent="0.25">
      <c r="A468" s="3">
        <v>44683</v>
      </c>
      <c r="B468" s="4">
        <v>350.15</v>
      </c>
      <c r="C468" s="4">
        <v>349</v>
      </c>
      <c r="D468" s="4">
        <v>351.5</v>
      </c>
      <c r="E468" s="4">
        <v>345.4</v>
      </c>
      <c r="F468" s="4" t="str">
        <v>711.23K</v>
      </c>
      <c r="G468" s="4" t="str">
        <v>-0.55%</v>
      </c>
      <c r="H468" s="3">
        <v>44683</v>
      </c>
      <c r="I468" s="4">
        <v>348.45</v>
      </c>
      <c r="O468" s="4">
        <v>1069</v>
      </c>
    </row>
    <row r="469" spans="1:15" x14ac:dyDescent="0.25">
      <c r="A469" s="3">
        <v>44680</v>
      </c>
      <c r="B469" s="4">
        <v>352.1</v>
      </c>
      <c r="C469" s="4">
        <v>354.4</v>
      </c>
      <c r="D469" s="4">
        <v>361.5</v>
      </c>
      <c r="E469" s="4">
        <v>350.05</v>
      </c>
      <c r="F469" s="4" t="str">
        <v>997.73K</v>
      </c>
      <c r="G469" s="4" t="str">
        <v>-0.51%</v>
      </c>
      <c r="H469" s="3">
        <v>44680</v>
      </c>
      <c r="I469" s="4">
        <v>355.77499999999998</v>
      </c>
      <c r="O469" s="4">
        <v>1068</v>
      </c>
    </row>
    <row r="470" spans="1:15" x14ac:dyDescent="0.25">
      <c r="A470" s="3">
        <v>44679</v>
      </c>
      <c r="B470" s="4">
        <v>353.9</v>
      </c>
      <c r="C470" s="4">
        <v>347.4</v>
      </c>
      <c r="D470" s="4">
        <v>357</v>
      </c>
      <c r="E470" s="4">
        <v>346.15</v>
      </c>
      <c r="F470" s="4" t="str">
        <v>1.60M</v>
      </c>
      <c r="G470" s="4" t="str">
        <v>2.52%</v>
      </c>
      <c r="H470" s="3">
        <v>44679</v>
      </c>
      <c r="I470" s="4">
        <v>351.57499999999999</v>
      </c>
      <c r="O470" s="4">
        <v>1067</v>
      </c>
    </row>
    <row r="471" spans="1:15" x14ac:dyDescent="0.25">
      <c r="A471" s="3">
        <v>44678</v>
      </c>
      <c r="B471" s="4">
        <v>345.2</v>
      </c>
      <c r="C471" s="4">
        <v>349</v>
      </c>
      <c r="D471" s="4">
        <v>350</v>
      </c>
      <c r="E471" s="4">
        <v>343.25</v>
      </c>
      <c r="F471" s="4" t="str">
        <v>749.64K</v>
      </c>
      <c r="G471" s="4" t="str">
        <v>-1.22%</v>
      </c>
      <c r="H471" s="3">
        <v>44678</v>
      </c>
      <c r="I471" s="4">
        <v>346.625</v>
      </c>
      <c r="O471" s="4">
        <v>1066</v>
      </c>
    </row>
    <row r="472" spans="1:15" x14ac:dyDescent="0.25">
      <c r="A472" s="3">
        <v>44677</v>
      </c>
      <c r="B472" s="4">
        <v>349.45</v>
      </c>
      <c r="C472" s="4">
        <v>343.1</v>
      </c>
      <c r="D472" s="4">
        <v>350.4</v>
      </c>
      <c r="E472" s="4">
        <v>342.25</v>
      </c>
      <c r="F472" s="4" t="str">
        <v>901.60K</v>
      </c>
      <c r="G472" s="4" t="str">
        <v>2.43%</v>
      </c>
      <c r="H472" s="3">
        <v>44677</v>
      </c>
      <c r="I472" s="4">
        <v>346.32499999999999</v>
      </c>
      <c r="O472" s="4">
        <v>1065</v>
      </c>
    </row>
    <row r="473" spans="1:15" x14ac:dyDescent="0.25">
      <c r="A473" s="3">
        <v>44676</v>
      </c>
      <c r="B473" s="4">
        <v>341.15</v>
      </c>
      <c r="C473" s="4">
        <v>350</v>
      </c>
      <c r="D473" s="4">
        <v>350.9</v>
      </c>
      <c r="E473" s="4">
        <v>337.55</v>
      </c>
      <c r="F473" s="4" t="str">
        <v>1.78M</v>
      </c>
      <c r="G473" s="4" t="str">
        <v>-3.16%</v>
      </c>
      <c r="H473" s="3">
        <v>44676</v>
      </c>
      <c r="I473" s="4">
        <v>344.22500000000002</v>
      </c>
      <c r="O473" s="4">
        <v>1064</v>
      </c>
    </row>
    <row r="474" spans="1:15" x14ac:dyDescent="0.25">
      <c r="A474" s="3">
        <v>44673</v>
      </c>
      <c r="B474" s="4">
        <v>352.3</v>
      </c>
      <c r="C474" s="4">
        <v>360</v>
      </c>
      <c r="D474" s="4">
        <v>360.35</v>
      </c>
      <c r="E474" s="4">
        <v>351.2</v>
      </c>
      <c r="F474" s="4" t="str">
        <v>974.09K</v>
      </c>
      <c r="G474" s="4" t="str">
        <v>-2.56%</v>
      </c>
      <c r="H474" s="3">
        <v>44673</v>
      </c>
      <c r="I474" s="4">
        <v>355.77499999999998</v>
      </c>
      <c r="O474" s="4">
        <v>1063</v>
      </c>
    </row>
    <row r="475" spans="1:15" x14ac:dyDescent="0.25">
      <c r="A475" s="3">
        <v>44672</v>
      </c>
      <c r="B475" s="4">
        <v>361.55</v>
      </c>
      <c r="C475" s="4">
        <v>361.1</v>
      </c>
      <c r="D475" s="4">
        <v>364.1</v>
      </c>
      <c r="E475" s="4">
        <v>359.05</v>
      </c>
      <c r="F475" s="4" t="str">
        <v>501.95K</v>
      </c>
      <c r="G475" s="4" t="str">
        <v>0.17%</v>
      </c>
      <c r="H475" s="3">
        <v>44672</v>
      </c>
      <c r="I475" s="4">
        <v>361.57500000000005</v>
      </c>
      <c r="O475" s="4">
        <v>1062</v>
      </c>
    </row>
    <row r="476" spans="1:15" x14ac:dyDescent="0.25">
      <c r="A476" s="3">
        <v>44671</v>
      </c>
      <c r="B476" s="4">
        <v>360.95</v>
      </c>
      <c r="C476" s="4">
        <v>358</v>
      </c>
      <c r="D476" s="4">
        <v>362.95</v>
      </c>
      <c r="E476" s="4">
        <v>354.05</v>
      </c>
      <c r="F476" s="4" t="str">
        <v>667.42K</v>
      </c>
      <c r="G476" s="4" t="str">
        <v>1.29%</v>
      </c>
      <c r="H476" s="3">
        <v>44671</v>
      </c>
      <c r="I476" s="4">
        <v>358.5</v>
      </c>
      <c r="O476" s="4">
        <v>1061</v>
      </c>
    </row>
    <row r="477" spans="1:15" x14ac:dyDescent="0.25">
      <c r="A477" s="3">
        <v>44670</v>
      </c>
      <c r="B477" s="4">
        <v>356.35</v>
      </c>
      <c r="C477" s="4">
        <v>366</v>
      </c>
      <c r="D477" s="4">
        <v>369.3</v>
      </c>
      <c r="E477" s="4">
        <v>352.05</v>
      </c>
      <c r="F477" s="4" t="str">
        <v>919.27K</v>
      </c>
      <c r="G477" s="4" t="str">
        <v>-2.34%</v>
      </c>
      <c r="H477" s="3">
        <v>44670</v>
      </c>
      <c r="I477" s="4">
        <v>360.67500000000001</v>
      </c>
      <c r="O477" s="4">
        <v>1060</v>
      </c>
    </row>
    <row r="478" spans="1:15" x14ac:dyDescent="0.25">
      <c r="A478" s="3">
        <v>44669</v>
      </c>
      <c r="B478" s="4">
        <v>364.9</v>
      </c>
      <c r="C478" s="4">
        <v>364.8</v>
      </c>
      <c r="D478" s="4">
        <v>367</v>
      </c>
      <c r="E478" s="4">
        <v>358.7</v>
      </c>
      <c r="F478" s="4" t="str">
        <v>720.89K</v>
      </c>
      <c r="G478" s="4" t="str">
        <v>0.03%</v>
      </c>
      <c r="H478" s="3">
        <v>44669</v>
      </c>
      <c r="I478" s="4">
        <v>362.85</v>
      </c>
      <c r="O478" s="4">
        <v>1059</v>
      </c>
    </row>
    <row r="479" spans="1:15" x14ac:dyDescent="0.25">
      <c r="A479" s="3">
        <v>44664</v>
      </c>
      <c r="B479" s="4">
        <v>364.8</v>
      </c>
      <c r="C479" s="4">
        <v>365</v>
      </c>
      <c r="D479" s="4">
        <v>369.35</v>
      </c>
      <c r="E479" s="4">
        <v>361.1</v>
      </c>
      <c r="F479" s="4" t="str">
        <v>711.28K</v>
      </c>
      <c r="G479" s="4" t="str">
        <v>0.40%</v>
      </c>
      <c r="H479" s="3">
        <v>44664</v>
      </c>
      <c r="I479" s="4">
        <v>365.22500000000002</v>
      </c>
      <c r="O479" s="4">
        <v>1058</v>
      </c>
    </row>
    <row r="480" spans="1:15" x14ac:dyDescent="0.25">
      <c r="A480" s="3">
        <v>44663</v>
      </c>
      <c r="B480" s="4">
        <v>363.35</v>
      </c>
      <c r="C480" s="4">
        <v>371.95</v>
      </c>
      <c r="D480" s="4">
        <v>372</v>
      </c>
      <c r="E480" s="4">
        <v>361.9</v>
      </c>
      <c r="F480" s="4" t="str">
        <v>689.30K</v>
      </c>
      <c r="G480" s="4" t="str">
        <v>-2.31%</v>
      </c>
      <c r="H480" s="3">
        <v>44663</v>
      </c>
      <c r="I480" s="4">
        <v>366.95</v>
      </c>
      <c r="O480" s="4">
        <v>1057</v>
      </c>
    </row>
    <row r="481" spans="1:15" x14ac:dyDescent="0.25">
      <c r="A481" s="3">
        <v>44662</v>
      </c>
      <c r="B481" s="4">
        <v>371.95</v>
      </c>
      <c r="C481" s="4">
        <v>370.1</v>
      </c>
      <c r="D481" s="4">
        <v>374.7</v>
      </c>
      <c r="E481" s="4">
        <v>370</v>
      </c>
      <c r="F481" s="4" t="str">
        <v>618.32K</v>
      </c>
      <c r="G481" s="4" t="str">
        <v>0.73%</v>
      </c>
      <c r="H481" s="3">
        <v>44662</v>
      </c>
      <c r="I481" s="4">
        <v>372.35</v>
      </c>
      <c r="O481" s="4">
        <v>1056</v>
      </c>
    </row>
    <row r="482" spans="1:15" x14ac:dyDescent="0.25">
      <c r="A482" s="3">
        <v>44659</v>
      </c>
      <c r="B482" s="4">
        <v>369.25</v>
      </c>
      <c r="C482" s="4">
        <v>369.9</v>
      </c>
      <c r="D482" s="4">
        <v>372.55</v>
      </c>
      <c r="E482" s="4">
        <v>347</v>
      </c>
      <c r="F482" s="4" t="str">
        <v>1.18M</v>
      </c>
      <c r="G482" s="4" t="str">
        <v>0.03%</v>
      </c>
      <c r="H482" s="3">
        <v>44659</v>
      </c>
      <c r="I482" s="4">
        <v>359.77499999999998</v>
      </c>
      <c r="O482" s="4">
        <v>1055</v>
      </c>
    </row>
    <row r="483" spans="1:15" x14ac:dyDescent="0.25">
      <c r="A483" s="3">
        <v>44658</v>
      </c>
      <c r="B483" s="4">
        <v>369.15</v>
      </c>
      <c r="C483" s="4">
        <v>369.5</v>
      </c>
      <c r="D483" s="4">
        <v>376.7</v>
      </c>
      <c r="E483" s="4">
        <v>367.6</v>
      </c>
      <c r="F483" s="4" t="str">
        <v>948.40K</v>
      </c>
      <c r="G483" s="4" t="str">
        <v>-0.09%</v>
      </c>
      <c r="H483" s="3">
        <v>44658</v>
      </c>
      <c r="I483" s="4">
        <v>372.15</v>
      </c>
      <c r="O483" s="4">
        <v>1054</v>
      </c>
    </row>
    <row r="484" spans="1:15" x14ac:dyDescent="0.25">
      <c r="A484" s="3">
        <v>44657</v>
      </c>
      <c r="B484" s="4">
        <v>369.5</v>
      </c>
      <c r="C484" s="4">
        <v>365</v>
      </c>
      <c r="D484" s="4">
        <v>372.9</v>
      </c>
      <c r="E484" s="4">
        <v>363.6</v>
      </c>
      <c r="F484" s="4" t="str">
        <v>1.60M</v>
      </c>
      <c r="G484" s="4" t="str">
        <v>1.11%</v>
      </c>
      <c r="H484" s="3">
        <v>44657</v>
      </c>
      <c r="I484" s="4">
        <v>368.25</v>
      </c>
      <c r="O484" s="4">
        <v>1053</v>
      </c>
    </row>
    <row r="485" spans="1:15" x14ac:dyDescent="0.25">
      <c r="A485" s="3">
        <v>44656</v>
      </c>
      <c r="B485" s="4">
        <v>365.45</v>
      </c>
      <c r="C485" s="4">
        <v>365</v>
      </c>
      <c r="D485" s="4">
        <v>369.8</v>
      </c>
      <c r="E485" s="4">
        <v>363.5</v>
      </c>
      <c r="F485" s="4" t="str">
        <v>925.40K</v>
      </c>
      <c r="G485" s="4" t="str">
        <v>0.56%</v>
      </c>
      <c r="H485" s="3">
        <v>44656</v>
      </c>
      <c r="I485" s="4">
        <v>366.65</v>
      </c>
      <c r="O485" s="4">
        <v>1052</v>
      </c>
    </row>
    <row r="486" spans="1:15" x14ac:dyDescent="0.25">
      <c r="A486" s="3">
        <v>44655</v>
      </c>
      <c r="B486" s="4">
        <v>363.4</v>
      </c>
      <c r="C486" s="4">
        <v>356</v>
      </c>
      <c r="D486" s="4">
        <v>365.9</v>
      </c>
      <c r="E486" s="4">
        <v>355.1</v>
      </c>
      <c r="F486" s="4" t="str">
        <v>1.14M</v>
      </c>
      <c r="G486" s="4" t="str">
        <v>2.54%</v>
      </c>
      <c r="H486" s="3">
        <v>44655</v>
      </c>
      <c r="I486" s="4">
        <v>360.5</v>
      </c>
      <c r="O486" s="4">
        <v>1051</v>
      </c>
    </row>
    <row r="487" spans="1:15" x14ac:dyDescent="0.25">
      <c r="A487" s="3">
        <v>44652</v>
      </c>
      <c r="B487" s="4">
        <v>354.4</v>
      </c>
      <c r="C487" s="4">
        <v>350.5</v>
      </c>
      <c r="D487" s="4">
        <v>355.15</v>
      </c>
      <c r="E487" s="4">
        <v>346.05</v>
      </c>
      <c r="F487" s="4" t="str">
        <v>1.08M</v>
      </c>
      <c r="G487" s="4" t="str">
        <v>1.69%</v>
      </c>
      <c r="H487" s="3">
        <v>44652</v>
      </c>
      <c r="I487" s="4">
        <v>350.6</v>
      </c>
      <c r="O487" s="4">
        <v>1050</v>
      </c>
    </row>
    <row r="488" spans="1:15" x14ac:dyDescent="0.25">
      <c r="A488" s="3">
        <v>44651</v>
      </c>
      <c r="B488" s="4">
        <v>348.5</v>
      </c>
      <c r="C488" s="4">
        <v>355.9</v>
      </c>
      <c r="D488" s="4">
        <v>357.5</v>
      </c>
      <c r="E488" s="4">
        <v>347</v>
      </c>
      <c r="F488" s="4" t="str">
        <v>1.24M</v>
      </c>
      <c r="G488" s="4" t="str">
        <v>-2.07%</v>
      </c>
      <c r="H488" s="3">
        <v>44651</v>
      </c>
      <c r="I488" s="4">
        <v>352.25</v>
      </c>
      <c r="O488" s="4">
        <v>1049</v>
      </c>
    </row>
    <row r="489" spans="1:15" x14ac:dyDescent="0.25">
      <c r="A489" s="3">
        <v>44650</v>
      </c>
      <c r="B489" s="4">
        <v>355.85</v>
      </c>
      <c r="C489" s="4">
        <v>357</v>
      </c>
      <c r="D489" s="4">
        <v>358.5</v>
      </c>
      <c r="E489" s="4">
        <v>353.75</v>
      </c>
      <c r="F489" s="4" t="str">
        <v>1.06M</v>
      </c>
      <c r="G489" s="4" t="str">
        <v>-0.04%</v>
      </c>
      <c r="H489" s="3">
        <v>44650</v>
      </c>
      <c r="I489" s="4">
        <v>356.125</v>
      </c>
      <c r="O489" s="4">
        <v>1048</v>
      </c>
    </row>
    <row r="490" spans="1:15" x14ac:dyDescent="0.25">
      <c r="A490" s="3">
        <v>44649</v>
      </c>
      <c r="B490" s="4">
        <v>356</v>
      </c>
      <c r="C490" s="4">
        <v>355</v>
      </c>
      <c r="D490" s="4">
        <v>357.9</v>
      </c>
      <c r="E490" s="4">
        <v>353.5</v>
      </c>
      <c r="F490" s="4" t="str">
        <v>1.40M</v>
      </c>
      <c r="G490" s="4" t="str">
        <v>0.84%</v>
      </c>
      <c r="H490" s="3">
        <v>44649</v>
      </c>
      <c r="I490" s="4">
        <v>355.7</v>
      </c>
      <c r="O490" s="4">
        <v>1047</v>
      </c>
    </row>
    <row r="491" spans="1:15" x14ac:dyDescent="0.25">
      <c r="A491" s="3">
        <v>44648</v>
      </c>
      <c r="B491" s="4">
        <v>353.05</v>
      </c>
      <c r="C491" s="4">
        <v>361</v>
      </c>
      <c r="D491" s="4">
        <v>366.85</v>
      </c>
      <c r="E491" s="4">
        <v>350.1</v>
      </c>
      <c r="F491" s="4" t="str">
        <v>2.34M</v>
      </c>
      <c r="G491" s="4" t="str">
        <v>-1.70%</v>
      </c>
      <c r="H491" s="3">
        <v>44648</v>
      </c>
      <c r="I491" s="4">
        <v>358.47500000000002</v>
      </c>
      <c r="O491" s="4">
        <v>1046</v>
      </c>
    </row>
    <row r="492" spans="1:15" x14ac:dyDescent="0.25">
      <c r="A492" s="3">
        <v>44645</v>
      </c>
      <c r="B492" s="4">
        <v>359.15</v>
      </c>
      <c r="C492" s="4">
        <v>368.25</v>
      </c>
      <c r="D492" s="4">
        <v>368.7</v>
      </c>
      <c r="E492" s="4">
        <v>355.1</v>
      </c>
      <c r="F492" s="4" t="str">
        <v>1.22M</v>
      </c>
      <c r="G492" s="4" t="str">
        <v>-2.17%</v>
      </c>
      <c r="H492" s="3">
        <v>44645</v>
      </c>
      <c r="I492" s="4">
        <v>361.9</v>
      </c>
      <c r="O492" s="4">
        <v>1045</v>
      </c>
    </row>
    <row r="493" spans="1:15" x14ac:dyDescent="0.25">
      <c r="A493" s="3">
        <v>44644</v>
      </c>
      <c r="B493" s="4">
        <v>367.1</v>
      </c>
      <c r="C493" s="4">
        <v>365</v>
      </c>
      <c r="D493" s="4">
        <v>373.35</v>
      </c>
      <c r="E493" s="4">
        <v>364</v>
      </c>
      <c r="F493" s="4" t="str">
        <v>1.19M</v>
      </c>
      <c r="G493" s="4" t="str">
        <v>-0.19%</v>
      </c>
      <c r="H493" s="3">
        <v>44644</v>
      </c>
      <c r="I493" s="4">
        <v>368.67500000000001</v>
      </c>
      <c r="O493" s="4">
        <v>1044</v>
      </c>
    </row>
    <row r="494" spans="1:15" x14ac:dyDescent="0.25">
      <c r="A494" s="3">
        <v>44643</v>
      </c>
      <c r="B494" s="4">
        <v>367.8</v>
      </c>
      <c r="C494" s="4">
        <v>360.9</v>
      </c>
      <c r="D494" s="4">
        <v>369</v>
      </c>
      <c r="E494" s="4">
        <v>360.5</v>
      </c>
      <c r="F494" s="4" t="str">
        <v>1.28M</v>
      </c>
      <c r="G494" s="4" t="str">
        <v>2.14%</v>
      </c>
      <c r="H494" s="3">
        <v>44643</v>
      </c>
      <c r="I494" s="4">
        <v>364.75</v>
      </c>
      <c r="O494" s="4">
        <v>1043</v>
      </c>
    </row>
    <row r="495" spans="1:15" x14ac:dyDescent="0.25">
      <c r="A495" s="3">
        <v>44642</v>
      </c>
      <c r="B495" s="4">
        <v>360.1</v>
      </c>
      <c r="C495" s="4">
        <v>368</v>
      </c>
      <c r="D495" s="4">
        <v>368</v>
      </c>
      <c r="E495" s="4">
        <v>358.3</v>
      </c>
      <c r="F495" s="4" t="str">
        <v>1.46M</v>
      </c>
      <c r="G495" s="4" t="str">
        <v>-1.72%</v>
      </c>
      <c r="H495" s="3">
        <v>44642</v>
      </c>
      <c r="I495" s="4">
        <v>363.15</v>
      </c>
      <c r="O495" s="4">
        <v>1042</v>
      </c>
    </row>
    <row r="496" spans="1:15" x14ac:dyDescent="0.25">
      <c r="A496" s="3">
        <v>44641</v>
      </c>
      <c r="B496" s="4">
        <v>366.4</v>
      </c>
      <c r="C496" s="4">
        <v>375</v>
      </c>
      <c r="D496" s="4">
        <v>377.9</v>
      </c>
      <c r="E496" s="4">
        <v>365.5</v>
      </c>
      <c r="F496" s="4" t="str">
        <v>1.06M</v>
      </c>
      <c r="G496" s="4" t="str">
        <v>-1.85%</v>
      </c>
      <c r="H496" s="3">
        <v>44641</v>
      </c>
      <c r="I496" s="4">
        <v>371.7</v>
      </c>
      <c r="O496" s="4">
        <v>1041</v>
      </c>
    </row>
    <row r="497" spans="1:15" x14ac:dyDescent="0.25">
      <c r="A497" s="3">
        <v>44637</v>
      </c>
      <c r="B497" s="4">
        <v>373.3</v>
      </c>
      <c r="C497" s="4">
        <v>378</v>
      </c>
      <c r="D497" s="4">
        <v>378.6</v>
      </c>
      <c r="E497" s="4">
        <v>371.4</v>
      </c>
      <c r="F497" s="4" t="str">
        <v>994.04K</v>
      </c>
      <c r="G497" s="4" t="str">
        <v>-0.49%</v>
      </c>
      <c r="H497" s="3">
        <v>44637</v>
      </c>
      <c r="I497" s="4">
        <v>375</v>
      </c>
      <c r="O497" s="4">
        <v>1040</v>
      </c>
    </row>
    <row r="498" spans="1:15" x14ac:dyDescent="0.25">
      <c r="A498" s="3">
        <v>44636</v>
      </c>
      <c r="B498" s="4">
        <v>375.15</v>
      </c>
      <c r="C498" s="4">
        <v>372.15</v>
      </c>
      <c r="D498" s="4">
        <v>376</v>
      </c>
      <c r="E498" s="4">
        <v>369.55</v>
      </c>
      <c r="F498" s="4" t="str">
        <v>1.08M</v>
      </c>
      <c r="G498" s="4" t="str">
        <v>1.50%</v>
      </c>
      <c r="H498" s="3">
        <v>44636</v>
      </c>
      <c r="I498" s="4">
        <v>372.77499999999998</v>
      </c>
      <c r="O498" s="4">
        <v>1039</v>
      </c>
    </row>
    <row r="499" spans="1:15" x14ac:dyDescent="0.25">
      <c r="A499" s="3">
        <v>44635</v>
      </c>
      <c r="B499" s="4">
        <v>369.6</v>
      </c>
      <c r="C499" s="4">
        <v>368</v>
      </c>
      <c r="D499" s="4">
        <v>373.65</v>
      </c>
      <c r="E499" s="4">
        <v>366.55</v>
      </c>
      <c r="F499" s="4" t="str">
        <v>1.71M</v>
      </c>
      <c r="G499" s="4" t="str">
        <v>1.16%</v>
      </c>
      <c r="H499" s="3">
        <v>44635</v>
      </c>
      <c r="I499" s="4">
        <v>370.1</v>
      </c>
      <c r="O499" s="4">
        <v>1038</v>
      </c>
    </row>
    <row r="500" spans="1:15" x14ac:dyDescent="0.25">
      <c r="A500" s="3">
        <v>44634</v>
      </c>
      <c r="B500" s="4">
        <v>365.35</v>
      </c>
      <c r="C500" s="4">
        <v>373</v>
      </c>
      <c r="D500" s="4">
        <v>374.15</v>
      </c>
      <c r="E500" s="4">
        <v>363.1</v>
      </c>
      <c r="F500" s="4" t="str">
        <v>840.97K</v>
      </c>
      <c r="G500" s="4" t="str">
        <v>-1.43%</v>
      </c>
      <c r="H500" s="3">
        <v>44634</v>
      </c>
      <c r="I500" s="4">
        <v>368.625</v>
      </c>
      <c r="O500" s="4">
        <v>1037</v>
      </c>
    </row>
    <row r="501" spans="1:15" x14ac:dyDescent="0.25">
      <c r="A501" s="3">
        <v>44631</v>
      </c>
      <c r="B501" s="4">
        <v>370.65</v>
      </c>
      <c r="C501" s="4">
        <v>363.1</v>
      </c>
      <c r="D501" s="4">
        <v>374.6</v>
      </c>
      <c r="E501" s="4">
        <v>362.4</v>
      </c>
      <c r="F501" s="4" t="str">
        <v>1.37M</v>
      </c>
      <c r="G501" s="4" t="str">
        <v>1.34%</v>
      </c>
      <c r="H501" s="3">
        <v>44631</v>
      </c>
      <c r="I501" s="4">
        <v>368.5</v>
      </c>
      <c r="O501" s="4">
        <v>1036</v>
      </c>
    </row>
    <row r="502" spans="1:15" x14ac:dyDescent="0.25">
      <c r="A502" s="3">
        <v>44630</v>
      </c>
      <c r="B502" s="4">
        <v>365.75</v>
      </c>
      <c r="C502" s="4">
        <v>368</v>
      </c>
      <c r="D502" s="4">
        <v>368</v>
      </c>
      <c r="E502" s="4">
        <v>361.5</v>
      </c>
      <c r="F502" s="4" t="str">
        <v>2.10M</v>
      </c>
      <c r="G502" s="4" t="str">
        <v>1.78%</v>
      </c>
      <c r="H502" s="3">
        <v>44630</v>
      </c>
      <c r="I502" s="4">
        <v>364.75</v>
      </c>
      <c r="O502" s="4">
        <v>1035</v>
      </c>
    </row>
    <row r="503" spans="1:15" x14ac:dyDescent="0.25">
      <c r="A503" s="3">
        <v>44629</v>
      </c>
      <c r="B503" s="4">
        <v>359.35</v>
      </c>
      <c r="C503" s="4">
        <v>350</v>
      </c>
      <c r="D503" s="4">
        <v>363</v>
      </c>
      <c r="E503" s="4">
        <v>348.05</v>
      </c>
      <c r="F503" s="4" t="str">
        <v>3.95M</v>
      </c>
      <c r="G503" s="4" t="str">
        <v>4.31%</v>
      </c>
      <c r="H503" s="3">
        <v>44629</v>
      </c>
      <c r="I503" s="4">
        <v>355.52499999999998</v>
      </c>
      <c r="O503" s="4">
        <v>1034</v>
      </c>
    </row>
    <row r="504" spans="1:15" x14ac:dyDescent="0.25">
      <c r="A504" s="3">
        <v>44628</v>
      </c>
      <c r="B504" s="4">
        <v>344.5</v>
      </c>
      <c r="C504" s="4">
        <v>342.1</v>
      </c>
      <c r="D504" s="4">
        <v>347</v>
      </c>
      <c r="E504" s="4">
        <v>335.75</v>
      </c>
      <c r="F504" s="4" t="str">
        <v>978.35K</v>
      </c>
      <c r="G504" s="4" t="str">
        <v>0.70%</v>
      </c>
      <c r="H504" s="3">
        <v>44628</v>
      </c>
      <c r="I504" s="4">
        <v>341.375</v>
      </c>
      <c r="O504" s="4">
        <v>1033</v>
      </c>
    </row>
    <row r="505" spans="1:15" x14ac:dyDescent="0.25">
      <c r="A505" s="3">
        <v>44627</v>
      </c>
      <c r="B505" s="4">
        <v>342.1</v>
      </c>
      <c r="C505" s="4">
        <v>343.7</v>
      </c>
      <c r="D505" s="4">
        <v>345.75</v>
      </c>
      <c r="E505" s="4">
        <v>331.55</v>
      </c>
      <c r="F505" s="4" t="str">
        <v>969.18K</v>
      </c>
      <c r="G505" s="4" t="str">
        <v>-1.11%</v>
      </c>
      <c r="H505" s="3">
        <v>44627</v>
      </c>
      <c r="I505" s="4">
        <v>338.65</v>
      </c>
      <c r="O505" s="4">
        <v>1032</v>
      </c>
    </row>
    <row r="506" spans="1:15" x14ac:dyDescent="0.25">
      <c r="A506" s="3">
        <v>44624</v>
      </c>
      <c r="B506" s="4">
        <v>345.95</v>
      </c>
      <c r="C506" s="4">
        <v>348.1</v>
      </c>
      <c r="D506" s="4">
        <v>351.45</v>
      </c>
      <c r="E506" s="4">
        <v>344.75</v>
      </c>
      <c r="F506" s="4" t="str">
        <v>856.78K</v>
      </c>
      <c r="G506" s="4" t="str">
        <v>-1.61%</v>
      </c>
      <c r="H506" s="3">
        <v>44624</v>
      </c>
      <c r="I506" s="4">
        <v>348.1</v>
      </c>
      <c r="O506" s="4">
        <v>1031</v>
      </c>
    </row>
    <row r="507" spans="1:15" x14ac:dyDescent="0.25">
      <c r="A507" s="3">
        <v>44623</v>
      </c>
      <c r="B507" s="4">
        <v>351.6</v>
      </c>
      <c r="C507" s="4">
        <v>357.9</v>
      </c>
      <c r="D507" s="4">
        <v>360.15</v>
      </c>
      <c r="E507" s="4">
        <v>350.8</v>
      </c>
      <c r="F507" s="4" t="str">
        <v>661.90K</v>
      </c>
      <c r="G507" s="4" t="str">
        <v>-0.97%</v>
      </c>
      <c r="H507" s="3">
        <v>44623</v>
      </c>
      <c r="I507" s="4">
        <v>355.47500000000002</v>
      </c>
      <c r="O507" s="4">
        <v>1030</v>
      </c>
    </row>
    <row r="508" spans="1:15" x14ac:dyDescent="0.25">
      <c r="A508" s="3">
        <v>44622</v>
      </c>
      <c r="B508" s="4">
        <v>355.05</v>
      </c>
      <c r="C508" s="4">
        <v>357.1</v>
      </c>
      <c r="D508" s="4">
        <v>363.55</v>
      </c>
      <c r="E508" s="4">
        <v>352.9</v>
      </c>
      <c r="F508" s="4" t="str">
        <v>902.43K</v>
      </c>
      <c r="G508" s="4" t="str">
        <v>-1.48%</v>
      </c>
      <c r="H508" s="3">
        <v>44622</v>
      </c>
      <c r="I508" s="4">
        <v>358.22500000000002</v>
      </c>
      <c r="O508" s="4">
        <v>1029</v>
      </c>
    </row>
    <row r="509" spans="1:15" x14ac:dyDescent="0.25">
      <c r="A509" s="3">
        <v>44620</v>
      </c>
      <c r="B509" s="4">
        <v>360.4</v>
      </c>
      <c r="C509" s="4">
        <v>352</v>
      </c>
      <c r="D509" s="4">
        <v>361</v>
      </c>
      <c r="E509" s="4">
        <v>349.25</v>
      </c>
      <c r="F509" s="4" t="str">
        <v>941.14K</v>
      </c>
      <c r="G509" s="4" t="str">
        <v>1.22%</v>
      </c>
      <c r="H509" s="3">
        <v>44620</v>
      </c>
      <c r="I509" s="4">
        <v>355.125</v>
      </c>
      <c r="O509" s="4">
        <v>1028</v>
      </c>
    </row>
    <row r="510" spans="1:15" x14ac:dyDescent="0.25">
      <c r="A510" s="3">
        <v>44617</v>
      </c>
      <c r="B510" s="4">
        <v>356.05</v>
      </c>
      <c r="C510" s="4">
        <v>350.45</v>
      </c>
      <c r="D510" s="4">
        <v>359</v>
      </c>
      <c r="E510" s="4">
        <v>348.65</v>
      </c>
      <c r="F510" s="4" t="str">
        <v>2.62M</v>
      </c>
      <c r="G510" s="4" t="str">
        <v>3.28%</v>
      </c>
      <c r="H510" s="3">
        <v>44617</v>
      </c>
      <c r="I510" s="4">
        <v>353.82499999999999</v>
      </c>
      <c r="O510" s="4">
        <v>1027</v>
      </c>
    </row>
    <row r="511" spans="1:15" x14ac:dyDescent="0.25">
      <c r="A511" s="3">
        <v>44616</v>
      </c>
      <c r="B511" s="4">
        <v>344.75</v>
      </c>
      <c r="C511" s="4">
        <v>355</v>
      </c>
      <c r="D511" s="4">
        <v>363.95</v>
      </c>
      <c r="E511" s="4">
        <v>342.85</v>
      </c>
      <c r="F511" s="4" t="str">
        <v>2.67M</v>
      </c>
      <c r="G511" s="4" t="str">
        <v>-7.25%</v>
      </c>
      <c r="H511" s="3">
        <v>44616</v>
      </c>
      <c r="I511" s="4">
        <v>353.4</v>
      </c>
      <c r="O511" s="4">
        <v>1026</v>
      </c>
    </row>
    <row r="512" spans="1:15" x14ac:dyDescent="0.25">
      <c r="A512" s="3">
        <v>44615</v>
      </c>
      <c r="B512" s="4">
        <v>371.7</v>
      </c>
      <c r="C512" s="4">
        <v>367</v>
      </c>
      <c r="D512" s="4">
        <v>376.65</v>
      </c>
      <c r="E512" s="4">
        <v>367</v>
      </c>
      <c r="F512" s="4" t="str">
        <v>1.59M</v>
      </c>
      <c r="G512" s="4" t="str">
        <v>1.43%</v>
      </c>
      <c r="H512" s="3">
        <v>44615</v>
      </c>
      <c r="I512" s="4">
        <v>371.82499999999999</v>
      </c>
      <c r="O512" s="4">
        <v>1025</v>
      </c>
    </row>
    <row r="513" spans="1:15" x14ac:dyDescent="0.25">
      <c r="A513" s="3">
        <v>44614</v>
      </c>
      <c r="B513" s="4">
        <v>366.45</v>
      </c>
      <c r="C513" s="4">
        <v>364.35</v>
      </c>
      <c r="D513" s="4">
        <v>368</v>
      </c>
      <c r="E513" s="4">
        <v>355.6</v>
      </c>
      <c r="F513" s="4" t="str">
        <v>2.87M</v>
      </c>
      <c r="G513" s="4" t="str">
        <v>-1.27%</v>
      </c>
      <c r="H513" s="3">
        <v>44614</v>
      </c>
      <c r="I513" s="4">
        <v>361.8</v>
      </c>
      <c r="O513" s="4">
        <v>1024</v>
      </c>
    </row>
    <row r="514" spans="1:15" x14ac:dyDescent="0.25">
      <c r="A514" s="3">
        <v>44613</v>
      </c>
      <c r="B514" s="4">
        <v>371.15</v>
      </c>
      <c r="C514" s="4">
        <v>375</v>
      </c>
      <c r="D514" s="4">
        <v>377</v>
      </c>
      <c r="E514" s="4">
        <v>369.25</v>
      </c>
      <c r="F514" s="4" t="str">
        <v>1.58M</v>
      </c>
      <c r="G514" s="4" t="str">
        <v>-1.43%</v>
      </c>
      <c r="H514" s="3">
        <v>44613</v>
      </c>
      <c r="I514" s="4">
        <v>373.125</v>
      </c>
      <c r="O514" s="4">
        <v>1023</v>
      </c>
    </row>
    <row r="515" spans="1:15" x14ac:dyDescent="0.25">
      <c r="A515" s="3">
        <v>44610</v>
      </c>
      <c r="B515" s="4">
        <v>376.55</v>
      </c>
      <c r="C515" s="4">
        <v>381</v>
      </c>
      <c r="D515" s="4">
        <v>381</v>
      </c>
      <c r="E515" s="4">
        <v>374.25</v>
      </c>
      <c r="F515" s="4" t="str">
        <v>1.93M</v>
      </c>
      <c r="G515" s="4" t="str">
        <v>-1.66%</v>
      </c>
      <c r="H515" s="3">
        <v>44610</v>
      </c>
      <c r="I515" s="4">
        <v>377.625</v>
      </c>
      <c r="O515" s="4">
        <v>1022</v>
      </c>
    </row>
    <row r="516" spans="1:15" x14ac:dyDescent="0.25">
      <c r="A516" s="3">
        <v>44609</v>
      </c>
      <c r="B516" s="4">
        <v>382.9</v>
      </c>
      <c r="C516" s="4">
        <v>383.85</v>
      </c>
      <c r="D516" s="4">
        <v>387.35</v>
      </c>
      <c r="E516" s="4">
        <v>381.1</v>
      </c>
      <c r="F516" s="4" t="str">
        <v>933.76K</v>
      </c>
      <c r="G516" s="4" t="str">
        <v>-0.44%</v>
      </c>
      <c r="H516" s="3">
        <v>44609</v>
      </c>
      <c r="I516" s="4">
        <v>384.22500000000002</v>
      </c>
      <c r="O516" s="4">
        <v>1021</v>
      </c>
    </row>
    <row r="517" spans="1:15" x14ac:dyDescent="0.25">
      <c r="A517" s="3">
        <v>44608</v>
      </c>
      <c r="B517" s="4">
        <v>384.6</v>
      </c>
      <c r="C517" s="4">
        <v>399.95</v>
      </c>
      <c r="D517" s="4">
        <v>399.95</v>
      </c>
      <c r="E517" s="4">
        <v>383.35</v>
      </c>
      <c r="F517" s="4" t="str">
        <v>2.31M</v>
      </c>
      <c r="G517" s="4" t="str">
        <v>-0.67%</v>
      </c>
      <c r="H517" s="3">
        <v>44608</v>
      </c>
      <c r="I517" s="4">
        <v>391.65</v>
      </c>
      <c r="O517" s="4">
        <v>1020</v>
      </c>
    </row>
    <row r="518" spans="1:15" x14ac:dyDescent="0.25">
      <c r="A518" s="3">
        <v>44607</v>
      </c>
      <c r="B518" s="4">
        <v>387.2</v>
      </c>
      <c r="C518" s="4">
        <v>384</v>
      </c>
      <c r="D518" s="4">
        <v>388.35</v>
      </c>
      <c r="E518" s="4">
        <v>379.15</v>
      </c>
      <c r="F518" s="4" t="str">
        <v>1.11M</v>
      </c>
      <c r="G518" s="4" t="str">
        <v>1.19%</v>
      </c>
      <c r="H518" s="3">
        <v>44607</v>
      </c>
      <c r="I518" s="4">
        <v>383.75</v>
      </c>
      <c r="O518" s="4">
        <v>1019</v>
      </c>
    </row>
    <row r="519" spans="1:15" x14ac:dyDescent="0.25">
      <c r="A519" s="3">
        <v>44606</v>
      </c>
      <c r="B519" s="4">
        <v>382.65</v>
      </c>
      <c r="C519" s="4">
        <v>386.95</v>
      </c>
      <c r="D519" s="4">
        <v>392.4</v>
      </c>
      <c r="E519" s="4">
        <v>380.7</v>
      </c>
      <c r="F519" s="4" t="str">
        <v>1.73M</v>
      </c>
      <c r="G519" s="4" t="str">
        <v>-2.47%</v>
      </c>
      <c r="H519" s="3">
        <v>44606</v>
      </c>
      <c r="I519" s="4">
        <v>386.54999999999995</v>
      </c>
      <c r="O519" s="4">
        <v>1018</v>
      </c>
    </row>
    <row r="520" spans="1:15" x14ac:dyDescent="0.25">
      <c r="A520" s="3">
        <v>44603</v>
      </c>
      <c r="B520" s="4">
        <v>392.35</v>
      </c>
      <c r="C520" s="4">
        <v>399</v>
      </c>
      <c r="D520" s="4">
        <v>399</v>
      </c>
      <c r="E520" s="4">
        <v>390.55</v>
      </c>
      <c r="F520" s="4" t="str">
        <v>1.61M</v>
      </c>
      <c r="G520" s="4" t="str">
        <v>-2.23%</v>
      </c>
      <c r="H520" s="3">
        <v>44603</v>
      </c>
      <c r="I520" s="4">
        <v>394.77499999999998</v>
      </c>
      <c r="O520" s="4">
        <v>1017</v>
      </c>
    </row>
    <row r="521" spans="1:15" x14ac:dyDescent="0.25">
      <c r="A521" s="3">
        <v>44602</v>
      </c>
      <c r="B521" s="4">
        <v>401.3</v>
      </c>
      <c r="C521" s="4">
        <v>407.2</v>
      </c>
      <c r="D521" s="4">
        <v>408.6</v>
      </c>
      <c r="E521" s="4">
        <v>400</v>
      </c>
      <c r="F521" s="4" t="str">
        <v>1.65M</v>
      </c>
      <c r="G521" s="4" t="str">
        <v>-1.04%</v>
      </c>
      <c r="H521" s="3">
        <v>44602</v>
      </c>
      <c r="I521" s="4">
        <v>404.3</v>
      </c>
      <c r="O521" s="4">
        <v>1016</v>
      </c>
    </row>
    <row r="522" spans="1:15" x14ac:dyDescent="0.25">
      <c r="A522" s="3">
        <v>44601</v>
      </c>
      <c r="B522" s="4">
        <v>405.5</v>
      </c>
      <c r="C522" s="4">
        <v>402.4</v>
      </c>
      <c r="D522" s="4">
        <v>406.8</v>
      </c>
      <c r="E522" s="4">
        <v>401.5</v>
      </c>
      <c r="F522" s="4" t="str">
        <v>904.73K</v>
      </c>
      <c r="G522" s="4" t="str">
        <v>1.19%</v>
      </c>
      <c r="H522" s="3">
        <v>44601</v>
      </c>
      <c r="I522" s="4">
        <v>404.15</v>
      </c>
      <c r="O522" s="4">
        <v>1015</v>
      </c>
    </row>
    <row r="523" spans="1:15" x14ac:dyDescent="0.25">
      <c r="A523" s="3">
        <v>44600</v>
      </c>
      <c r="B523" s="4">
        <v>400.75</v>
      </c>
      <c r="C523" s="4">
        <v>397</v>
      </c>
      <c r="D523" s="4">
        <v>403.85</v>
      </c>
      <c r="E523" s="4">
        <v>393.65</v>
      </c>
      <c r="F523" s="4" t="str">
        <v>1.43M</v>
      </c>
      <c r="G523" s="4" t="str">
        <v>0.86%</v>
      </c>
      <c r="H523" s="3">
        <v>44600</v>
      </c>
      <c r="I523" s="4">
        <v>398.75</v>
      </c>
      <c r="O523" s="4">
        <v>1014</v>
      </c>
    </row>
    <row r="524" spans="1:15" x14ac:dyDescent="0.25">
      <c r="A524" s="3">
        <v>44599</v>
      </c>
      <c r="B524" s="4">
        <v>397.35</v>
      </c>
      <c r="C524" s="4">
        <v>409.85</v>
      </c>
      <c r="D524" s="4">
        <v>411.1</v>
      </c>
      <c r="E524" s="4">
        <v>395.2</v>
      </c>
      <c r="F524" s="4" t="str">
        <v>1.30M</v>
      </c>
      <c r="G524" s="4" t="str">
        <v>-2.91%</v>
      </c>
      <c r="H524" s="3">
        <v>44599</v>
      </c>
      <c r="I524" s="4">
        <v>403.15</v>
      </c>
      <c r="O524" s="4">
        <v>1013</v>
      </c>
    </row>
    <row r="525" spans="1:15" x14ac:dyDescent="0.25">
      <c r="A525" s="3">
        <v>44596</v>
      </c>
      <c r="B525" s="4">
        <v>409.25</v>
      </c>
      <c r="C525" s="4">
        <v>411.05</v>
      </c>
      <c r="D525" s="4">
        <v>417.7</v>
      </c>
      <c r="E525" s="4">
        <v>408</v>
      </c>
      <c r="F525" s="4" t="str">
        <v>1.90M</v>
      </c>
      <c r="G525" s="4" t="str">
        <v>0.38%</v>
      </c>
      <c r="H525" s="3">
        <v>44596</v>
      </c>
      <c r="I525" s="4">
        <v>412.85</v>
      </c>
      <c r="O525" s="4">
        <v>1012</v>
      </c>
    </row>
    <row r="526" spans="1:15" x14ac:dyDescent="0.25">
      <c r="A526" s="3">
        <v>44595</v>
      </c>
      <c r="B526" s="4">
        <v>407.7</v>
      </c>
      <c r="C526" s="4">
        <v>416.65</v>
      </c>
      <c r="D526" s="4">
        <v>420.55</v>
      </c>
      <c r="E526" s="4">
        <v>407</v>
      </c>
      <c r="F526" s="4" t="str">
        <v>3.43M</v>
      </c>
      <c r="G526" s="4" t="str">
        <v>-1.64%</v>
      </c>
      <c r="H526" s="3">
        <v>44595</v>
      </c>
      <c r="I526" s="4">
        <v>413.77499999999998</v>
      </c>
      <c r="O526" s="4">
        <v>1011</v>
      </c>
    </row>
    <row r="527" spans="1:15" x14ac:dyDescent="0.25">
      <c r="A527" s="3">
        <v>44594</v>
      </c>
      <c r="B527" s="4">
        <v>414.5</v>
      </c>
      <c r="C527" s="4">
        <v>411.95</v>
      </c>
      <c r="D527" s="4">
        <v>417.95</v>
      </c>
      <c r="E527" s="4">
        <v>410.2</v>
      </c>
      <c r="F527" s="4" t="str">
        <v>3.69M</v>
      </c>
      <c r="G527" s="4" t="str">
        <v>1.92%</v>
      </c>
      <c r="H527" s="3">
        <v>44594</v>
      </c>
      <c r="I527" s="4">
        <v>414.07499999999999</v>
      </c>
      <c r="O527" s="4">
        <v>1010</v>
      </c>
    </row>
    <row r="528" spans="1:15" x14ac:dyDescent="0.25">
      <c r="A528" s="3">
        <v>44593</v>
      </c>
      <c r="B528" s="4">
        <v>406.7</v>
      </c>
      <c r="C528" s="4">
        <v>409</v>
      </c>
      <c r="D528" s="4">
        <v>411.5</v>
      </c>
      <c r="E528" s="4">
        <v>405.2</v>
      </c>
      <c r="F528" s="4" t="str">
        <v>1.91M</v>
      </c>
      <c r="G528" s="4" t="str">
        <v>0.05%</v>
      </c>
      <c r="H528" s="3">
        <v>44593</v>
      </c>
      <c r="I528" s="4">
        <v>408.35</v>
      </c>
      <c r="O528" s="4">
        <v>1009</v>
      </c>
    </row>
    <row r="529" spans="1:15" x14ac:dyDescent="0.25">
      <c r="A529" s="3">
        <v>44592</v>
      </c>
      <c r="B529" s="4">
        <v>406.5</v>
      </c>
      <c r="C529" s="4">
        <v>403.95</v>
      </c>
      <c r="D529" s="4">
        <v>410.5</v>
      </c>
      <c r="E529" s="4">
        <v>398.8</v>
      </c>
      <c r="F529" s="4" t="str">
        <v>3.78M</v>
      </c>
      <c r="G529" s="4" t="str">
        <v>2.65%</v>
      </c>
      <c r="H529" s="3">
        <v>44592</v>
      </c>
      <c r="I529" s="4">
        <v>404.65</v>
      </c>
      <c r="O529" s="4">
        <v>1008</v>
      </c>
    </row>
    <row r="530" spans="1:15" x14ac:dyDescent="0.25">
      <c r="A530" s="3">
        <v>44589</v>
      </c>
      <c r="B530" s="4">
        <v>396</v>
      </c>
      <c r="C530" s="4">
        <v>385.15</v>
      </c>
      <c r="D530" s="4">
        <v>402.7</v>
      </c>
      <c r="E530" s="4">
        <v>385.1</v>
      </c>
      <c r="F530" s="4" t="str">
        <v>2.99M</v>
      </c>
      <c r="G530" s="4" t="str">
        <v>3.02%</v>
      </c>
      <c r="H530" s="3">
        <v>44589</v>
      </c>
      <c r="I530" s="4">
        <v>393.9</v>
      </c>
      <c r="O530" s="4">
        <v>1007</v>
      </c>
    </row>
    <row r="531" spans="1:15" x14ac:dyDescent="0.25">
      <c r="A531" s="3">
        <v>44588</v>
      </c>
      <c r="B531" s="4">
        <v>384.4</v>
      </c>
      <c r="C531" s="4">
        <v>393.9</v>
      </c>
      <c r="D531" s="4">
        <v>393.9</v>
      </c>
      <c r="E531" s="4">
        <v>380.25</v>
      </c>
      <c r="F531" s="4" t="str">
        <v>2.75M</v>
      </c>
      <c r="G531" s="4" t="str">
        <v>-2.84%</v>
      </c>
      <c r="H531" s="3">
        <v>44588</v>
      </c>
      <c r="I531" s="4">
        <v>387.07499999999999</v>
      </c>
      <c r="O531" s="4">
        <v>1006</v>
      </c>
    </row>
    <row r="532" spans="1:15" x14ac:dyDescent="0.25">
      <c r="A532" s="3">
        <v>44586</v>
      </c>
      <c r="B532" s="4">
        <v>395.65</v>
      </c>
      <c r="C532" s="4">
        <v>394</v>
      </c>
      <c r="D532" s="4">
        <v>403.9</v>
      </c>
      <c r="E532" s="4">
        <v>393.15</v>
      </c>
      <c r="F532" s="4" t="str">
        <v>2.79M</v>
      </c>
      <c r="G532" s="4" t="str">
        <v>-0.39%</v>
      </c>
      <c r="H532" s="3">
        <v>44586</v>
      </c>
      <c r="I532" s="4">
        <v>398.52499999999998</v>
      </c>
      <c r="O532" s="4">
        <v>1005</v>
      </c>
    </row>
    <row r="533" spans="1:15" x14ac:dyDescent="0.25">
      <c r="A533" s="3">
        <v>44585</v>
      </c>
      <c r="B533" s="4">
        <v>397.2</v>
      </c>
      <c r="C533" s="4">
        <v>410</v>
      </c>
      <c r="D533" s="4">
        <v>411</v>
      </c>
      <c r="E533" s="4">
        <v>390.15</v>
      </c>
      <c r="F533" s="4" t="str">
        <v>2.53M</v>
      </c>
      <c r="G533" s="4" t="str">
        <v>-3.22%</v>
      </c>
      <c r="H533" s="3">
        <v>44585</v>
      </c>
      <c r="I533" s="4">
        <v>400.57499999999999</v>
      </c>
      <c r="O533" s="4">
        <v>1004</v>
      </c>
    </row>
    <row r="534" spans="1:15" x14ac:dyDescent="0.25">
      <c r="A534" s="3">
        <v>44582</v>
      </c>
      <c r="B534" s="4">
        <v>410.4</v>
      </c>
      <c r="C534" s="4">
        <v>418.4</v>
      </c>
      <c r="D534" s="4">
        <v>420</v>
      </c>
      <c r="E534" s="4">
        <v>405.65</v>
      </c>
      <c r="F534" s="4" t="str">
        <v>2.50M</v>
      </c>
      <c r="G534" s="4" t="str">
        <v>-1.91%</v>
      </c>
      <c r="H534" s="3">
        <v>44582</v>
      </c>
      <c r="I534" s="4">
        <v>412.82499999999999</v>
      </c>
      <c r="O534" s="4">
        <v>1003</v>
      </c>
    </row>
    <row r="535" spans="1:15" x14ac:dyDescent="0.25">
      <c r="A535" s="3">
        <v>44581</v>
      </c>
      <c r="B535" s="4">
        <v>418.4</v>
      </c>
      <c r="C535" s="4">
        <v>424.5</v>
      </c>
      <c r="D535" s="4">
        <v>427</v>
      </c>
      <c r="E535" s="4">
        <v>416.35</v>
      </c>
      <c r="F535" s="4" t="str">
        <v>1.81M</v>
      </c>
      <c r="G535" s="4" t="str">
        <v>-1.25%</v>
      </c>
      <c r="H535" s="3">
        <v>44581</v>
      </c>
      <c r="I535" s="4">
        <v>421.67500000000001</v>
      </c>
      <c r="O535" s="4">
        <v>1002</v>
      </c>
    </row>
    <row r="536" spans="1:15" x14ac:dyDescent="0.25">
      <c r="A536" s="3">
        <v>44580</v>
      </c>
      <c r="B536" s="4">
        <v>423.7</v>
      </c>
      <c r="C536" s="4">
        <v>421</v>
      </c>
      <c r="D536" s="4">
        <v>425.7</v>
      </c>
      <c r="E536" s="4">
        <v>414.05</v>
      </c>
      <c r="F536" s="4" t="str">
        <v>2.31M</v>
      </c>
      <c r="G536" s="4" t="str">
        <v>0.39%</v>
      </c>
      <c r="H536" s="3">
        <v>44580</v>
      </c>
      <c r="I536" s="4">
        <v>419.875</v>
      </c>
      <c r="O536" s="4">
        <v>1001</v>
      </c>
    </row>
    <row r="537" spans="1:15" x14ac:dyDescent="0.25">
      <c r="A537" s="3">
        <v>44579</v>
      </c>
      <c r="B537" s="4">
        <v>422.05</v>
      </c>
      <c r="C537" s="4">
        <v>439</v>
      </c>
      <c r="D537" s="4">
        <v>439.5</v>
      </c>
      <c r="E537" s="4">
        <v>420.45</v>
      </c>
      <c r="F537" s="4" t="str">
        <v>4.33M</v>
      </c>
      <c r="G537" s="4" t="str">
        <v>-3.65%</v>
      </c>
      <c r="H537" s="3">
        <v>44579</v>
      </c>
      <c r="I537" s="4">
        <v>429.97500000000002</v>
      </c>
      <c r="O537" s="4">
        <v>1000</v>
      </c>
    </row>
    <row r="538" spans="1:15" x14ac:dyDescent="0.25">
      <c r="A538" s="3">
        <v>44578</v>
      </c>
      <c r="B538" s="4">
        <v>438.05</v>
      </c>
      <c r="C538" s="4">
        <v>444</v>
      </c>
      <c r="D538" s="4">
        <v>444</v>
      </c>
      <c r="E538" s="4">
        <v>437</v>
      </c>
      <c r="F538" s="4" t="str">
        <v>2.90M</v>
      </c>
      <c r="G538" s="4" t="str">
        <v>-0.92%</v>
      </c>
      <c r="H538" s="3">
        <v>44578</v>
      </c>
      <c r="I538" s="4">
        <v>440.5</v>
      </c>
      <c r="O538" s="4">
        <v>999</v>
      </c>
    </row>
    <row r="539" spans="1:15" x14ac:dyDescent="0.25">
      <c r="A539" s="3">
        <v>44575</v>
      </c>
      <c r="B539" s="4">
        <v>442.1</v>
      </c>
      <c r="C539" s="4">
        <v>447.25</v>
      </c>
      <c r="D539" s="4">
        <v>448.75</v>
      </c>
      <c r="E539" s="4">
        <v>441.25</v>
      </c>
      <c r="F539" s="4" t="str">
        <v>1.66M</v>
      </c>
      <c r="G539" s="4" t="str">
        <v>-1.15%</v>
      </c>
      <c r="H539" s="3">
        <v>44575</v>
      </c>
      <c r="I539" s="4">
        <v>445</v>
      </c>
      <c r="O539" s="4">
        <v>998</v>
      </c>
    </row>
    <row r="540" spans="1:15" x14ac:dyDescent="0.25">
      <c r="A540" s="3">
        <v>44574</v>
      </c>
      <c r="B540" s="4">
        <v>447.25</v>
      </c>
      <c r="C540" s="4">
        <v>444</v>
      </c>
      <c r="D540" s="4">
        <v>451.55</v>
      </c>
      <c r="E540" s="4">
        <v>443.7</v>
      </c>
      <c r="F540" s="4" t="str">
        <v>1.95M</v>
      </c>
      <c r="G540" s="4" t="str">
        <v>0.87%</v>
      </c>
      <c r="H540" s="3">
        <v>44574</v>
      </c>
      <c r="I540" s="4">
        <v>447.625</v>
      </c>
      <c r="O540" s="4">
        <v>997</v>
      </c>
    </row>
    <row r="541" spans="1:15" x14ac:dyDescent="0.25">
      <c r="A541" s="3">
        <v>44573</v>
      </c>
      <c r="B541" s="4">
        <v>443.4</v>
      </c>
      <c r="C541" s="4">
        <v>447.7</v>
      </c>
      <c r="D541" s="4">
        <v>448.65</v>
      </c>
      <c r="E541" s="4">
        <v>441.5</v>
      </c>
      <c r="F541" s="4" t="str">
        <v>1.73M</v>
      </c>
      <c r="G541" s="4" t="str">
        <v>-0.53%</v>
      </c>
      <c r="H541" s="3">
        <v>44573</v>
      </c>
      <c r="I541" s="4">
        <v>445.07499999999999</v>
      </c>
      <c r="O541" s="4">
        <v>996</v>
      </c>
    </row>
    <row r="542" spans="1:15" x14ac:dyDescent="0.25">
      <c r="A542" s="3">
        <v>44572</v>
      </c>
      <c r="B542" s="4">
        <v>445.75</v>
      </c>
      <c r="C542" s="4">
        <v>454</v>
      </c>
      <c r="D542" s="4">
        <v>455.3</v>
      </c>
      <c r="E542" s="4">
        <v>444.45</v>
      </c>
      <c r="F542" s="4" t="str">
        <v>1.90M</v>
      </c>
      <c r="G542" s="4" t="str">
        <v>-1.76%</v>
      </c>
      <c r="H542" s="3">
        <v>44572</v>
      </c>
      <c r="I542" s="4">
        <v>449.875</v>
      </c>
      <c r="O542" s="4">
        <v>995</v>
      </c>
    </row>
    <row r="543" spans="1:15" x14ac:dyDescent="0.25">
      <c r="A543" s="3">
        <v>44571</v>
      </c>
      <c r="B543" s="4">
        <v>453.75</v>
      </c>
      <c r="C543" s="4">
        <v>450.95</v>
      </c>
      <c r="D543" s="4">
        <v>458</v>
      </c>
      <c r="E543" s="4">
        <v>449.2</v>
      </c>
      <c r="F543" s="4" t="str">
        <v>2.73M</v>
      </c>
      <c r="G543" s="4" t="str">
        <v>0.72%</v>
      </c>
      <c r="H543" s="3">
        <v>44571</v>
      </c>
      <c r="I543" s="4">
        <v>453.6</v>
      </c>
      <c r="O543" s="4">
        <v>994</v>
      </c>
    </row>
    <row r="544" spans="1:15" x14ac:dyDescent="0.25">
      <c r="A544" s="3">
        <v>44568</v>
      </c>
      <c r="B544" s="4">
        <v>450.5</v>
      </c>
      <c r="C544" s="4">
        <v>459.4</v>
      </c>
      <c r="D544" s="4">
        <v>459.7</v>
      </c>
      <c r="E544" s="4">
        <v>449.5</v>
      </c>
      <c r="F544" s="4" t="str">
        <v>1.88M</v>
      </c>
      <c r="G544" s="4" t="str">
        <v>-1.44%</v>
      </c>
      <c r="H544" s="3">
        <v>44568</v>
      </c>
      <c r="I544" s="4">
        <v>454.6</v>
      </c>
      <c r="O544" s="4">
        <v>993</v>
      </c>
    </row>
    <row r="545" spans="1:15" x14ac:dyDescent="0.25">
      <c r="A545" s="3">
        <v>44567</v>
      </c>
      <c r="B545" s="4">
        <v>457.1</v>
      </c>
      <c r="C545" s="4">
        <v>458</v>
      </c>
      <c r="D545" s="4">
        <v>461.3</v>
      </c>
      <c r="E545" s="4">
        <v>456</v>
      </c>
      <c r="F545" s="4" t="str">
        <v>1.45M</v>
      </c>
      <c r="G545" s="4" t="str">
        <v>-0.36%</v>
      </c>
      <c r="H545" s="3">
        <v>44567</v>
      </c>
      <c r="I545" s="4">
        <v>458.65</v>
      </c>
      <c r="O545" s="4">
        <v>992</v>
      </c>
    </row>
    <row r="546" spans="1:15" x14ac:dyDescent="0.25">
      <c r="A546" s="3">
        <v>44566</v>
      </c>
      <c r="B546" s="4">
        <v>458.75</v>
      </c>
      <c r="C546" s="4">
        <v>465.4</v>
      </c>
      <c r="D546" s="4">
        <v>469.4</v>
      </c>
      <c r="E546" s="4">
        <v>458</v>
      </c>
      <c r="F546" s="4" t="str">
        <v>3.68M</v>
      </c>
      <c r="G546" s="4" t="str">
        <v>-1.27%</v>
      </c>
      <c r="H546" s="3">
        <v>44566</v>
      </c>
      <c r="I546" s="4">
        <v>463.7</v>
      </c>
      <c r="O546" s="4">
        <v>991</v>
      </c>
    </row>
    <row r="547" spans="1:15" x14ac:dyDescent="0.25">
      <c r="A547" s="3">
        <v>44565</v>
      </c>
      <c r="B547" s="4">
        <v>464.65</v>
      </c>
      <c r="C547" s="4">
        <v>478.8</v>
      </c>
      <c r="D547" s="4">
        <v>479.4</v>
      </c>
      <c r="E547" s="4">
        <v>464.05</v>
      </c>
      <c r="F547" s="4" t="str">
        <v>2.38M</v>
      </c>
      <c r="G547" s="4" t="str">
        <v>-2.64%</v>
      </c>
      <c r="H547" s="3">
        <v>44565</v>
      </c>
      <c r="I547" s="4">
        <v>471.72500000000002</v>
      </c>
      <c r="O547" s="4">
        <v>990</v>
      </c>
    </row>
    <row r="548" spans="1:15" x14ac:dyDescent="0.25">
      <c r="A548" s="3">
        <v>44564</v>
      </c>
      <c r="B548" s="4">
        <v>477.25</v>
      </c>
      <c r="C548" s="4">
        <v>485.3</v>
      </c>
      <c r="D548" s="4">
        <v>486.85</v>
      </c>
      <c r="E548" s="4">
        <v>476</v>
      </c>
      <c r="F548" s="4" t="str">
        <v>1.32M</v>
      </c>
      <c r="G548" s="4" t="str">
        <v>-1.22%</v>
      </c>
      <c r="H548" s="3">
        <v>44564</v>
      </c>
      <c r="I548" s="4">
        <v>481.42500000000001</v>
      </c>
      <c r="O548" s="4">
        <v>989</v>
      </c>
    </row>
    <row r="549" spans="1:15" x14ac:dyDescent="0.25">
      <c r="A549" s="3">
        <v>44561</v>
      </c>
      <c r="B549" s="4">
        <v>483.15</v>
      </c>
      <c r="C549" s="4">
        <v>481.75</v>
      </c>
      <c r="D549" s="4">
        <v>486.55</v>
      </c>
      <c r="E549" s="4">
        <v>476.05</v>
      </c>
      <c r="F549" s="4" t="str">
        <v>2.30M</v>
      </c>
      <c r="G549" s="4" t="str">
        <v>0.77%</v>
      </c>
      <c r="H549" s="3">
        <v>44561</v>
      </c>
      <c r="I549" s="4">
        <v>481.3</v>
      </c>
      <c r="O549" s="4">
        <v>988</v>
      </c>
    </row>
    <row r="550" spans="1:15" x14ac:dyDescent="0.25">
      <c r="A550" s="3">
        <v>44560</v>
      </c>
      <c r="B550" s="4">
        <v>479.45</v>
      </c>
      <c r="C550" s="4">
        <v>473</v>
      </c>
      <c r="D550" s="4">
        <v>482.85</v>
      </c>
      <c r="E550" s="4">
        <v>468.1</v>
      </c>
      <c r="F550" s="4" t="str">
        <v>5.97M</v>
      </c>
      <c r="G550" s="4" t="str">
        <v>2.17%</v>
      </c>
      <c r="H550" s="3">
        <v>44560</v>
      </c>
      <c r="I550" s="4">
        <v>475.47500000000002</v>
      </c>
      <c r="O550" s="4">
        <v>987</v>
      </c>
    </row>
    <row r="551" spans="1:15" x14ac:dyDescent="0.25">
      <c r="A551" s="3">
        <v>44559</v>
      </c>
      <c r="B551" s="4">
        <v>469.25</v>
      </c>
      <c r="C551" s="4">
        <v>459</v>
      </c>
      <c r="D551" s="4">
        <v>470.5</v>
      </c>
      <c r="E551" s="4">
        <v>458</v>
      </c>
      <c r="F551" s="4" t="str">
        <v>1.91M</v>
      </c>
      <c r="G551" s="4" t="str">
        <v>2.41%</v>
      </c>
      <c r="H551" s="3">
        <v>44559</v>
      </c>
      <c r="I551" s="4">
        <v>464.25</v>
      </c>
      <c r="O551" s="4">
        <v>986</v>
      </c>
    </row>
    <row r="552" spans="1:15" x14ac:dyDescent="0.25">
      <c r="A552" s="3">
        <v>44558</v>
      </c>
      <c r="B552" s="4">
        <v>458.2</v>
      </c>
      <c r="C552" s="4">
        <v>457</v>
      </c>
      <c r="D552" s="4">
        <v>463.9</v>
      </c>
      <c r="E552" s="4">
        <v>455.6</v>
      </c>
      <c r="F552" s="4" t="str">
        <v>1.53M</v>
      </c>
      <c r="G552" s="4" t="str">
        <v>-0.01%</v>
      </c>
      <c r="H552" s="3">
        <v>44558</v>
      </c>
      <c r="I552" s="4">
        <v>459.75</v>
      </c>
      <c r="O552" s="4">
        <v>985</v>
      </c>
    </row>
    <row r="553" spans="1:15" x14ac:dyDescent="0.25">
      <c r="A553" s="3">
        <v>44557</v>
      </c>
      <c r="B553" s="4">
        <v>458.25</v>
      </c>
      <c r="C553" s="4">
        <v>456.45</v>
      </c>
      <c r="D553" s="4">
        <v>459.85</v>
      </c>
      <c r="E553" s="4">
        <v>454</v>
      </c>
      <c r="F553" s="4" t="str">
        <v>2.45M</v>
      </c>
      <c r="G553" s="4" t="str">
        <v>1.09%</v>
      </c>
      <c r="H553" s="3">
        <v>44557</v>
      </c>
      <c r="I553" s="4">
        <v>456.92500000000001</v>
      </c>
      <c r="O553" s="4">
        <v>984</v>
      </c>
    </row>
    <row r="554" spans="1:15" x14ac:dyDescent="0.25">
      <c r="A554" s="3">
        <v>44554</v>
      </c>
      <c r="B554" s="4">
        <v>453.3</v>
      </c>
      <c r="C554" s="4">
        <v>466.65</v>
      </c>
      <c r="D554" s="4">
        <v>467.2</v>
      </c>
      <c r="E554" s="4">
        <v>452.4</v>
      </c>
      <c r="F554" s="4" t="str">
        <v>2.14M</v>
      </c>
      <c r="G554" s="4" t="str">
        <v>-2.52%</v>
      </c>
      <c r="H554" s="3">
        <v>44554</v>
      </c>
      <c r="I554" s="4">
        <v>459.79999999999995</v>
      </c>
      <c r="O554" s="4">
        <v>983</v>
      </c>
    </row>
    <row r="555" spans="1:15" x14ac:dyDescent="0.25">
      <c r="A555" s="3">
        <v>44553</v>
      </c>
      <c r="B555" s="4">
        <v>465</v>
      </c>
      <c r="C555" s="4">
        <v>469.4</v>
      </c>
      <c r="D555" s="4">
        <v>472</v>
      </c>
      <c r="E555" s="4">
        <v>462.45</v>
      </c>
      <c r="F555" s="4" t="str">
        <v>2.63M</v>
      </c>
      <c r="G555" s="4" t="str">
        <v>-0.39%</v>
      </c>
      <c r="H555" s="3">
        <v>44553</v>
      </c>
      <c r="I555" s="4">
        <v>467.22500000000002</v>
      </c>
      <c r="O555" s="4">
        <v>982</v>
      </c>
    </row>
    <row r="556" spans="1:15" x14ac:dyDescent="0.25">
      <c r="A556" s="3">
        <v>44552</v>
      </c>
      <c r="B556" s="4">
        <v>466.8</v>
      </c>
      <c r="C556" s="4">
        <v>452.2</v>
      </c>
      <c r="D556" s="4">
        <v>469.85</v>
      </c>
      <c r="E556" s="4">
        <v>452.2</v>
      </c>
      <c r="F556" s="4" t="str">
        <v>2.42M</v>
      </c>
      <c r="G556" s="4" t="str">
        <v>2.57%</v>
      </c>
      <c r="H556" s="3">
        <v>44552</v>
      </c>
      <c r="I556" s="4">
        <v>461.02499999999998</v>
      </c>
      <c r="O556" s="4">
        <v>981</v>
      </c>
    </row>
    <row r="557" spans="1:15" x14ac:dyDescent="0.25">
      <c r="A557" s="3">
        <v>44551</v>
      </c>
      <c r="B557" s="4">
        <v>455.1</v>
      </c>
      <c r="C557" s="4">
        <v>449.25</v>
      </c>
      <c r="D557" s="4">
        <v>457.45</v>
      </c>
      <c r="E557" s="4">
        <v>446</v>
      </c>
      <c r="F557" s="4" t="str">
        <v>1.92M</v>
      </c>
      <c r="G557" s="4" t="str">
        <v>2.22%</v>
      </c>
      <c r="H557" s="3">
        <v>44551</v>
      </c>
      <c r="I557" s="4">
        <v>451.72500000000002</v>
      </c>
      <c r="O557" s="4">
        <v>980</v>
      </c>
    </row>
    <row r="558" spans="1:15" x14ac:dyDescent="0.25">
      <c r="A558" s="3">
        <v>44550</v>
      </c>
      <c r="B558" s="4">
        <v>445.2</v>
      </c>
      <c r="C558" s="4">
        <v>458</v>
      </c>
      <c r="D558" s="4">
        <v>458</v>
      </c>
      <c r="E558" s="4">
        <v>436.3</v>
      </c>
      <c r="F558" s="4" t="str">
        <v>2.28M</v>
      </c>
      <c r="G558" s="4" t="str">
        <v>-3.11%</v>
      </c>
      <c r="H558" s="3">
        <v>44550</v>
      </c>
      <c r="I558" s="4">
        <v>447.15</v>
      </c>
      <c r="O558" s="4">
        <v>979</v>
      </c>
    </row>
    <row r="559" spans="1:15" x14ac:dyDescent="0.25">
      <c r="A559" s="3">
        <v>44547</v>
      </c>
      <c r="B559" s="4">
        <v>459.5</v>
      </c>
      <c r="C559" s="4">
        <v>466</v>
      </c>
      <c r="D559" s="4">
        <v>466</v>
      </c>
      <c r="E559" s="4">
        <v>452.55</v>
      </c>
      <c r="F559" s="4" t="str">
        <v>1.69M</v>
      </c>
      <c r="G559" s="4" t="str">
        <v>-0.96%</v>
      </c>
      <c r="H559" s="3">
        <v>44547</v>
      </c>
      <c r="I559" s="4">
        <v>459.27499999999998</v>
      </c>
      <c r="O559" s="4">
        <v>978</v>
      </c>
    </row>
    <row r="560" spans="1:15" x14ac:dyDescent="0.25">
      <c r="A560" s="3">
        <v>44546</v>
      </c>
      <c r="B560" s="4">
        <v>463.95</v>
      </c>
      <c r="C560" s="4">
        <v>468.35</v>
      </c>
      <c r="D560" s="4">
        <v>468.7</v>
      </c>
      <c r="E560" s="4">
        <v>459</v>
      </c>
      <c r="F560" s="4" t="str">
        <v>1.19M</v>
      </c>
      <c r="G560" s="4" t="str">
        <v>-0.33%</v>
      </c>
      <c r="H560" s="3">
        <v>44546</v>
      </c>
      <c r="I560" s="4">
        <v>463.85</v>
      </c>
      <c r="O560" s="4">
        <v>977</v>
      </c>
    </row>
    <row r="561" spans="1:15" x14ac:dyDescent="0.25">
      <c r="A561" s="3">
        <v>44545</v>
      </c>
      <c r="B561" s="4">
        <v>465.5</v>
      </c>
      <c r="C561" s="4">
        <v>467.45</v>
      </c>
      <c r="D561" s="4">
        <v>469.9</v>
      </c>
      <c r="E561" s="4">
        <v>464.5</v>
      </c>
      <c r="F561" s="4" t="str">
        <v>1.05M</v>
      </c>
      <c r="G561" s="4" t="str">
        <v>-0.45%</v>
      </c>
      <c r="H561" s="3">
        <v>44545</v>
      </c>
      <c r="I561" s="4">
        <v>467.2</v>
      </c>
      <c r="O561" s="4">
        <v>976</v>
      </c>
    </row>
    <row r="562" spans="1:15" x14ac:dyDescent="0.25">
      <c r="A562" s="3">
        <v>44544</v>
      </c>
      <c r="B562" s="4">
        <v>467.6</v>
      </c>
      <c r="C562" s="4">
        <v>467.5</v>
      </c>
      <c r="D562" s="4">
        <v>474.4</v>
      </c>
      <c r="E562" s="4">
        <v>458.9</v>
      </c>
      <c r="F562" s="4" t="str">
        <v>3.45M</v>
      </c>
      <c r="G562" s="4" t="str">
        <v>0.61%</v>
      </c>
      <c r="H562" s="3">
        <v>44544</v>
      </c>
      <c r="I562" s="4">
        <v>466.65</v>
      </c>
      <c r="O562" s="4">
        <v>975</v>
      </c>
    </row>
    <row r="563" spans="1:15" x14ac:dyDescent="0.25">
      <c r="A563" s="3">
        <v>44543</v>
      </c>
      <c r="B563" s="4">
        <v>464.75</v>
      </c>
      <c r="C563" s="4">
        <v>471.9</v>
      </c>
      <c r="D563" s="4">
        <v>471.9</v>
      </c>
      <c r="E563" s="4">
        <v>462.5</v>
      </c>
      <c r="F563" s="4" t="str">
        <v>1.08M</v>
      </c>
      <c r="G563" s="4" t="str">
        <v>-0.59%</v>
      </c>
      <c r="H563" s="3">
        <v>44543</v>
      </c>
      <c r="I563" s="4">
        <v>467.2</v>
      </c>
      <c r="O563" s="4">
        <v>974</v>
      </c>
    </row>
    <row r="564" spans="1:15" x14ac:dyDescent="0.25">
      <c r="A564" s="3">
        <v>44540</v>
      </c>
      <c r="B564" s="4">
        <v>467.5</v>
      </c>
      <c r="C564" s="4">
        <v>461.9</v>
      </c>
      <c r="D564" s="4">
        <v>471</v>
      </c>
      <c r="E564" s="4">
        <v>461.9</v>
      </c>
      <c r="F564" s="4" t="str">
        <v>1.55M</v>
      </c>
      <c r="G564" s="4" t="str">
        <v>1.10%</v>
      </c>
      <c r="H564" s="3">
        <v>44540</v>
      </c>
      <c r="I564" s="4">
        <v>466.45</v>
      </c>
      <c r="O564" s="4">
        <v>973</v>
      </c>
    </row>
    <row r="565" spans="1:15" x14ac:dyDescent="0.25">
      <c r="A565" s="3">
        <v>44539</v>
      </c>
      <c r="B565" s="4">
        <v>462.4</v>
      </c>
      <c r="C565" s="4">
        <v>464.35</v>
      </c>
      <c r="D565" s="4">
        <v>466.75</v>
      </c>
      <c r="E565" s="4">
        <v>459.05</v>
      </c>
      <c r="F565" s="4" t="str">
        <v>1.80M</v>
      </c>
      <c r="G565" s="4" t="str">
        <v>0.11%</v>
      </c>
      <c r="H565" s="3">
        <v>44539</v>
      </c>
      <c r="I565" s="4">
        <v>462.9</v>
      </c>
      <c r="O565" s="4">
        <v>972</v>
      </c>
    </row>
    <row r="566" spans="1:15" x14ac:dyDescent="0.25">
      <c r="A566" s="3">
        <v>44538</v>
      </c>
      <c r="B566" s="4">
        <v>461.9</v>
      </c>
      <c r="C566" s="4">
        <v>451.8</v>
      </c>
      <c r="D566" s="4">
        <v>464.4</v>
      </c>
      <c r="E566" s="4">
        <v>450.7</v>
      </c>
      <c r="F566" s="4" t="str">
        <v>3.60M</v>
      </c>
      <c r="G566" s="4" t="str">
        <v>2.83%</v>
      </c>
      <c r="H566" s="3">
        <v>44538</v>
      </c>
      <c r="I566" s="4">
        <v>457.54999999999995</v>
      </c>
      <c r="O566" s="4">
        <v>971</v>
      </c>
    </row>
    <row r="567" spans="1:15" x14ac:dyDescent="0.25">
      <c r="A567" s="3">
        <v>44537</v>
      </c>
      <c r="B567" s="4">
        <v>449.2</v>
      </c>
      <c r="C567" s="4">
        <v>454</v>
      </c>
      <c r="D567" s="4">
        <v>455.55</v>
      </c>
      <c r="E567" s="4">
        <v>447.05</v>
      </c>
      <c r="F567" s="4" t="str">
        <v>1.90M</v>
      </c>
      <c r="G567" s="4" t="str">
        <v>-0.73%</v>
      </c>
      <c r="H567" s="3">
        <v>44537</v>
      </c>
      <c r="I567" s="4">
        <v>451.3</v>
      </c>
      <c r="O567" s="4">
        <v>970</v>
      </c>
    </row>
    <row r="568" spans="1:15" x14ac:dyDescent="0.25">
      <c r="A568" s="3">
        <v>44536</v>
      </c>
      <c r="B568" s="4">
        <v>452.5</v>
      </c>
      <c r="C568" s="4">
        <v>462.05</v>
      </c>
      <c r="D568" s="4">
        <v>464.8</v>
      </c>
      <c r="E568" s="4">
        <v>451.8</v>
      </c>
      <c r="F568" s="4" t="str">
        <v>1.95M</v>
      </c>
      <c r="G568" s="4" t="str">
        <v>-1.73%</v>
      </c>
      <c r="H568" s="3">
        <v>44536</v>
      </c>
      <c r="I568" s="4">
        <v>458.3</v>
      </c>
      <c r="O568" s="4">
        <v>969</v>
      </c>
    </row>
    <row r="569" spans="1:15" x14ac:dyDescent="0.25">
      <c r="A569" s="3">
        <v>44533</v>
      </c>
      <c r="B569" s="4">
        <v>460.45</v>
      </c>
      <c r="C569" s="4">
        <v>461.9</v>
      </c>
      <c r="D569" s="4">
        <v>465.3</v>
      </c>
      <c r="E569" s="4">
        <v>457.05</v>
      </c>
      <c r="F569" s="4" t="str">
        <v>1.50M</v>
      </c>
      <c r="G569" s="4" t="str">
        <v>-0.02%</v>
      </c>
      <c r="H569" s="3">
        <v>44533</v>
      </c>
      <c r="I569" s="4">
        <v>461.17500000000001</v>
      </c>
      <c r="O569" s="4">
        <v>968</v>
      </c>
    </row>
    <row r="570" spans="1:15" x14ac:dyDescent="0.25">
      <c r="A570" s="3">
        <v>44532</v>
      </c>
      <c r="B570" s="4">
        <v>460.55</v>
      </c>
      <c r="C570" s="4">
        <v>456</v>
      </c>
      <c r="D570" s="4">
        <v>463.6</v>
      </c>
      <c r="E570" s="4">
        <v>455.8</v>
      </c>
      <c r="F570" s="4" t="str">
        <v>2.06M</v>
      </c>
      <c r="G570" s="4" t="str">
        <v>1.40%</v>
      </c>
      <c r="H570" s="3">
        <v>44532</v>
      </c>
      <c r="I570" s="4">
        <v>459.70000000000005</v>
      </c>
      <c r="O570" s="4">
        <v>967</v>
      </c>
    </row>
    <row r="571" spans="1:15" x14ac:dyDescent="0.25">
      <c r="A571" s="3">
        <v>44531</v>
      </c>
      <c r="B571" s="4">
        <v>454.2</v>
      </c>
      <c r="C571" s="4">
        <v>467.95</v>
      </c>
      <c r="D571" s="4">
        <v>467.95</v>
      </c>
      <c r="E571" s="4">
        <v>452.8</v>
      </c>
      <c r="F571" s="4" t="str">
        <v>1.51M</v>
      </c>
      <c r="G571" s="4" t="str">
        <v>-2.38%</v>
      </c>
      <c r="H571" s="3">
        <v>44531</v>
      </c>
      <c r="I571" s="4">
        <v>460.375</v>
      </c>
      <c r="O571" s="4">
        <v>966</v>
      </c>
    </row>
    <row r="572" spans="1:15" x14ac:dyDescent="0.25">
      <c r="A572" s="3">
        <v>44530</v>
      </c>
      <c r="B572" s="4">
        <v>465.25</v>
      </c>
      <c r="C572" s="4">
        <v>455</v>
      </c>
      <c r="D572" s="4">
        <v>472.9</v>
      </c>
      <c r="E572" s="4">
        <v>451</v>
      </c>
      <c r="F572" s="4" t="str">
        <v>3.95M</v>
      </c>
      <c r="G572" s="4" t="str">
        <v>1.97%</v>
      </c>
      <c r="H572" s="3">
        <v>44530</v>
      </c>
      <c r="I572" s="4">
        <v>461.95</v>
      </c>
      <c r="O572" s="4">
        <v>965</v>
      </c>
    </row>
    <row r="573" spans="1:15" x14ac:dyDescent="0.25">
      <c r="A573" s="3">
        <v>44529</v>
      </c>
      <c r="B573" s="4">
        <v>456.25</v>
      </c>
      <c r="C573" s="4">
        <v>480.9</v>
      </c>
      <c r="D573" s="4">
        <v>482.65</v>
      </c>
      <c r="E573" s="4">
        <v>455</v>
      </c>
      <c r="F573" s="4" t="str">
        <v>4.30M</v>
      </c>
      <c r="G573" s="4" t="str">
        <v>-3.58%</v>
      </c>
      <c r="H573" s="3">
        <v>44529</v>
      </c>
      <c r="I573" s="4">
        <v>468.82499999999999</v>
      </c>
      <c r="O573" s="4">
        <v>964</v>
      </c>
    </row>
    <row r="574" spans="1:15" x14ac:dyDescent="0.25">
      <c r="A574" s="3">
        <v>44526</v>
      </c>
      <c r="B574" s="4">
        <v>473.2</v>
      </c>
      <c r="C574" s="4">
        <v>460</v>
      </c>
      <c r="D574" s="4">
        <v>480</v>
      </c>
      <c r="E574" s="4">
        <v>458.05</v>
      </c>
      <c r="F574" s="4" t="str">
        <v>7.10M</v>
      </c>
      <c r="G574" s="4" t="str">
        <v>2.40%</v>
      </c>
      <c r="H574" s="3">
        <v>44526</v>
      </c>
      <c r="I574" s="4">
        <v>469.02499999999998</v>
      </c>
      <c r="O574" s="4">
        <v>963</v>
      </c>
    </row>
    <row r="575" spans="1:15" x14ac:dyDescent="0.25">
      <c r="A575" s="3">
        <v>44525</v>
      </c>
      <c r="B575" s="4">
        <v>462.1</v>
      </c>
      <c r="C575" s="4">
        <v>459.35</v>
      </c>
      <c r="D575" s="4">
        <v>464.8</v>
      </c>
      <c r="E575" s="4">
        <v>456.75</v>
      </c>
      <c r="F575" s="4" t="str">
        <v>1.29M</v>
      </c>
      <c r="G575" s="4" t="str">
        <v>0.60%</v>
      </c>
      <c r="H575" s="3">
        <v>44525</v>
      </c>
      <c r="I575" s="4">
        <v>460.77499999999998</v>
      </c>
      <c r="O575" s="4">
        <v>962</v>
      </c>
    </row>
    <row r="576" spans="1:15" x14ac:dyDescent="0.25">
      <c r="A576" s="3">
        <v>44524</v>
      </c>
      <c r="B576" s="4">
        <v>459.35</v>
      </c>
      <c r="C576" s="4">
        <v>464.4</v>
      </c>
      <c r="D576" s="4">
        <v>467</v>
      </c>
      <c r="E576" s="4">
        <v>457.55</v>
      </c>
      <c r="F576" s="4" t="str">
        <v>1.23M</v>
      </c>
      <c r="G576" s="4" t="str">
        <v>-0.88%</v>
      </c>
      <c r="H576" s="3">
        <v>44524</v>
      </c>
      <c r="I576" s="4">
        <v>462.27499999999998</v>
      </c>
      <c r="O576" s="4">
        <v>961</v>
      </c>
    </row>
    <row r="577" spans="1:15" x14ac:dyDescent="0.25">
      <c r="A577" s="3">
        <v>44523</v>
      </c>
      <c r="B577" s="4">
        <v>463.45</v>
      </c>
      <c r="C577" s="4">
        <v>455</v>
      </c>
      <c r="D577" s="4">
        <v>465.95</v>
      </c>
      <c r="E577" s="4">
        <v>451.35</v>
      </c>
      <c r="F577" s="4" t="str">
        <v>1.12M</v>
      </c>
      <c r="G577" s="4" t="str">
        <v>1.57%</v>
      </c>
      <c r="H577" s="3">
        <v>44523</v>
      </c>
      <c r="I577" s="4">
        <v>458.65</v>
      </c>
      <c r="O577" s="4">
        <v>960</v>
      </c>
    </row>
    <row r="578" spans="1:15" x14ac:dyDescent="0.25">
      <c r="A578" s="3">
        <v>44522</v>
      </c>
      <c r="B578" s="4">
        <v>456.3</v>
      </c>
      <c r="C578" s="4">
        <v>463.4</v>
      </c>
      <c r="D578" s="4">
        <v>467</v>
      </c>
      <c r="E578" s="4">
        <v>452.8</v>
      </c>
      <c r="F578" s="4" t="str">
        <v>1.88M</v>
      </c>
      <c r="G578" s="4" t="str">
        <v>-1.37%</v>
      </c>
      <c r="H578" s="3">
        <v>44522</v>
      </c>
      <c r="I578" s="4">
        <v>459.9</v>
      </c>
      <c r="O578" s="4">
        <v>959</v>
      </c>
    </row>
    <row r="579" spans="1:15" x14ac:dyDescent="0.25">
      <c r="A579" s="3">
        <v>44518</v>
      </c>
      <c r="B579" s="4">
        <v>462.65</v>
      </c>
      <c r="C579" s="4">
        <v>473</v>
      </c>
      <c r="D579" s="4">
        <v>475</v>
      </c>
      <c r="E579" s="4">
        <v>461.25</v>
      </c>
      <c r="F579" s="4" t="str">
        <v>1.78M</v>
      </c>
      <c r="G579" s="4" t="str">
        <v>-2.00%</v>
      </c>
      <c r="H579" s="3">
        <v>44518</v>
      </c>
      <c r="I579" s="4">
        <v>468.125</v>
      </c>
      <c r="O579" s="4">
        <v>958</v>
      </c>
    </row>
    <row r="580" spans="1:15" x14ac:dyDescent="0.25">
      <c r="A580" s="3">
        <v>44517</v>
      </c>
      <c r="B580" s="4">
        <v>472.1</v>
      </c>
      <c r="C580" s="4">
        <v>479.95</v>
      </c>
      <c r="D580" s="4">
        <v>482.55</v>
      </c>
      <c r="E580" s="4">
        <v>471</v>
      </c>
      <c r="F580" s="4" t="str">
        <v>2.01M</v>
      </c>
      <c r="G580" s="4" t="str">
        <v>-1.77%</v>
      </c>
      <c r="H580" s="3">
        <v>44517</v>
      </c>
      <c r="I580" s="4">
        <v>476.77499999999998</v>
      </c>
      <c r="O580" s="4">
        <v>957</v>
      </c>
    </row>
    <row r="581" spans="1:15" x14ac:dyDescent="0.25">
      <c r="A581" s="3">
        <v>44516</v>
      </c>
      <c r="B581" s="4">
        <v>480.6</v>
      </c>
      <c r="C581" s="4">
        <v>495.4</v>
      </c>
      <c r="D581" s="4">
        <v>497.2</v>
      </c>
      <c r="E581" s="4">
        <v>478.5</v>
      </c>
      <c r="F581" s="4" t="str">
        <v>1.96M</v>
      </c>
      <c r="G581" s="4" t="str">
        <v>-2.57%</v>
      </c>
      <c r="H581" s="3">
        <v>44516</v>
      </c>
      <c r="I581" s="4">
        <v>487.85</v>
      </c>
      <c r="O581" s="4">
        <v>956</v>
      </c>
    </row>
    <row r="582" spans="1:15" x14ac:dyDescent="0.25">
      <c r="A582" s="3">
        <v>44515</v>
      </c>
      <c r="B582" s="4">
        <v>493.3</v>
      </c>
      <c r="C582" s="4">
        <v>492</v>
      </c>
      <c r="D582" s="4">
        <v>498</v>
      </c>
      <c r="E582" s="4">
        <v>488.15</v>
      </c>
      <c r="F582" s="4" t="str">
        <v>1.41M</v>
      </c>
      <c r="G582" s="4" t="str">
        <v>0.14%</v>
      </c>
      <c r="H582" s="3">
        <v>44515</v>
      </c>
      <c r="I582" s="4">
        <v>493.07499999999999</v>
      </c>
      <c r="O582" s="4">
        <v>955</v>
      </c>
    </row>
    <row r="583" spans="1:15" x14ac:dyDescent="0.25">
      <c r="A583" s="3">
        <v>44512</v>
      </c>
      <c r="B583" s="4">
        <v>492.6</v>
      </c>
      <c r="C583" s="4">
        <v>492.5</v>
      </c>
      <c r="D583" s="4">
        <v>495.15</v>
      </c>
      <c r="E583" s="4">
        <v>487.25</v>
      </c>
      <c r="F583" s="4" t="str">
        <v>1.23M</v>
      </c>
      <c r="G583" s="4" t="str">
        <v>0.13%</v>
      </c>
      <c r="H583" s="3">
        <v>44512</v>
      </c>
      <c r="I583" s="4">
        <v>491.2</v>
      </c>
      <c r="O583" s="4">
        <v>954</v>
      </c>
    </row>
    <row r="584" spans="1:15" x14ac:dyDescent="0.25">
      <c r="A584" s="3">
        <v>44511</v>
      </c>
      <c r="B584" s="4">
        <v>491.95</v>
      </c>
      <c r="C584" s="4">
        <v>502</v>
      </c>
      <c r="D584" s="4">
        <v>502</v>
      </c>
      <c r="E584" s="4">
        <v>491</v>
      </c>
      <c r="F584" s="4" t="str">
        <v>1.48M</v>
      </c>
      <c r="G584" s="4" t="str">
        <v>-2.01%</v>
      </c>
      <c r="H584" s="3">
        <v>44511</v>
      </c>
      <c r="I584" s="4">
        <v>496.5</v>
      </c>
      <c r="O584" s="4">
        <v>953</v>
      </c>
    </row>
    <row r="585" spans="1:15" x14ac:dyDescent="0.25">
      <c r="A585" s="3">
        <v>44510</v>
      </c>
      <c r="B585" s="4">
        <v>502.05</v>
      </c>
      <c r="C585" s="4">
        <v>498.5</v>
      </c>
      <c r="D585" s="4">
        <v>504.9</v>
      </c>
      <c r="E585" s="4">
        <v>495.1</v>
      </c>
      <c r="F585" s="4" t="str">
        <v>1.44M</v>
      </c>
      <c r="G585" s="4" t="str">
        <v>0.73%</v>
      </c>
      <c r="H585" s="3">
        <v>44510</v>
      </c>
      <c r="I585" s="4">
        <v>500</v>
      </c>
      <c r="O585" s="4">
        <v>952</v>
      </c>
    </row>
    <row r="586" spans="1:15" x14ac:dyDescent="0.25">
      <c r="A586" s="3">
        <v>44509</v>
      </c>
      <c r="B586" s="4">
        <v>498.4</v>
      </c>
      <c r="C586" s="4">
        <v>509.95</v>
      </c>
      <c r="D586" s="4">
        <v>509.95</v>
      </c>
      <c r="E586" s="4">
        <v>494</v>
      </c>
      <c r="F586" s="4" t="str">
        <v>4.84M</v>
      </c>
      <c r="G586" s="4" t="str">
        <v>0.79%</v>
      </c>
      <c r="H586" s="3">
        <v>44509</v>
      </c>
      <c r="I586" s="4">
        <v>501.97500000000002</v>
      </c>
      <c r="O586" s="4">
        <v>951</v>
      </c>
    </row>
    <row r="587" spans="1:15" x14ac:dyDescent="0.25">
      <c r="A587" s="3">
        <v>44508</v>
      </c>
      <c r="B587" s="4">
        <v>494.5</v>
      </c>
      <c r="C587" s="4">
        <v>497.9</v>
      </c>
      <c r="D587" s="4">
        <v>497.9</v>
      </c>
      <c r="E587" s="4">
        <v>486.65</v>
      </c>
      <c r="F587" s="4" t="str">
        <v>1.31M</v>
      </c>
      <c r="G587" s="4" t="str">
        <v>0.56%</v>
      </c>
      <c r="H587" s="3">
        <v>44508</v>
      </c>
      <c r="I587" s="4">
        <v>492.27499999999998</v>
      </c>
      <c r="O587" s="4">
        <v>950</v>
      </c>
    </row>
    <row r="588" spans="1:15" x14ac:dyDescent="0.25">
      <c r="A588" s="3">
        <v>44504</v>
      </c>
      <c r="B588" s="4">
        <v>491.75</v>
      </c>
      <c r="C588" s="4">
        <v>493.8</v>
      </c>
      <c r="D588" s="4">
        <v>493.9</v>
      </c>
      <c r="E588" s="4">
        <v>490.05</v>
      </c>
      <c r="F588" s="4" t="str">
        <v>221.74K</v>
      </c>
      <c r="G588" s="4" t="str">
        <v>0.25%</v>
      </c>
      <c r="H588" s="3">
        <v>44504</v>
      </c>
      <c r="I588" s="4">
        <v>491.97500000000002</v>
      </c>
      <c r="O588" s="4">
        <v>949</v>
      </c>
    </row>
    <row r="589" spans="1:15" x14ac:dyDescent="0.25">
      <c r="A589" s="3">
        <v>44503</v>
      </c>
      <c r="B589" s="4">
        <v>490.5</v>
      </c>
      <c r="C589" s="4">
        <v>497.25</v>
      </c>
      <c r="D589" s="4">
        <v>498.45</v>
      </c>
      <c r="E589" s="4">
        <v>486.05</v>
      </c>
      <c r="F589" s="4" t="str">
        <v>1.68M</v>
      </c>
      <c r="G589" s="4" t="str">
        <v>-1.01%</v>
      </c>
      <c r="H589" s="3">
        <v>44503</v>
      </c>
      <c r="I589" s="4">
        <v>492.25</v>
      </c>
      <c r="O589" s="4">
        <v>948</v>
      </c>
    </row>
    <row r="590" spans="1:15" x14ac:dyDescent="0.25">
      <c r="A590" s="3">
        <v>44502</v>
      </c>
      <c r="B590" s="4">
        <v>495.5</v>
      </c>
      <c r="C590" s="4">
        <v>503</v>
      </c>
      <c r="D590" s="4">
        <v>504.2</v>
      </c>
      <c r="E590" s="4">
        <v>490</v>
      </c>
      <c r="F590" s="4" t="str">
        <v>2.04M</v>
      </c>
      <c r="G590" s="4" t="str">
        <v>-1.19%</v>
      </c>
      <c r="H590" s="3">
        <v>44502</v>
      </c>
      <c r="I590" s="4">
        <v>497.1</v>
      </c>
      <c r="O590" s="4">
        <v>947</v>
      </c>
    </row>
    <row r="591" spans="1:15" x14ac:dyDescent="0.25">
      <c r="A591" s="3">
        <v>44501</v>
      </c>
      <c r="B591" s="4">
        <v>501.45</v>
      </c>
      <c r="C591" s="4">
        <v>506</v>
      </c>
      <c r="D591" s="4">
        <v>509.1</v>
      </c>
      <c r="E591" s="4">
        <v>500.15</v>
      </c>
      <c r="F591" s="4" t="str">
        <v>1.55M</v>
      </c>
      <c r="G591" s="4" t="str">
        <v>-0.27%</v>
      </c>
      <c r="H591" s="3">
        <v>44501</v>
      </c>
      <c r="I591" s="4">
        <v>504.625</v>
      </c>
      <c r="O591" s="4">
        <v>946</v>
      </c>
    </row>
    <row r="592" spans="1:15" x14ac:dyDescent="0.25">
      <c r="A592" s="3">
        <v>44498</v>
      </c>
      <c r="B592" s="4">
        <v>502.8</v>
      </c>
      <c r="C592" s="4">
        <v>492.5</v>
      </c>
      <c r="D592" s="4">
        <v>512</v>
      </c>
      <c r="E592" s="4">
        <v>489.45</v>
      </c>
      <c r="F592" s="4" t="str">
        <v>3.36M</v>
      </c>
      <c r="G592" s="4" t="str">
        <v>2.26%</v>
      </c>
      <c r="H592" s="3">
        <v>44498</v>
      </c>
      <c r="I592" s="4">
        <v>500.72500000000002</v>
      </c>
      <c r="O592" s="4">
        <v>945</v>
      </c>
    </row>
    <row r="593" spans="1:15" x14ac:dyDescent="0.25">
      <c r="A593" s="3">
        <v>44497</v>
      </c>
      <c r="B593" s="4">
        <v>491.7</v>
      </c>
      <c r="C593" s="4">
        <v>511</v>
      </c>
      <c r="D593" s="4">
        <v>511</v>
      </c>
      <c r="E593" s="4">
        <v>489.6</v>
      </c>
      <c r="F593" s="4" t="str">
        <v>1.99M</v>
      </c>
      <c r="G593" s="4" t="str">
        <v>-3.44%</v>
      </c>
      <c r="H593" s="3">
        <v>44497</v>
      </c>
      <c r="I593" s="4">
        <v>500.3</v>
      </c>
      <c r="O593" s="4">
        <v>944</v>
      </c>
    </row>
    <row r="594" spans="1:15" x14ac:dyDescent="0.25">
      <c r="A594" s="3">
        <v>44496</v>
      </c>
      <c r="B594" s="4">
        <v>509.2</v>
      </c>
      <c r="C594" s="4">
        <v>511.95</v>
      </c>
      <c r="D594" s="4">
        <v>514.79999999999995</v>
      </c>
      <c r="E594" s="4">
        <v>507.6</v>
      </c>
      <c r="F594" s="4" t="str">
        <v>1.51M</v>
      </c>
      <c r="G594" s="4" t="str">
        <v>0.08%</v>
      </c>
      <c r="H594" s="3">
        <v>44496</v>
      </c>
      <c r="I594" s="4">
        <v>511.2</v>
      </c>
      <c r="O594" s="4">
        <v>943</v>
      </c>
    </row>
    <row r="595" spans="1:15" x14ac:dyDescent="0.25">
      <c r="A595" s="3">
        <v>44495</v>
      </c>
      <c r="B595" s="4">
        <v>508.8</v>
      </c>
      <c r="C595" s="4">
        <v>502</v>
      </c>
      <c r="D595" s="4">
        <v>510</v>
      </c>
      <c r="E595" s="4">
        <v>497.95</v>
      </c>
      <c r="F595" s="4" t="str">
        <v>1.92M</v>
      </c>
      <c r="G595" s="4" t="str">
        <v>1.98%</v>
      </c>
      <c r="H595" s="3">
        <v>44495</v>
      </c>
      <c r="I595" s="4">
        <v>503.97500000000002</v>
      </c>
      <c r="O595" s="4">
        <v>942</v>
      </c>
    </row>
    <row r="596" spans="1:15" x14ac:dyDescent="0.25">
      <c r="A596" s="3">
        <v>44494</v>
      </c>
      <c r="B596" s="4">
        <v>498.9</v>
      </c>
      <c r="C596" s="4">
        <v>503</v>
      </c>
      <c r="D596" s="4">
        <v>504.9</v>
      </c>
      <c r="E596" s="4">
        <v>490</v>
      </c>
      <c r="F596" s="4" t="str">
        <v>1.58M</v>
      </c>
      <c r="G596" s="4" t="str">
        <v>-0.70%</v>
      </c>
      <c r="H596" s="3">
        <v>44494</v>
      </c>
      <c r="I596" s="4">
        <v>497.45</v>
      </c>
      <c r="O596" s="4">
        <v>941</v>
      </c>
    </row>
    <row r="597" spans="1:15" x14ac:dyDescent="0.25">
      <c r="A597" s="3">
        <v>44491</v>
      </c>
      <c r="B597" s="4">
        <v>502.4</v>
      </c>
      <c r="C597" s="4">
        <v>511</v>
      </c>
      <c r="D597" s="4">
        <v>518</v>
      </c>
      <c r="E597" s="4">
        <v>501</v>
      </c>
      <c r="F597" s="4" t="str">
        <v>1.11M</v>
      </c>
      <c r="G597" s="4" t="str">
        <v>-1.61%</v>
      </c>
      <c r="H597" s="3">
        <v>44491</v>
      </c>
      <c r="I597" s="4">
        <v>509.5</v>
      </c>
      <c r="O597" s="4">
        <v>940</v>
      </c>
    </row>
    <row r="598" spans="1:15" x14ac:dyDescent="0.25">
      <c r="A598" s="3">
        <v>44490</v>
      </c>
      <c r="B598" s="4">
        <v>510.6</v>
      </c>
      <c r="C598" s="4">
        <v>518.35</v>
      </c>
      <c r="D598" s="4">
        <v>522.5</v>
      </c>
      <c r="E598" s="4">
        <v>505.05</v>
      </c>
      <c r="F598" s="4" t="str">
        <v>1.13M</v>
      </c>
      <c r="G598" s="4" t="str">
        <v>-1.28%</v>
      </c>
      <c r="H598" s="3">
        <v>44490</v>
      </c>
      <c r="I598" s="4">
        <v>513.77499999999998</v>
      </c>
      <c r="O598" s="4">
        <v>939</v>
      </c>
    </row>
    <row r="599" spans="1:15" x14ac:dyDescent="0.25">
      <c r="A599" s="3">
        <v>44489</v>
      </c>
      <c r="B599" s="4">
        <v>517.20000000000005</v>
      </c>
      <c r="C599" s="4">
        <v>526.1</v>
      </c>
      <c r="D599" s="4">
        <v>527.9</v>
      </c>
      <c r="E599" s="4">
        <v>515</v>
      </c>
      <c r="F599" s="4" t="str">
        <v>1.16M</v>
      </c>
      <c r="G599" s="4" t="str">
        <v>-1.88%</v>
      </c>
      <c r="H599" s="3">
        <v>44489</v>
      </c>
      <c r="I599" s="4">
        <v>521.45000000000005</v>
      </c>
      <c r="O599" s="4">
        <v>938</v>
      </c>
    </row>
    <row r="600" spans="1:15" x14ac:dyDescent="0.25">
      <c r="A600" s="3">
        <v>44488</v>
      </c>
      <c r="B600" s="4">
        <v>527.1</v>
      </c>
      <c r="C600" s="4">
        <v>534.29999999999995</v>
      </c>
      <c r="D600" s="4">
        <v>536</v>
      </c>
      <c r="E600" s="4">
        <v>524</v>
      </c>
      <c r="F600" s="4" t="str">
        <v>1.29M</v>
      </c>
      <c r="G600" s="4" t="str">
        <v>-1.35%</v>
      </c>
      <c r="H600" s="3">
        <v>44488</v>
      </c>
      <c r="I600" s="4">
        <v>530</v>
      </c>
      <c r="O600" s="4">
        <v>937</v>
      </c>
    </row>
    <row r="601" spans="1:15" x14ac:dyDescent="0.25">
      <c r="A601" s="3">
        <v>44487</v>
      </c>
      <c r="B601" s="4">
        <v>534.29999999999995</v>
      </c>
      <c r="C601" s="4">
        <v>544.1</v>
      </c>
      <c r="D601" s="4">
        <v>546</v>
      </c>
      <c r="E601" s="4">
        <v>531</v>
      </c>
      <c r="F601" s="4" t="str">
        <v>1.55M</v>
      </c>
      <c r="G601" s="4" t="str">
        <v>-1.80%</v>
      </c>
      <c r="H601" s="3">
        <v>44487</v>
      </c>
      <c r="I601" s="4">
        <v>538.5</v>
      </c>
      <c r="O601" s="4">
        <v>936</v>
      </c>
    </row>
    <row r="602" spans="1:15" x14ac:dyDescent="0.25">
      <c r="A602" s="3">
        <v>44483</v>
      </c>
      <c r="B602" s="4">
        <v>544.1</v>
      </c>
      <c r="C602" s="4">
        <v>548.9</v>
      </c>
      <c r="D602" s="4">
        <v>552</v>
      </c>
      <c r="E602" s="4">
        <v>543</v>
      </c>
      <c r="F602" s="4" t="str">
        <v>1.56M</v>
      </c>
      <c r="G602" s="4" t="str">
        <v>-0.28%</v>
      </c>
      <c r="H602" s="3">
        <v>44483</v>
      </c>
      <c r="I602" s="4">
        <v>547.5</v>
      </c>
      <c r="O602" s="4">
        <v>935</v>
      </c>
    </row>
    <row r="603" spans="1:15" x14ac:dyDescent="0.25">
      <c r="A603" s="3">
        <v>44482</v>
      </c>
      <c r="B603" s="4">
        <v>545.65</v>
      </c>
      <c r="C603" s="4">
        <v>542.5</v>
      </c>
      <c r="D603" s="4">
        <v>547.29999999999995</v>
      </c>
      <c r="E603" s="4">
        <v>538.25</v>
      </c>
      <c r="F603" s="4" t="str">
        <v>1.22M</v>
      </c>
      <c r="G603" s="4" t="str">
        <v>0.79%</v>
      </c>
      <c r="H603" s="3">
        <v>44482</v>
      </c>
      <c r="I603" s="4">
        <v>542.77499999999998</v>
      </c>
      <c r="O603" s="4">
        <v>934</v>
      </c>
    </row>
    <row r="604" spans="1:15" x14ac:dyDescent="0.25">
      <c r="A604" s="3">
        <v>44481</v>
      </c>
      <c r="B604" s="4">
        <v>541.4</v>
      </c>
      <c r="C604" s="4">
        <v>548.75</v>
      </c>
      <c r="D604" s="4">
        <v>557</v>
      </c>
      <c r="E604" s="4">
        <v>535.04999999999995</v>
      </c>
      <c r="F604" s="4" t="str">
        <v>1.91M</v>
      </c>
      <c r="G604" s="4" t="str">
        <v>-1.29%</v>
      </c>
      <c r="H604" s="3">
        <v>44481</v>
      </c>
      <c r="I604" s="4">
        <v>546.02499999999998</v>
      </c>
      <c r="O604" s="4">
        <v>933</v>
      </c>
    </row>
    <row r="605" spans="1:15" x14ac:dyDescent="0.25">
      <c r="A605" s="3">
        <v>44480</v>
      </c>
      <c r="B605" s="4">
        <v>548.45000000000005</v>
      </c>
      <c r="C605" s="4">
        <v>554</v>
      </c>
      <c r="D605" s="4">
        <v>554.20000000000005</v>
      </c>
      <c r="E605" s="4">
        <v>546.45000000000005</v>
      </c>
      <c r="F605" s="4" t="str">
        <v>1.23M</v>
      </c>
      <c r="G605" s="4" t="str">
        <v>-0.25%</v>
      </c>
      <c r="H605" s="3">
        <v>44480</v>
      </c>
      <c r="I605" s="4">
        <v>550.32500000000005</v>
      </c>
      <c r="O605" s="4">
        <v>932</v>
      </c>
    </row>
    <row r="606" spans="1:15" x14ac:dyDescent="0.25">
      <c r="A606" s="3">
        <v>44477</v>
      </c>
      <c r="B606" s="4">
        <v>549.79999999999995</v>
      </c>
      <c r="C606" s="4">
        <v>553.79999999999995</v>
      </c>
      <c r="D606" s="4">
        <v>553.79999999999995</v>
      </c>
      <c r="E606" s="4">
        <v>549</v>
      </c>
      <c r="F606" s="4" t="str">
        <v>1.13M</v>
      </c>
      <c r="G606" s="4" t="str">
        <v>0.01%</v>
      </c>
      <c r="H606" s="3">
        <v>44477</v>
      </c>
      <c r="I606" s="4">
        <v>551.4</v>
      </c>
      <c r="O606" s="4">
        <v>931</v>
      </c>
    </row>
    <row r="607" spans="1:15" x14ac:dyDescent="0.25">
      <c r="A607" s="3">
        <v>44476</v>
      </c>
      <c r="B607" s="4">
        <v>549.75</v>
      </c>
      <c r="C607" s="4">
        <v>555</v>
      </c>
      <c r="D607" s="4">
        <v>557.75</v>
      </c>
      <c r="E607" s="4">
        <v>548.9</v>
      </c>
      <c r="F607" s="4" t="str">
        <v>1.85M</v>
      </c>
      <c r="G607" s="4" t="str">
        <v>-0.11%</v>
      </c>
      <c r="H607" s="3">
        <v>44476</v>
      </c>
      <c r="I607" s="4">
        <v>553.32500000000005</v>
      </c>
      <c r="O607" s="4">
        <v>930</v>
      </c>
    </row>
    <row r="608" spans="1:15" x14ac:dyDescent="0.25">
      <c r="A608" s="3">
        <v>44475</v>
      </c>
      <c r="B608" s="4">
        <v>550.35</v>
      </c>
      <c r="C608" s="4">
        <v>566.25</v>
      </c>
      <c r="D608" s="4">
        <v>566.25</v>
      </c>
      <c r="E608" s="4">
        <v>547.5</v>
      </c>
      <c r="F608" s="4" t="str">
        <v>1.96M</v>
      </c>
      <c r="G608" s="4" t="str">
        <v>-2.41%</v>
      </c>
      <c r="H608" s="3">
        <v>44475</v>
      </c>
      <c r="I608" s="4">
        <v>556.875</v>
      </c>
      <c r="O608" s="4">
        <v>929</v>
      </c>
    </row>
    <row r="609" spans="1:15" x14ac:dyDescent="0.25">
      <c r="A609" s="3">
        <v>44474</v>
      </c>
      <c r="B609" s="4">
        <v>563.95000000000005</v>
      </c>
      <c r="C609" s="4">
        <v>562</v>
      </c>
      <c r="D609" s="4">
        <v>567.04999999999995</v>
      </c>
      <c r="E609" s="4">
        <v>555.6</v>
      </c>
      <c r="F609" s="4" t="str">
        <v>1.43M</v>
      </c>
      <c r="G609" s="4" t="str">
        <v>0.32%</v>
      </c>
      <c r="H609" s="3">
        <v>44474</v>
      </c>
      <c r="I609" s="4">
        <v>561.32500000000005</v>
      </c>
      <c r="O609" s="4">
        <v>928</v>
      </c>
    </row>
    <row r="610" spans="1:15" x14ac:dyDescent="0.25">
      <c r="A610" s="3">
        <v>44473</v>
      </c>
      <c r="B610" s="4">
        <v>562.15</v>
      </c>
      <c r="C610" s="4">
        <v>560</v>
      </c>
      <c r="D610" s="4">
        <v>573.20000000000005</v>
      </c>
      <c r="E610" s="4">
        <v>557.25</v>
      </c>
      <c r="F610" s="4" t="str">
        <v>2.67M</v>
      </c>
      <c r="G610" s="4" t="str">
        <v>1.16%</v>
      </c>
      <c r="H610" s="3">
        <v>44473</v>
      </c>
      <c r="I610" s="4">
        <v>565.22500000000002</v>
      </c>
      <c r="O610" s="4">
        <v>927</v>
      </c>
    </row>
    <row r="611" spans="1:15" x14ac:dyDescent="0.25">
      <c r="A611" s="3">
        <v>44470</v>
      </c>
      <c r="B611" s="4">
        <v>555.70000000000005</v>
      </c>
      <c r="C611" s="4">
        <v>552</v>
      </c>
      <c r="D611" s="4">
        <v>559.95000000000005</v>
      </c>
      <c r="E611" s="4">
        <v>544.25</v>
      </c>
      <c r="F611" s="4" t="str">
        <v>1.45M</v>
      </c>
      <c r="G611" s="4" t="str">
        <v>0.70%</v>
      </c>
      <c r="H611" s="3">
        <v>44470</v>
      </c>
      <c r="I611" s="4">
        <v>552.1</v>
      </c>
      <c r="O611" s="4">
        <v>926</v>
      </c>
    </row>
    <row r="612" spans="1:15" x14ac:dyDescent="0.25">
      <c r="A612" s="3">
        <v>44469</v>
      </c>
      <c r="B612" s="4">
        <v>551.85</v>
      </c>
      <c r="C612" s="4">
        <v>544</v>
      </c>
      <c r="D612" s="4">
        <v>555.5</v>
      </c>
      <c r="E612" s="4">
        <v>544</v>
      </c>
      <c r="F612" s="4" t="str">
        <v>2.26M</v>
      </c>
      <c r="G612" s="4" t="str">
        <v>0.78%</v>
      </c>
      <c r="H612" s="3">
        <v>44469</v>
      </c>
      <c r="I612" s="4">
        <v>549.75</v>
      </c>
      <c r="O612" s="4">
        <v>925</v>
      </c>
    </row>
    <row r="613" spans="1:15" x14ac:dyDescent="0.25">
      <c r="A613" s="3">
        <v>44468</v>
      </c>
      <c r="B613" s="4">
        <v>547.6</v>
      </c>
      <c r="C613" s="4">
        <v>535</v>
      </c>
      <c r="D613" s="4">
        <v>556.20000000000005</v>
      </c>
      <c r="E613" s="4">
        <v>535</v>
      </c>
      <c r="F613" s="4" t="str">
        <v>2.40M</v>
      </c>
      <c r="G613" s="4" t="str">
        <v>0.60%</v>
      </c>
      <c r="H613" s="3">
        <v>44468</v>
      </c>
      <c r="I613" s="4">
        <v>545.6</v>
      </c>
      <c r="O613" s="4">
        <v>924</v>
      </c>
    </row>
    <row r="614" spans="1:15" x14ac:dyDescent="0.25">
      <c r="A614" s="3">
        <v>44467</v>
      </c>
      <c r="B614" s="4">
        <v>544.35</v>
      </c>
      <c r="C614" s="4">
        <v>555</v>
      </c>
      <c r="D614" s="4">
        <v>555</v>
      </c>
      <c r="E614" s="4">
        <v>539.1</v>
      </c>
      <c r="F614" s="4" t="str">
        <v>2.64M</v>
      </c>
      <c r="G614" s="4" t="str">
        <v>-2.36%</v>
      </c>
      <c r="H614" s="3">
        <v>44467</v>
      </c>
      <c r="I614" s="4">
        <v>547.04999999999995</v>
      </c>
      <c r="O614" s="4">
        <v>923</v>
      </c>
    </row>
    <row r="615" spans="1:15" x14ac:dyDescent="0.25">
      <c r="A615" s="3">
        <v>44466</v>
      </c>
      <c r="B615" s="4">
        <v>557.5</v>
      </c>
      <c r="C615" s="4">
        <v>564.6</v>
      </c>
      <c r="D615" s="4">
        <v>564.65</v>
      </c>
      <c r="E615" s="4">
        <v>553.70000000000005</v>
      </c>
      <c r="F615" s="4" t="str">
        <v>1.19M</v>
      </c>
      <c r="G615" s="4" t="str">
        <v>-1.16%</v>
      </c>
      <c r="H615" s="3">
        <v>44466</v>
      </c>
      <c r="I615" s="4">
        <v>559.17499999999995</v>
      </c>
      <c r="O615" s="4">
        <v>922</v>
      </c>
    </row>
    <row r="616" spans="1:15" x14ac:dyDescent="0.25">
      <c r="A616" s="3">
        <v>44463</v>
      </c>
      <c r="B616" s="4">
        <v>564.04999999999995</v>
      </c>
      <c r="C616" s="4">
        <v>567.04999999999995</v>
      </c>
      <c r="D616" s="4">
        <v>569.6</v>
      </c>
      <c r="E616" s="4">
        <v>558.29999999999995</v>
      </c>
      <c r="F616" s="4" t="str">
        <v>1.73M</v>
      </c>
      <c r="G616" s="4" t="str">
        <v>-0.56%</v>
      </c>
      <c r="H616" s="3">
        <v>44463</v>
      </c>
      <c r="I616" s="4">
        <v>563.95000000000005</v>
      </c>
      <c r="O616" s="4">
        <v>921</v>
      </c>
    </row>
    <row r="617" spans="1:15" x14ac:dyDescent="0.25">
      <c r="A617" s="3">
        <v>44462</v>
      </c>
      <c r="B617" s="4">
        <v>567.25</v>
      </c>
      <c r="C617" s="4">
        <v>565.5</v>
      </c>
      <c r="D617" s="4">
        <v>570.9</v>
      </c>
      <c r="E617" s="4">
        <v>563.5</v>
      </c>
      <c r="F617" s="4" t="str">
        <v>1.80M</v>
      </c>
      <c r="G617" s="4" t="str">
        <v>1.09%</v>
      </c>
      <c r="H617" s="3">
        <v>44462</v>
      </c>
      <c r="I617" s="4">
        <v>567.20000000000005</v>
      </c>
      <c r="O617" s="4">
        <v>920</v>
      </c>
    </row>
    <row r="618" spans="1:15" x14ac:dyDescent="0.25">
      <c r="A618" s="3">
        <v>44461</v>
      </c>
      <c r="B618" s="4">
        <v>561.15</v>
      </c>
      <c r="C618" s="4">
        <v>551.1</v>
      </c>
      <c r="D618" s="4">
        <v>563.54999999999995</v>
      </c>
      <c r="E618" s="4">
        <v>551.1</v>
      </c>
      <c r="F618" s="4" t="str">
        <v>1.47M</v>
      </c>
      <c r="G618" s="4" t="str">
        <v>1.88%</v>
      </c>
      <c r="H618" s="3">
        <v>44461</v>
      </c>
      <c r="I618" s="4">
        <v>557.32500000000005</v>
      </c>
      <c r="O618" s="4">
        <v>919</v>
      </c>
    </row>
    <row r="619" spans="1:15" x14ac:dyDescent="0.25">
      <c r="A619" s="3">
        <v>44460</v>
      </c>
      <c r="B619" s="4">
        <v>550.79999999999995</v>
      </c>
      <c r="C619" s="4">
        <v>546</v>
      </c>
      <c r="D619" s="4">
        <v>552.85</v>
      </c>
      <c r="E619" s="4">
        <v>533.54999999999995</v>
      </c>
      <c r="F619" s="4" t="str">
        <v>1.95M</v>
      </c>
      <c r="G619" s="4" t="str">
        <v>0.88%</v>
      </c>
      <c r="H619" s="3">
        <v>44460</v>
      </c>
      <c r="I619" s="4">
        <v>543.20000000000005</v>
      </c>
      <c r="O619" s="4">
        <v>918</v>
      </c>
    </row>
    <row r="620" spans="1:15" x14ac:dyDescent="0.25">
      <c r="A620" s="3">
        <v>44459</v>
      </c>
      <c r="B620" s="4">
        <v>546</v>
      </c>
      <c r="C620" s="4">
        <v>556.35</v>
      </c>
      <c r="D620" s="4">
        <v>559.9</v>
      </c>
      <c r="E620" s="4">
        <v>541.5</v>
      </c>
      <c r="F620" s="4" t="str">
        <v>2.01M</v>
      </c>
      <c r="G620" s="4" t="str">
        <v>-2.01%</v>
      </c>
      <c r="H620" s="3">
        <v>44459</v>
      </c>
      <c r="I620" s="4">
        <v>550.70000000000005</v>
      </c>
      <c r="O620" s="4">
        <v>917</v>
      </c>
    </row>
    <row r="621" spans="1:15" x14ac:dyDescent="0.25">
      <c r="A621" s="3">
        <v>44456</v>
      </c>
      <c r="B621" s="4">
        <v>557.20000000000005</v>
      </c>
      <c r="C621" s="4">
        <v>563</v>
      </c>
      <c r="D621" s="4">
        <v>564.5</v>
      </c>
      <c r="E621" s="4">
        <v>551.4</v>
      </c>
      <c r="F621" s="4" t="str">
        <v>2.14M</v>
      </c>
      <c r="G621" s="4" t="str">
        <v>-1.29%</v>
      </c>
      <c r="H621" s="3">
        <v>44456</v>
      </c>
      <c r="I621" s="4">
        <v>557.95000000000005</v>
      </c>
      <c r="O621" s="4">
        <v>916</v>
      </c>
    </row>
    <row r="622" spans="1:15" x14ac:dyDescent="0.25">
      <c r="A622" s="3">
        <v>44455</v>
      </c>
      <c r="B622" s="4">
        <v>564.5</v>
      </c>
      <c r="C622" s="4">
        <v>567</v>
      </c>
      <c r="D622" s="4">
        <v>568.6</v>
      </c>
      <c r="E622" s="4">
        <v>561.1</v>
      </c>
      <c r="F622" s="4" t="str">
        <v>1.25M</v>
      </c>
      <c r="G622" s="4" t="str">
        <v>-0.29%</v>
      </c>
      <c r="H622" s="3">
        <v>44455</v>
      </c>
      <c r="I622" s="4">
        <v>564.85</v>
      </c>
      <c r="O622" s="4">
        <v>915</v>
      </c>
    </row>
    <row r="623" spans="1:15" x14ac:dyDescent="0.25">
      <c r="A623" s="3">
        <v>44454</v>
      </c>
      <c r="B623" s="4">
        <v>566.15</v>
      </c>
      <c r="C623" s="4">
        <v>562.25</v>
      </c>
      <c r="D623" s="4">
        <v>570.4</v>
      </c>
      <c r="E623" s="4">
        <v>559.29999999999995</v>
      </c>
      <c r="F623" s="4" t="str">
        <v>2.41M</v>
      </c>
      <c r="G623" s="4" t="str">
        <v>0.95%</v>
      </c>
      <c r="H623" s="3">
        <v>44454</v>
      </c>
      <c r="I623" s="4">
        <v>564.84999999999991</v>
      </c>
      <c r="O623" s="4">
        <v>914</v>
      </c>
    </row>
    <row r="624" spans="1:15" x14ac:dyDescent="0.25">
      <c r="A624" s="3">
        <v>44453</v>
      </c>
      <c r="B624" s="4">
        <v>560.85</v>
      </c>
      <c r="C624" s="4">
        <v>556</v>
      </c>
      <c r="D624" s="4">
        <v>563.4</v>
      </c>
      <c r="E624" s="4">
        <v>553.5</v>
      </c>
      <c r="F624" s="4" t="str">
        <v>1.24M</v>
      </c>
      <c r="G624" s="4" t="str">
        <v>0.95%</v>
      </c>
      <c r="H624" s="3">
        <v>44453</v>
      </c>
      <c r="I624" s="4">
        <v>558.45000000000005</v>
      </c>
      <c r="O624" s="4">
        <v>913</v>
      </c>
    </row>
    <row r="625" spans="1:15" x14ac:dyDescent="0.25">
      <c r="A625" s="3">
        <v>44452</v>
      </c>
      <c r="B625" s="4">
        <v>555.54999999999995</v>
      </c>
      <c r="C625" s="4">
        <v>561</v>
      </c>
      <c r="D625" s="4">
        <v>561</v>
      </c>
      <c r="E625" s="4">
        <v>554.25</v>
      </c>
      <c r="F625" s="4" t="str">
        <v>1.05M</v>
      </c>
      <c r="G625" s="4" t="str">
        <v>-0.46%</v>
      </c>
      <c r="H625" s="3">
        <v>44452</v>
      </c>
      <c r="I625" s="4">
        <v>557.625</v>
      </c>
      <c r="O625" s="4">
        <v>912</v>
      </c>
    </row>
    <row r="626" spans="1:15" x14ac:dyDescent="0.25">
      <c r="A626" s="3">
        <v>44448</v>
      </c>
      <c r="B626" s="4">
        <v>558.1</v>
      </c>
      <c r="C626" s="4">
        <v>551</v>
      </c>
      <c r="D626" s="4">
        <v>562.20000000000005</v>
      </c>
      <c r="E626" s="4">
        <v>550.9</v>
      </c>
      <c r="F626" s="4" t="str">
        <v>1.88M</v>
      </c>
      <c r="G626" s="4" t="str">
        <v>0.50%</v>
      </c>
      <c r="H626" s="3">
        <v>44448</v>
      </c>
      <c r="I626" s="4">
        <v>556.54999999999995</v>
      </c>
      <c r="O626" s="4">
        <v>911</v>
      </c>
    </row>
    <row r="627" spans="1:15" x14ac:dyDescent="0.25">
      <c r="A627" s="3">
        <v>44447</v>
      </c>
      <c r="B627" s="4">
        <v>555.35</v>
      </c>
      <c r="C627" s="4">
        <v>554</v>
      </c>
      <c r="D627" s="4">
        <v>558.29999999999995</v>
      </c>
      <c r="E627" s="4">
        <v>551.04999999999995</v>
      </c>
      <c r="F627" s="4" t="str">
        <v>1.43M</v>
      </c>
      <c r="G627" s="4" t="str">
        <v>0.27%</v>
      </c>
      <c r="H627" s="3">
        <v>44447</v>
      </c>
      <c r="I627" s="4">
        <v>554.67499999999995</v>
      </c>
      <c r="O627" s="4">
        <v>910</v>
      </c>
    </row>
    <row r="628" spans="1:15" x14ac:dyDescent="0.25">
      <c r="A628" s="3">
        <v>44446</v>
      </c>
      <c r="B628" s="4">
        <v>553.85</v>
      </c>
      <c r="C628" s="4">
        <v>556.9</v>
      </c>
      <c r="D628" s="4">
        <v>558.5</v>
      </c>
      <c r="E628" s="4">
        <v>550</v>
      </c>
      <c r="F628" s="4" t="str">
        <v>2.12M</v>
      </c>
      <c r="G628" s="4" t="str">
        <v>-0.55%</v>
      </c>
      <c r="H628" s="3">
        <v>44446</v>
      </c>
      <c r="I628" s="4">
        <v>554.25</v>
      </c>
      <c r="O628" s="4">
        <v>909</v>
      </c>
    </row>
    <row r="629" spans="1:15" x14ac:dyDescent="0.25">
      <c r="A629" s="3">
        <v>44445</v>
      </c>
      <c r="B629" s="4">
        <v>556.9</v>
      </c>
      <c r="C629" s="4">
        <v>556.04999999999995</v>
      </c>
      <c r="D629" s="4">
        <v>557.79999999999995</v>
      </c>
      <c r="E629" s="4">
        <v>551.5</v>
      </c>
      <c r="F629" s="4" t="str">
        <v>1.24M</v>
      </c>
      <c r="G629" s="4" t="str">
        <v>0.22%</v>
      </c>
      <c r="H629" s="3">
        <v>44445</v>
      </c>
      <c r="I629" s="4">
        <v>554.65</v>
      </c>
      <c r="O629" s="4">
        <v>908</v>
      </c>
    </row>
    <row r="630" spans="1:15" x14ac:dyDescent="0.25">
      <c r="A630" s="3">
        <v>44442</v>
      </c>
      <c r="B630" s="4">
        <v>555.65</v>
      </c>
      <c r="C630" s="4">
        <v>559.25</v>
      </c>
      <c r="D630" s="4">
        <v>559.79999999999995</v>
      </c>
      <c r="E630" s="4">
        <v>553</v>
      </c>
      <c r="F630" s="4" t="str">
        <v>1.43M</v>
      </c>
      <c r="G630" s="4" t="str">
        <v>-0.15%</v>
      </c>
      <c r="H630" s="3">
        <v>44442</v>
      </c>
      <c r="I630" s="4">
        <v>556.4</v>
      </c>
      <c r="O630" s="4">
        <v>907</v>
      </c>
    </row>
    <row r="631" spans="1:15" x14ac:dyDescent="0.25">
      <c r="A631" s="3">
        <v>44441</v>
      </c>
      <c r="B631" s="4">
        <v>556.5</v>
      </c>
      <c r="C631" s="4">
        <v>554</v>
      </c>
      <c r="D631" s="4">
        <v>561</v>
      </c>
      <c r="E631" s="4">
        <v>553</v>
      </c>
      <c r="F631" s="4" t="str">
        <v>1.67M</v>
      </c>
      <c r="G631" s="4" t="str">
        <v>0.75%</v>
      </c>
      <c r="H631" s="3">
        <v>44441</v>
      </c>
      <c r="I631" s="4">
        <v>557</v>
      </c>
      <c r="O631" s="4">
        <v>906</v>
      </c>
    </row>
    <row r="632" spans="1:15" x14ac:dyDescent="0.25">
      <c r="A632" s="3">
        <v>44440</v>
      </c>
      <c r="B632" s="4">
        <v>552.35</v>
      </c>
      <c r="C632" s="4">
        <v>555</v>
      </c>
      <c r="D632" s="4">
        <v>557.45000000000005</v>
      </c>
      <c r="E632" s="4">
        <v>548</v>
      </c>
      <c r="F632" s="4" t="str">
        <v>2.17M</v>
      </c>
      <c r="G632" s="4" t="str">
        <v>-0.32%</v>
      </c>
      <c r="H632" s="3">
        <v>44440</v>
      </c>
      <c r="I632" s="4">
        <v>552.72500000000002</v>
      </c>
      <c r="O632" s="4">
        <v>905</v>
      </c>
    </row>
    <row r="633" spans="1:15" x14ac:dyDescent="0.25">
      <c r="A633" s="3">
        <v>44439</v>
      </c>
      <c r="B633" s="4">
        <v>554.15</v>
      </c>
      <c r="C633" s="4">
        <v>555</v>
      </c>
      <c r="D633" s="4">
        <v>557.85</v>
      </c>
      <c r="E633" s="4">
        <v>549.5</v>
      </c>
      <c r="F633" s="4" t="str">
        <v>2.02M</v>
      </c>
      <c r="G633" s="4" t="str">
        <v>-0.15%</v>
      </c>
      <c r="H633" s="3">
        <v>44439</v>
      </c>
      <c r="I633" s="4">
        <v>553.67499999999995</v>
      </c>
      <c r="O633" s="4">
        <v>904</v>
      </c>
    </row>
    <row r="634" spans="1:15" x14ac:dyDescent="0.25">
      <c r="A634" s="3">
        <v>44438</v>
      </c>
      <c r="B634" s="4">
        <v>555</v>
      </c>
      <c r="C634" s="4">
        <v>553</v>
      </c>
      <c r="D634" s="4">
        <v>557.45000000000005</v>
      </c>
      <c r="E634" s="4">
        <v>548.85</v>
      </c>
      <c r="F634" s="4" t="str">
        <v>2.25M</v>
      </c>
      <c r="G634" s="4" t="str">
        <v>0.81%</v>
      </c>
      <c r="H634" s="3">
        <v>44438</v>
      </c>
      <c r="I634" s="4">
        <v>553.15000000000009</v>
      </c>
      <c r="O634" s="4">
        <v>903</v>
      </c>
    </row>
    <row r="635" spans="1:15" x14ac:dyDescent="0.25">
      <c r="A635" s="3">
        <v>44435</v>
      </c>
      <c r="B635" s="4">
        <v>550.54999999999995</v>
      </c>
      <c r="C635" s="4">
        <v>542.45000000000005</v>
      </c>
      <c r="D635" s="4">
        <v>551.70000000000005</v>
      </c>
      <c r="E635" s="4">
        <v>539.20000000000005</v>
      </c>
      <c r="F635" s="4" t="str">
        <v>2.22M</v>
      </c>
      <c r="G635" s="4" t="str">
        <v>1.84%</v>
      </c>
      <c r="H635" s="3">
        <v>44435</v>
      </c>
      <c r="I635" s="4">
        <v>545.45000000000005</v>
      </c>
      <c r="O635" s="4">
        <v>902</v>
      </c>
    </row>
    <row r="636" spans="1:15" x14ac:dyDescent="0.25">
      <c r="A636" s="3">
        <v>44434</v>
      </c>
      <c r="B636" s="4">
        <v>540.6</v>
      </c>
      <c r="C636" s="4">
        <v>543.79999999999995</v>
      </c>
      <c r="D636" s="4">
        <v>547</v>
      </c>
      <c r="E636" s="4">
        <v>538.65</v>
      </c>
      <c r="F636" s="4" t="str">
        <v>2.81M</v>
      </c>
      <c r="G636" s="4" t="str">
        <v>-0.44%</v>
      </c>
      <c r="H636" s="3">
        <v>44434</v>
      </c>
      <c r="I636" s="4">
        <v>542.82500000000005</v>
      </c>
      <c r="O636" s="4">
        <v>901</v>
      </c>
    </row>
    <row r="637" spans="1:15" x14ac:dyDescent="0.25">
      <c r="A637" s="3">
        <v>44433</v>
      </c>
      <c r="B637" s="4">
        <v>543</v>
      </c>
      <c r="C637" s="4">
        <v>550.70000000000005</v>
      </c>
      <c r="D637" s="4">
        <v>551.25</v>
      </c>
      <c r="E637" s="4">
        <v>540.5</v>
      </c>
      <c r="F637" s="4" t="str">
        <v>2.46M</v>
      </c>
      <c r="G637" s="4" t="str">
        <v>-1.07%</v>
      </c>
      <c r="H637" s="3">
        <v>44433</v>
      </c>
      <c r="I637" s="4">
        <v>545.875</v>
      </c>
      <c r="O637" s="4">
        <v>900</v>
      </c>
    </row>
    <row r="638" spans="1:15" x14ac:dyDescent="0.25">
      <c r="A638" s="3">
        <v>44432</v>
      </c>
      <c r="B638" s="4">
        <v>548.9</v>
      </c>
      <c r="C638" s="4">
        <v>550.9</v>
      </c>
      <c r="D638" s="4">
        <v>552.95000000000005</v>
      </c>
      <c r="E638" s="4">
        <v>534.5</v>
      </c>
      <c r="F638" s="4" t="str">
        <v>5.04M</v>
      </c>
      <c r="G638" s="4" t="str">
        <v>0.33%</v>
      </c>
      <c r="H638" s="3">
        <v>44432</v>
      </c>
      <c r="I638" s="4">
        <v>543.72500000000002</v>
      </c>
      <c r="O638" s="4">
        <v>899</v>
      </c>
    </row>
    <row r="639" spans="1:15" x14ac:dyDescent="0.25">
      <c r="A639" s="3">
        <v>44431</v>
      </c>
      <c r="B639" s="4">
        <v>547.1</v>
      </c>
      <c r="C639" s="4">
        <v>562</v>
      </c>
      <c r="D639" s="4">
        <v>577</v>
      </c>
      <c r="E639" s="4">
        <v>542</v>
      </c>
      <c r="F639" s="4" t="str">
        <v>20.66M</v>
      </c>
      <c r="G639" s="4" t="str">
        <v>2.29%</v>
      </c>
      <c r="H639" s="3">
        <v>44431</v>
      </c>
      <c r="I639" s="4">
        <v>559.5</v>
      </c>
      <c r="O639" s="4">
        <v>898</v>
      </c>
    </row>
    <row r="640" spans="1:15" x14ac:dyDescent="0.25">
      <c r="A640" s="3">
        <v>44428</v>
      </c>
      <c r="B640" s="4">
        <v>534.85</v>
      </c>
      <c r="C640" s="4">
        <v>540</v>
      </c>
      <c r="D640" s="4">
        <v>548</v>
      </c>
      <c r="E640" s="4">
        <v>521.54999999999995</v>
      </c>
      <c r="F640" s="4" t="str">
        <v>5.11M</v>
      </c>
      <c r="G640" s="4" t="str">
        <v>-1.46%</v>
      </c>
      <c r="H640" s="3">
        <v>44428</v>
      </c>
      <c r="I640" s="4">
        <v>534.77499999999998</v>
      </c>
      <c r="O640" s="4">
        <v>897</v>
      </c>
    </row>
    <row r="641" spans="1:15" x14ac:dyDescent="0.25">
      <c r="A641" s="3">
        <v>44426</v>
      </c>
      <c r="B641" s="4">
        <v>542.79999999999995</v>
      </c>
      <c r="C641" s="4">
        <v>537</v>
      </c>
      <c r="D641" s="4">
        <v>545.6</v>
      </c>
      <c r="E641" s="4">
        <v>531.1</v>
      </c>
      <c r="F641" s="4" t="str">
        <v>3.19M</v>
      </c>
      <c r="G641" s="4" t="str">
        <v>2.39%</v>
      </c>
      <c r="H641" s="3">
        <v>44426</v>
      </c>
      <c r="I641" s="4">
        <v>538.35</v>
      </c>
      <c r="O641" s="4">
        <v>896</v>
      </c>
    </row>
    <row r="642" spans="1:15" x14ac:dyDescent="0.25">
      <c r="A642" s="3">
        <v>44425</v>
      </c>
      <c r="B642" s="4">
        <v>530.15</v>
      </c>
      <c r="C642" s="4">
        <v>532</v>
      </c>
      <c r="D642" s="4">
        <v>539.79999999999995</v>
      </c>
      <c r="E642" s="4">
        <v>526.6</v>
      </c>
      <c r="F642" s="4" t="str">
        <v>3.39M</v>
      </c>
      <c r="G642" s="4" t="str">
        <v>-0.35%</v>
      </c>
      <c r="H642" s="3">
        <v>44425</v>
      </c>
      <c r="I642" s="4">
        <v>533.20000000000005</v>
      </c>
      <c r="O642" s="4">
        <v>895</v>
      </c>
    </row>
    <row r="643" spans="1:15" x14ac:dyDescent="0.25">
      <c r="A643" s="3">
        <v>44424</v>
      </c>
      <c r="B643" s="4">
        <v>532</v>
      </c>
      <c r="C643" s="4">
        <v>557.9</v>
      </c>
      <c r="D643" s="4">
        <v>558</v>
      </c>
      <c r="E643" s="4">
        <v>524</v>
      </c>
      <c r="F643" s="4" t="str">
        <v>7.12M</v>
      </c>
      <c r="G643" s="4" t="str">
        <v>-4.74%</v>
      </c>
      <c r="H643" s="3">
        <v>44424</v>
      </c>
      <c r="I643" s="4">
        <v>541</v>
      </c>
      <c r="O643" s="4">
        <v>894</v>
      </c>
    </row>
    <row r="644" spans="1:15" x14ac:dyDescent="0.25">
      <c r="A644" s="3">
        <v>44421</v>
      </c>
      <c r="B644" s="4">
        <v>558.45000000000005</v>
      </c>
      <c r="C644" s="4">
        <v>545</v>
      </c>
      <c r="D644" s="4">
        <v>566.15</v>
      </c>
      <c r="E644" s="4">
        <v>536.45000000000005</v>
      </c>
      <c r="F644" s="4" t="str">
        <v>6.66M</v>
      </c>
      <c r="G644" s="4" t="str">
        <v>2.66%</v>
      </c>
      <c r="H644" s="3">
        <v>44421</v>
      </c>
      <c r="I644" s="4">
        <v>551.29999999999995</v>
      </c>
      <c r="O644" s="4">
        <v>893</v>
      </c>
    </row>
    <row r="645" spans="1:15" x14ac:dyDescent="0.25">
      <c r="A645" s="3">
        <v>44420</v>
      </c>
      <c r="B645" s="4">
        <v>544</v>
      </c>
      <c r="C645" s="4">
        <v>560.95000000000005</v>
      </c>
      <c r="D645" s="4">
        <v>560.95000000000005</v>
      </c>
      <c r="E645" s="4">
        <v>542.1</v>
      </c>
      <c r="F645" s="4" t="str">
        <v>4.95M</v>
      </c>
      <c r="G645" s="4" t="str">
        <v>-3.50%</v>
      </c>
      <c r="H645" s="3">
        <v>44420</v>
      </c>
      <c r="I645" s="4">
        <v>551.52500000000009</v>
      </c>
      <c r="O645" s="4">
        <v>892</v>
      </c>
    </row>
    <row r="646" spans="1:15" x14ac:dyDescent="0.25">
      <c r="A646" s="3">
        <v>44419</v>
      </c>
      <c r="B646" s="4">
        <v>563.75</v>
      </c>
      <c r="C646" s="4">
        <v>576.79999999999995</v>
      </c>
      <c r="D646" s="4">
        <v>577.4</v>
      </c>
      <c r="E646" s="4">
        <v>557.29999999999995</v>
      </c>
      <c r="F646" s="4" t="str">
        <v>5.78M</v>
      </c>
      <c r="G646" s="4" t="str">
        <v>-2.20%</v>
      </c>
      <c r="H646" s="3">
        <v>44419</v>
      </c>
      <c r="I646" s="4">
        <v>567.34999999999991</v>
      </c>
      <c r="O646" s="4">
        <v>891</v>
      </c>
    </row>
    <row r="647" spans="1:15" x14ac:dyDescent="0.25">
      <c r="A647" s="3">
        <v>44418</v>
      </c>
      <c r="B647" s="4">
        <v>576.45000000000005</v>
      </c>
      <c r="C647" s="4">
        <v>588.70000000000005</v>
      </c>
      <c r="D647" s="4">
        <v>589.79999999999995</v>
      </c>
      <c r="E647" s="4">
        <v>573</v>
      </c>
      <c r="F647" s="4" t="str">
        <v>1.77M</v>
      </c>
      <c r="G647" s="4" t="str">
        <v>-1.61%</v>
      </c>
      <c r="H647" s="3">
        <v>44418</v>
      </c>
      <c r="I647" s="4">
        <v>581.4</v>
      </c>
      <c r="O647" s="4">
        <v>890</v>
      </c>
    </row>
    <row r="648" spans="1:15" x14ac:dyDescent="0.25">
      <c r="A648" s="3">
        <v>44417</v>
      </c>
      <c r="B648" s="4">
        <v>585.9</v>
      </c>
      <c r="C648" s="4">
        <v>585</v>
      </c>
      <c r="D648" s="4">
        <v>590.25</v>
      </c>
      <c r="E648" s="4">
        <v>580.1</v>
      </c>
      <c r="F648" s="4" t="str">
        <v>1.42M</v>
      </c>
      <c r="G648" s="4" t="str">
        <v>0.02%</v>
      </c>
      <c r="H648" s="3">
        <v>44417</v>
      </c>
      <c r="I648" s="4">
        <v>585.17499999999995</v>
      </c>
      <c r="O648" s="4">
        <v>889</v>
      </c>
    </row>
    <row r="649" spans="1:15" x14ac:dyDescent="0.25">
      <c r="A649" s="3">
        <v>44414</v>
      </c>
      <c r="B649" s="4">
        <v>585.79999999999995</v>
      </c>
      <c r="C649" s="4">
        <v>584</v>
      </c>
      <c r="D649" s="4">
        <v>592</v>
      </c>
      <c r="E649" s="4">
        <v>582.75</v>
      </c>
      <c r="F649" s="4" t="str">
        <v>1.27M</v>
      </c>
      <c r="G649" s="4" t="str">
        <v>0.21%</v>
      </c>
      <c r="H649" s="3">
        <v>44414</v>
      </c>
      <c r="I649" s="4">
        <v>587.375</v>
      </c>
      <c r="O649" s="4">
        <v>888</v>
      </c>
    </row>
    <row r="650" spans="1:15" x14ac:dyDescent="0.25">
      <c r="A650" s="3">
        <v>44413</v>
      </c>
      <c r="B650" s="4">
        <v>584.6</v>
      </c>
      <c r="C650" s="4">
        <v>587.70000000000005</v>
      </c>
      <c r="D650" s="4">
        <v>590</v>
      </c>
      <c r="E650" s="4">
        <v>582.29999999999995</v>
      </c>
      <c r="F650" s="4" t="str">
        <v>1.45M</v>
      </c>
      <c r="G650" s="4" t="str">
        <v>-0.54%</v>
      </c>
      <c r="H650" s="3">
        <v>44413</v>
      </c>
      <c r="I650" s="4">
        <v>586.15</v>
      </c>
      <c r="O650" s="4">
        <v>887</v>
      </c>
    </row>
    <row r="651" spans="1:15" x14ac:dyDescent="0.25">
      <c r="A651" s="3">
        <v>44412</v>
      </c>
      <c r="B651" s="4">
        <v>587.75</v>
      </c>
      <c r="C651" s="4">
        <v>590</v>
      </c>
      <c r="D651" s="4">
        <v>596.70000000000005</v>
      </c>
      <c r="E651" s="4">
        <v>585.35</v>
      </c>
      <c r="F651" s="4" t="str">
        <v>1.55M</v>
      </c>
      <c r="G651" s="4" t="str">
        <v>-0.71%</v>
      </c>
      <c r="H651" s="3">
        <v>44412</v>
      </c>
      <c r="I651" s="4">
        <v>591.02500000000009</v>
      </c>
      <c r="O651" s="4">
        <v>886</v>
      </c>
    </row>
    <row r="652" spans="1:15" x14ac:dyDescent="0.25">
      <c r="A652" s="3">
        <v>44411</v>
      </c>
      <c r="B652" s="4">
        <v>591.95000000000005</v>
      </c>
      <c r="C652" s="4">
        <v>592</v>
      </c>
      <c r="D652" s="4">
        <v>596.79999999999995</v>
      </c>
      <c r="E652" s="4">
        <v>589</v>
      </c>
      <c r="F652" s="4" t="str">
        <v>2.10M</v>
      </c>
      <c r="G652" s="4" t="str">
        <v>0.02%</v>
      </c>
      <c r="H652" s="3">
        <v>44411</v>
      </c>
      <c r="I652" s="4">
        <v>592.9</v>
      </c>
      <c r="O652" s="4">
        <v>885</v>
      </c>
    </row>
    <row r="653" spans="1:15" x14ac:dyDescent="0.25">
      <c r="A653" s="3">
        <v>44410</v>
      </c>
      <c r="B653" s="4">
        <v>591.85</v>
      </c>
      <c r="C653" s="4">
        <v>590</v>
      </c>
      <c r="D653" s="4">
        <v>593.75</v>
      </c>
      <c r="E653" s="4">
        <v>584.75</v>
      </c>
      <c r="F653" s="4" t="str">
        <v>1.31M</v>
      </c>
      <c r="G653" s="4" t="str">
        <v>0.98%</v>
      </c>
      <c r="H653" s="3">
        <v>44410</v>
      </c>
      <c r="I653" s="4">
        <v>589.25</v>
      </c>
      <c r="O653" s="4">
        <v>884</v>
      </c>
    </row>
    <row r="654" spans="1:15" x14ac:dyDescent="0.25">
      <c r="A654" s="3">
        <v>44407</v>
      </c>
      <c r="B654" s="4">
        <v>586.1</v>
      </c>
      <c r="C654" s="4">
        <v>573</v>
      </c>
      <c r="D654" s="4">
        <v>594.5</v>
      </c>
      <c r="E654" s="4">
        <v>572.5</v>
      </c>
      <c r="F654" s="4" t="str">
        <v>3.19M</v>
      </c>
      <c r="G654" s="4" t="str">
        <v>2.47%</v>
      </c>
      <c r="H654" s="3">
        <v>44407</v>
      </c>
      <c r="I654" s="4">
        <v>583.5</v>
      </c>
      <c r="O654" s="4">
        <v>883</v>
      </c>
    </row>
    <row r="655" spans="1:15" x14ac:dyDescent="0.25">
      <c r="A655" s="3">
        <v>44406</v>
      </c>
      <c r="B655" s="4">
        <v>572</v>
      </c>
      <c r="C655" s="4">
        <v>578.9</v>
      </c>
      <c r="D655" s="4">
        <v>582.79999999999995</v>
      </c>
      <c r="E655" s="4">
        <v>570.45000000000005</v>
      </c>
      <c r="F655" s="4" t="str">
        <v>2.45M</v>
      </c>
      <c r="G655" s="4" t="str">
        <v>-0.93%</v>
      </c>
      <c r="H655" s="3">
        <v>44406</v>
      </c>
      <c r="I655" s="4">
        <v>576.625</v>
      </c>
      <c r="O655" s="4">
        <v>882</v>
      </c>
    </row>
    <row r="656" spans="1:15" x14ac:dyDescent="0.25">
      <c r="A656" s="3">
        <v>44405</v>
      </c>
      <c r="B656" s="4">
        <v>577.35</v>
      </c>
      <c r="C656" s="4">
        <v>595</v>
      </c>
      <c r="D656" s="4">
        <v>597.65</v>
      </c>
      <c r="E656" s="4">
        <v>572.85</v>
      </c>
      <c r="F656" s="4" t="str">
        <v>4.69M</v>
      </c>
      <c r="G656" s="4" t="str">
        <v>-3.57%</v>
      </c>
      <c r="H656" s="3">
        <v>44405</v>
      </c>
      <c r="I656" s="4">
        <v>585.25</v>
      </c>
      <c r="O656" s="4">
        <v>881</v>
      </c>
    </row>
    <row r="657" spans="1:15" x14ac:dyDescent="0.25">
      <c r="A657" s="3">
        <v>44404</v>
      </c>
      <c r="B657" s="4">
        <v>598.75</v>
      </c>
      <c r="C657" s="4">
        <v>615</v>
      </c>
      <c r="D657" s="4">
        <v>622</v>
      </c>
      <c r="E657" s="4">
        <v>591</v>
      </c>
      <c r="F657" s="4" t="str">
        <v>6.21M</v>
      </c>
      <c r="G657" s="4" t="str">
        <v>-1.12%</v>
      </c>
      <c r="H657" s="3">
        <v>44404</v>
      </c>
      <c r="I657" s="4">
        <v>606.5</v>
      </c>
      <c r="O657" s="4">
        <v>880</v>
      </c>
    </row>
    <row r="658" spans="1:15" x14ac:dyDescent="0.25">
      <c r="A658" s="3">
        <v>44403</v>
      </c>
      <c r="B658" s="4">
        <v>605.54999999999995</v>
      </c>
      <c r="C658" s="4">
        <v>615.79999999999995</v>
      </c>
      <c r="D658" s="4">
        <v>615.79999999999995</v>
      </c>
      <c r="E658" s="4">
        <v>603.5</v>
      </c>
      <c r="F658" s="4" t="str">
        <v>3.38M</v>
      </c>
      <c r="G658" s="4" t="str">
        <v>-1.58%</v>
      </c>
      <c r="H658" s="3">
        <v>44403</v>
      </c>
      <c r="I658" s="4">
        <v>609.65</v>
      </c>
      <c r="O658" s="4">
        <v>879</v>
      </c>
    </row>
    <row r="659" spans="1:15" x14ac:dyDescent="0.25">
      <c r="A659" s="3">
        <v>44400</v>
      </c>
      <c r="B659" s="4">
        <v>615.25</v>
      </c>
      <c r="C659" s="4">
        <v>621.4</v>
      </c>
      <c r="D659" s="4">
        <v>622.5</v>
      </c>
      <c r="E659" s="4">
        <v>612</v>
      </c>
      <c r="F659" s="4" t="str">
        <v>2.18M</v>
      </c>
      <c r="G659" s="4" t="str">
        <v>-0.80%</v>
      </c>
      <c r="H659" s="3">
        <v>44400</v>
      </c>
      <c r="I659" s="4">
        <v>617.25</v>
      </c>
      <c r="O659" s="4">
        <v>878</v>
      </c>
    </row>
    <row r="660" spans="1:15" x14ac:dyDescent="0.25">
      <c r="A660" s="3">
        <v>44399</v>
      </c>
      <c r="B660" s="4">
        <v>620.20000000000005</v>
      </c>
      <c r="C660" s="4">
        <v>625.75</v>
      </c>
      <c r="D660" s="4">
        <v>630.85</v>
      </c>
      <c r="E660" s="4">
        <v>616.35</v>
      </c>
      <c r="F660" s="4" t="str">
        <v>2.71M</v>
      </c>
      <c r="G660" s="4" t="str">
        <v>-0.37%</v>
      </c>
      <c r="H660" s="3">
        <v>44399</v>
      </c>
      <c r="I660" s="4">
        <v>623.6</v>
      </c>
      <c r="O660" s="4">
        <v>877</v>
      </c>
    </row>
    <row r="661" spans="1:15" x14ac:dyDescent="0.25">
      <c r="A661" s="3">
        <v>44397</v>
      </c>
      <c r="B661" s="4">
        <v>622.5</v>
      </c>
      <c r="C661" s="4">
        <v>638.9</v>
      </c>
      <c r="D661" s="4">
        <v>638.9</v>
      </c>
      <c r="E661" s="4">
        <v>615</v>
      </c>
      <c r="F661" s="4" t="str">
        <v>3.63M</v>
      </c>
      <c r="G661" s="4" t="str">
        <v>-2.66%</v>
      </c>
      <c r="H661" s="3">
        <v>44397</v>
      </c>
      <c r="I661" s="4">
        <v>626.95000000000005</v>
      </c>
      <c r="O661" s="4">
        <v>876</v>
      </c>
    </row>
    <row r="662" spans="1:15" x14ac:dyDescent="0.25">
      <c r="A662" s="3">
        <v>44396</v>
      </c>
      <c r="B662" s="4">
        <v>639.5</v>
      </c>
      <c r="C662" s="4">
        <v>643.85</v>
      </c>
      <c r="D662" s="4">
        <v>650.9</v>
      </c>
      <c r="E662" s="4">
        <v>637</v>
      </c>
      <c r="F662" s="4" t="str">
        <v>3.67M</v>
      </c>
      <c r="G662" s="4" t="str">
        <v>-0.68%</v>
      </c>
      <c r="H662" s="3">
        <v>44396</v>
      </c>
      <c r="I662" s="4">
        <v>643.95000000000005</v>
      </c>
      <c r="O662" s="4">
        <v>875</v>
      </c>
    </row>
    <row r="663" spans="1:15" x14ac:dyDescent="0.25">
      <c r="A663" s="3">
        <v>44393</v>
      </c>
      <c r="B663" s="4">
        <v>643.85</v>
      </c>
      <c r="C663" s="4">
        <v>639.79999999999995</v>
      </c>
      <c r="D663" s="4">
        <v>645.9</v>
      </c>
      <c r="E663" s="4">
        <v>638.75</v>
      </c>
      <c r="F663" s="4" t="str">
        <v>1.97M</v>
      </c>
      <c r="G663" s="4" t="str">
        <v>0.57%</v>
      </c>
      <c r="H663" s="3">
        <v>44393</v>
      </c>
      <c r="I663" s="4">
        <v>642.32500000000005</v>
      </c>
      <c r="O663" s="4">
        <v>874</v>
      </c>
    </row>
    <row r="664" spans="1:15" x14ac:dyDescent="0.25">
      <c r="A664" s="3">
        <v>44392</v>
      </c>
      <c r="B664" s="4">
        <v>640.20000000000005</v>
      </c>
      <c r="C664" s="4">
        <v>643.4</v>
      </c>
      <c r="D664" s="4">
        <v>645.5</v>
      </c>
      <c r="E664" s="4">
        <v>636</v>
      </c>
      <c r="F664" s="4" t="str">
        <v>1.99M</v>
      </c>
      <c r="G664" s="4" t="str">
        <v>-0.50%</v>
      </c>
      <c r="H664" s="3">
        <v>44392</v>
      </c>
      <c r="I664" s="4">
        <v>640.75</v>
      </c>
      <c r="O664" s="4">
        <v>873</v>
      </c>
    </row>
    <row r="665" spans="1:15" x14ac:dyDescent="0.25">
      <c r="A665" s="3">
        <v>44391</v>
      </c>
      <c r="B665" s="4">
        <v>643.4</v>
      </c>
      <c r="C665" s="4">
        <v>645</v>
      </c>
      <c r="D665" s="4">
        <v>650.29999999999995</v>
      </c>
      <c r="E665" s="4">
        <v>642</v>
      </c>
      <c r="F665" s="4" t="str">
        <v>2.61M</v>
      </c>
      <c r="G665" s="4" t="str">
        <v>-0.34%</v>
      </c>
      <c r="H665" s="3">
        <v>44391</v>
      </c>
      <c r="I665" s="4">
        <v>646.15</v>
      </c>
      <c r="O665" s="4">
        <v>872</v>
      </c>
    </row>
    <row r="666" spans="1:15" x14ac:dyDescent="0.25">
      <c r="A666" s="3">
        <v>44390</v>
      </c>
      <c r="B666" s="4">
        <v>645.6</v>
      </c>
      <c r="C666" s="4">
        <v>648.75</v>
      </c>
      <c r="D666" s="4">
        <v>651.9</v>
      </c>
      <c r="E666" s="4">
        <v>641</v>
      </c>
      <c r="F666" s="4" t="str">
        <v>2.99M</v>
      </c>
      <c r="G666" s="4" t="str">
        <v>0.08%</v>
      </c>
      <c r="H666" s="3">
        <v>44390</v>
      </c>
      <c r="I666" s="4">
        <v>646.45000000000005</v>
      </c>
      <c r="O666" s="4">
        <v>871</v>
      </c>
    </row>
    <row r="667" spans="1:15" x14ac:dyDescent="0.25">
      <c r="A667" s="3">
        <v>44389</v>
      </c>
      <c r="B667" s="4">
        <v>645.1</v>
      </c>
      <c r="C667" s="4">
        <v>642.5</v>
      </c>
      <c r="D667" s="4">
        <v>647.9</v>
      </c>
      <c r="E667" s="4">
        <v>638.6</v>
      </c>
      <c r="F667" s="4" t="str">
        <v>3.10M</v>
      </c>
      <c r="G667" s="4" t="str">
        <v>0.72%</v>
      </c>
      <c r="H667" s="3">
        <v>44389</v>
      </c>
      <c r="I667" s="4">
        <v>643.25</v>
      </c>
      <c r="O667" s="4">
        <v>870</v>
      </c>
    </row>
    <row r="668" spans="1:15" x14ac:dyDescent="0.25">
      <c r="A668" s="3">
        <v>44386</v>
      </c>
      <c r="B668" s="4">
        <v>640.5</v>
      </c>
      <c r="C668" s="4">
        <v>630.04999999999995</v>
      </c>
      <c r="D668" s="4">
        <v>643.15</v>
      </c>
      <c r="E668" s="4">
        <v>629.15</v>
      </c>
      <c r="F668" s="4" t="str">
        <v>1.98M</v>
      </c>
      <c r="G668" s="4" t="str">
        <v>1.24%</v>
      </c>
      <c r="H668" s="3">
        <v>44386</v>
      </c>
      <c r="I668" s="4">
        <v>636.15</v>
      </c>
      <c r="O668" s="4">
        <v>869</v>
      </c>
    </row>
    <row r="669" spans="1:15" x14ac:dyDescent="0.25">
      <c r="A669" s="3">
        <v>44385</v>
      </c>
      <c r="B669" s="4">
        <v>632.65</v>
      </c>
      <c r="C669" s="4">
        <v>638</v>
      </c>
      <c r="D669" s="4">
        <v>641</v>
      </c>
      <c r="E669" s="4">
        <v>628.20000000000005</v>
      </c>
      <c r="F669" s="4" t="str">
        <v>2.45M</v>
      </c>
      <c r="G669" s="4" t="str">
        <v>-0.85%</v>
      </c>
      <c r="H669" s="3">
        <v>44385</v>
      </c>
      <c r="I669" s="4">
        <v>634.6</v>
      </c>
      <c r="O669" s="4">
        <v>868</v>
      </c>
    </row>
    <row r="670" spans="1:15" x14ac:dyDescent="0.25">
      <c r="A670" s="3">
        <v>44384</v>
      </c>
      <c r="B670" s="4">
        <v>638.1</v>
      </c>
      <c r="C670" s="4">
        <v>637</v>
      </c>
      <c r="D670" s="4">
        <v>639.54999999999995</v>
      </c>
      <c r="E670" s="4">
        <v>630.54999999999995</v>
      </c>
      <c r="F670" s="4" t="str">
        <v>1.94M</v>
      </c>
      <c r="G670" s="4" t="str">
        <v>0.10%</v>
      </c>
      <c r="H670" s="3">
        <v>44384</v>
      </c>
      <c r="I670" s="4">
        <v>635.04999999999995</v>
      </c>
      <c r="O670" s="4">
        <v>867</v>
      </c>
    </row>
    <row r="671" spans="1:15" x14ac:dyDescent="0.25">
      <c r="A671" s="3">
        <v>44383</v>
      </c>
      <c r="B671" s="4">
        <v>637.45000000000005</v>
      </c>
      <c r="C671" s="4">
        <v>645.75</v>
      </c>
      <c r="D671" s="4">
        <v>646.9</v>
      </c>
      <c r="E671" s="4">
        <v>635</v>
      </c>
      <c r="F671" s="4" t="str">
        <v>1.89M</v>
      </c>
      <c r="G671" s="4" t="str">
        <v>-1.01%</v>
      </c>
      <c r="H671" s="3">
        <v>44383</v>
      </c>
      <c r="I671" s="4">
        <v>640.95000000000005</v>
      </c>
      <c r="O671" s="4">
        <v>866</v>
      </c>
    </row>
    <row r="672" spans="1:15" x14ac:dyDescent="0.25">
      <c r="A672" s="3">
        <v>44382</v>
      </c>
      <c r="B672" s="4">
        <v>643.95000000000005</v>
      </c>
      <c r="C672" s="4">
        <v>643</v>
      </c>
      <c r="D672" s="4">
        <v>646.20000000000005</v>
      </c>
      <c r="E672" s="4">
        <v>638.4</v>
      </c>
      <c r="F672" s="4" t="str">
        <v>2.47M</v>
      </c>
      <c r="G672" s="4" t="str">
        <v>0.72%</v>
      </c>
      <c r="H672" s="3">
        <v>44382</v>
      </c>
      <c r="I672" s="4">
        <v>642.29999999999995</v>
      </c>
      <c r="O672" s="4">
        <v>865</v>
      </c>
    </row>
    <row r="673" spans="1:15" x14ac:dyDescent="0.25">
      <c r="A673" s="3">
        <v>44379</v>
      </c>
      <c r="B673" s="4">
        <v>639.35</v>
      </c>
      <c r="C673" s="4">
        <v>643.75</v>
      </c>
      <c r="D673" s="4">
        <v>644.29999999999995</v>
      </c>
      <c r="E673" s="4">
        <v>636.79999999999995</v>
      </c>
      <c r="F673" s="4" t="str">
        <v>3.04M</v>
      </c>
      <c r="G673" s="4" t="str">
        <v>0.02%</v>
      </c>
      <c r="H673" s="3">
        <v>44379</v>
      </c>
      <c r="I673" s="4">
        <v>640.54999999999995</v>
      </c>
      <c r="O673" s="4">
        <v>864</v>
      </c>
    </row>
    <row r="674" spans="1:15" x14ac:dyDescent="0.25">
      <c r="A674" s="3">
        <v>44378</v>
      </c>
      <c r="B674" s="4">
        <v>639.20000000000005</v>
      </c>
      <c r="C674" s="4">
        <v>649.1</v>
      </c>
      <c r="D674" s="4">
        <v>649.1</v>
      </c>
      <c r="E674" s="4">
        <v>633.15</v>
      </c>
      <c r="F674" s="4" t="str">
        <v>5.47M</v>
      </c>
      <c r="G674" s="4" t="str">
        <v>-0.93%</v>
      </c>
      <c r="H674" s="3">
        <v>44378</v>
      </c>
      <c r="I674" s="4">
        <v>641.125</v>
      </c>
      <c r="O674" s="4">
        <v>863</v>
      </c>
    </row>
    <row r="675" spans="1:15" x14ac:dyDescent="0.25">
      <c r="A675" s="3">
        <v>44377</v>
      </c>
      <c r="B675" s="4">
        <v>645.20000000000005</v>
      </c>
      <c r="C675" s="4">
        <v>643.4</v>
      </c>
      <c r="D675" s="4">
        <v>650</v>
      </c>
      <c r="E675" s="4">
        <v>639</v>
      </c>
      <c r="F675" s="4" t="str">
        <v>2.91M</v>
      </c>
      <c r="G675" s="4" t="str">
        <v>0.71%</v>
      </c>
      <c r="H675" s="3">
        <v>44377</v>
      </c>
      <c r="I675" s="4">
        <v>644.5</v>
      </c>
      <c r="O675" s="4">
        <v>862</v>
      </c>
    </row>
    <row r="676" spans="1:15" x14ac:dyDescent="0.25">
      <c r="A676" s="3">
        <v>44376</v>
      </c>
      <c r="B676" s="4">
        <v>640.65</v>
      </c>
      <c r="C676" s="4">
        <v>644.95000000000005</v>
      </c>
      <c r="D676" s="4">
        <v>648.9</v>
      </c>
      <c r="E676" s="4">
        <v>633.29999999999995</v>
      </c>
      <c r="F676" s="4" t="str">
        <v>5.90M</v>
      </c>
      <c r="G676" s="4" t="str">
        <v>-0.29%</v>
      </c>
      <c r="H676" s="3">
        <v>44376</v>
      </c>
      <c r="I676" s="4">
        <v>641.09999999999991</v>
      </c>
      <c r="O676" s="4">
        <v>861</v>
      </c>
    </row>
    <row r="677" spans="1:15" x14ac:dyDescent="0.25">
      <c r="A677" s="3">
        <v>44375</v>
      </c>
      <c r="B677" s="4">
        <v>642.5</v>
      </c>
      <c r="C677" s="4">
        <v>631.95000000000005</v>
      </c>
      <c r="D677" s="4">
        <v>644.25</v>
      </c>
      <c r="E677" s="4">
        <v>626.6</v>
      </c>
      <c r="F677" s="4" t="str">
        <v>4.97M</v>
      </c>
      <c r="G677" s="4" t="str">
        <v>2.96%</v>
      </c>
      <c r="H677" s="3">
        <v>44375</v>
      </c>
      <c r="I677" s="4">
        <v>635.42499999999995</v>
      </c>
      <c r="O677" s="4">
        <v>860</v>
      </c>
    </row>
    <row r="678" spans="1:15" x14ac:dyDescent="0.25">
      <c r="A678" s="3">
        <v>44372</v>
      </c>
      <c r="B678" s="4">
        <v>624</v>
      </c>
      <c r="C678" s="4">
        <v>617.95000000000005</v>
      </c>
      <c r="D678" s="4">
        <v>633</v>
      </c>
      <c r="E678" s="4">
        <v>616.5</v>
      </c>
      <c r="F678" s="4" t="str">
        <v>3.10M</v>
      </c>
      <c r="G678" s="4" t="str">
        <v>0.97%</v>
      </c>
      <c r="H678" s="3">
        <v>44372</v>
      </c>
      <c r="I678" s="4">
        <v>624.75</v>
      </c>
      <c r="O678" s="4">
        <v>859</v>
      </c>
    </row>
    <row r="679" spans="1:15" x14ac:dyDescent="0.25">
      <c r="A679" s="3">
        <v>44371</v>
      </c>
      <c r="B679" s="4">
        <v>618</v>
      </c>
      <c r="C679" s="4">
        <v>623.79999999999995</v>
      </c>
      <c r="D679" s="4">
        <v>624.4</v>
      </c>
      <c r="E679" s="4">
        <v>615.1</v>
      </c>
      <c r="F679" s="4" t="str">
        <v>2.68M</v>
      </c>
      <c r="G679" s="4" t="str">
        <v>-0.89%</v>
      </c>
      <c r="H679" s="3">
        <v>44371</v>
      </c>
      <c r="I679" s="4">
        <v>619.75</v>
      </c>
      <c r="O679" s="4">
        <v>858</v>
      </c>
    </row>
    <row r="680" spans="1:15" x14ac:dyDescent="0.25">
      <c r="A680" s="3">
        <v>44370</v>
      </c>
      <c r="B680" s="4">
        <v>623.54999999999995</v>
      </c>
      <c r="C680" s="4">
        <v>632.70000000000005</v>
      </c>
      <c r="D680" s="4">
        <v>633.20000000000005</v>
      </c>
      <c r="E680" s="4">
        <v>621.4</v>
      </c>
      <c r="F680" s="4" t="str">
        <v>3.04M</v>
      </c>
      <c r="G680" s="4" t="str">
        <v>-1.03%</v>
      </c>
      <c r="H680" s="3">
        <v>44370</v>
      </c>
      <c r="I680" s="4">
        <v>627.29999999999995</v>
      </c>
      <c r="O680" s="4">
        <v>857</v>
      </c>
    </row>
    <row r="681" spans="1:15" x14ac:dyDescent="0.25">
      <c r="A681" s="3">
        <v>44369</v>
      </c>
      <c r="B681" s="4">
        <v>630.04999999999995</v>
      </c>
      <c r="C681" s="4">
        <v>635</v>
      </c>
      <c r="D681" s="4">
        <v>635.5</v>
      </c>
      <c r="E681" s="4">
        <v>626.5</v>
      </c>
      <c r="F681" s="4" t="str">
        <v>2.87M</v>
      </c>
      <c r="G681" s="4" t="str">
        <v>0.08%</v>
      </c>
      <c r="H681" s="3">
        <v>44369</v>
      </c>
      <c r="I681" s="4">
        <v>631</v>
      </c>
      <c r="O681" s="4">
        <v>856</v>
      </c>
    </row>
    <row r="682" spans="1:15" x14ac:dyDescent="0.25">
      <c r="A682" s="3">
        <v>44368</v>
      </c>
      <c r="B682" s="4">
        <v>629.54999999999995</v>
      </c>
      <c r="C682" s="4">
        <v>620</v>
      </c>
      <c r="D682" s="4">
        <v>631</v>
      </c>
      <c r="E682" s="4">
        <v>613.29999999999995</v>
      </c>
      <c r="F682" s="4" t="str">
        <v>3.53M</v>
      </c>
      <c r="G682" s="4" t="str">
        <v>1.47%</v>
      </c>
      <c r="H682" s="3">
        <v>44368</v>
      </c>
      <c r="I682" s="4">
        <v>622.15</v>
      </c>
      <c r="O682" s="4">
        <v>855</v>
      </c>
    </row>
    <row r="683" spans="1:15" x14ac:dyDescent="0.25">
      <c r="A683" s="3">
        <v>44365</v>
      </c>
      <c r="B683" s="4">
        <v>620.4</v>
      </c>
      <c r="C683" s="4">
        <v>623.79999999999995</v>
      </c>
      <c r="D683" s="4">
        <v>626.20000000000005</v>
      </c>
      <c r="E683" s="4">
        <v>603.6</v>
      </c>
      <c r="F683" s="4" t="str">
        <v>5.22M</v>
      </c>
      <c r="G683" s="4" t="str">
        <v>0.02%</v>
      </c>
      <c r="H683" s="3">
        <v>44365</v>
      </c>
      <c r="I683" s="4">
        <v>614.90000000000009</v>
      </c>
      <c r="O683" s="4">
        <v>854</v>
      </c>
    </row>
    <row r="684" spans="1:15" x14ac:dyDescent="0.25">
      <c r="A684" s="3">
        <v>44364</v>
      </c>
      <c r="B684" s="4">
        <v>620.25</v>
      </c>
      <c r="C684" s="4">
        <v>624</v>
      </c>
      <c r="D684" s="4">
        <v>633.6</v>
      </c>
      <c r="E684" s="4">
        <v>617.1</v>
      </c>
      <c r="F684" s="4" t="str">
        <v>6.53M</v>
      </c>
      <c r="G684" s="4" t="str">
        <v>-1.57%</v>
      </c>
      <c r="H684" s="3">
        <v>44364</v>
      </c>
      <c r="I684" s="4">
        <v>625.35</v>
      </c>
      <c r="O684" s="4">
        <v>853</v>
      </c>
    </row>
    <row r="685" spans="1:15" x14ac:dyDescent="0.25">
      <c r="A685" s="3">
        <v>44363</v>
      </c>
      <c r="B685" s="4">
        <v>630.15</v>
      </c>
      <c r="C685" s="4">
        <v>644.6</v>
      </c>
      <c r="D685" s="4">
        <v>647.9</v>
      </c>
      <c r="E685" s="4">
        <v>628.1</v>
      </c>
      <c r="F685" s="4" t="str">
        <v>5.46M</v>
      </c>
      <c r="G685" s="4" t="str">
        <v>-2.45%</v>
      </c>
      <c r="H685" s="3">
        <v>44363</v>
      </c>
      <c r="I685" s="4">
        <v>638</v>
      </c>
      <c r="O685" s="4">
        <v>852</v>
      </c>
    </row>
    <row r="686" spans="1:15" x14ac:dyDescent="0.25">
      <c r="A686" s="3">
        <v>44362</v>
      </c>
      <c r="B686" s="4">
        <v>646</v>
      </c>
      <c r="C686" s="4">
        <v>655.1</v>
      </c>
      <c r="D686" s="4">
        <v>657.9</v>
      </c>
      <c r="E686" s="4">
        <v>644</v>
      </c>
      <c r="F686" s="4" t="str">
        <v>2.93M</v>
      </c>
      <c r="G686" s="4" t="str">
        <v>-1.43%</v>
      </c>
      <c r="H686" s="3">
        <v>44362</v>
      </c>
      <c r="I686" s="4">
        <v>650.95000000000005</v>
      </c>
      <c r="O686" s="4">
        <v>851</v>
      </c>
    </row>
    <row r="687" spans="1:15" x14ac:dyDescent="0.25">
      <c r="A687" s="3">
        <v>44361</v>
      </c>
      <c r="B687" s="4">
        <v>655.4</v>
      </c>
      <c r="C687" s="4">
        <v>668.5</v>
      </c>
      <c r="D687" s="4">
        <v>668.55</v>
      </c>
      <c r="E687" s="4">
        <v>639.15</v>
      </c>
      <c r="F687" s="4" t="str">
        <v>4.14M</v>
      </c>
      <c r="G687" s="4" t="str">
        <v>-1.44%</v>
      </c>
      <c r="H687" s="3">
        <v>44361</v>
      </c>
      <c r="I687" s="4">
        <v>653.84999999999991</v>
      </c>
      <c r="O687" s="4">
        <v>850</v>
      </c>
    </row>
    <row r="688" spans="1:15" x14ac:dyDescent="0.25">
      <c r="A688" s="3">
        <v>44358</v>
      </c>
      <c r="B688" s="4">
        <v>664.95</v>
      </c>
      <c r="C688" s="4">
        <v>655</v>
      </c>
      <c r="D688" s="4">
        <v>668.9</v>
      </c>
      <c r="E688" s="4">
        <v>650.95000000000005</v>
      </c>
      <c r="F688" s="4" t="str">
        <v>8.81M</v>
      </c>
      <c r="G688" s="4" t="str">
        <v>2.20%</v>
      </c>
      <c r="H688" s="3">
        <v>44358</v>
      </c>
      <c r="I688" s="4">
        <v>659.92499999999995</v>
      </c>
      <c r="O688" s="4">
        <v>849</v>
      </c>
    </row>
    <row r="689" spans="1:15" x14ac:dyDescent="0.25">
      <c r="A689" s="3">
        <v>44357</v>
      </c>
      <c r="B689" s="4">
        <v>650.65</v>
      </c>
      <c r="C689" s="4">
        <v>637</v>
      </c>
      <c r="D689" s="4">
        <v>657.7</v>
      </c>
      <c r="E689" s="4">
        <v>636.1</v>
      </c>
      <c r="F689" s="4" t="str">
        <v>8.60M</v>
      </c>
      <c r="G689" s="4" t="str">
        <v>2.26%</v>
      </c>
      <c r="H689" s="3">
        <v>44357</v>
      </c>
      <c r="I689" s="4">
        <v>646.90000000000009</v>
      </c>
      <c r="O689" s="4">
        <v>848</v>
      </c>
    </row>
    <row r="690" spans="1:15" x14ac:dyDescent="0.25">
      <c r="A690" s="3">
        <v>44356</v>
      </c>
      <c r="B690" s="4">
        <v>636.25</v>
      </c>
      <c r="C690" s="4">
        <v>635.4</v>
      </c>
      <c r="D690" s="4">
        <v>649.95000000000005</v>
      </c>
      <c r="E690" s="4">
        <v>630</v>
      </c>
      <c r="F690" s="4" t="str">
        <v>6.84M</v>
      </c>
      <c r="G690" s="4" t="str">
        <v>0.35%</v>
      </c>
      <c r="H690" s="3">
        <v>44356</v>
      </c>
      <c r="I690" s="4">
        <v>639.97500000000002</v>
      </c>
      <c r="O690" s="4">
        <v>847</v>
      </c>
    </row>
    <row r="691" spans="1:15" x14ac:dyDescent="0.25">
      <c r="A691" s="3">
        <v>44355</v>
      </c>
      <c r="B691" s="4">
        <v>634</v>
      </c>
      <c r="C691" s="4">
        <v>635</v>
      </c>
      <c r="D691" s="4">
        <v>639.4</v>
      </c>
      <c r="E691" s="4">
        <v>610.5</v>
      </c>
      <c r="F691" s="4" t="str">
        <v>6.67M</v>
      </c>
      <c r="G691" s="4" t="str">
        <v>-0.34%</v>
      </c>
      <c r="H691" s="3">
        <v>44355</v>
      </c>
      <c r="I691" s="4">
        <v>624.95000000000005</v>
      </c>
      <c r="O691" s="4">
        <v>846</v>
      </c>
    </row>
    <row r="692" spans="1:15" x14ac:dyDescent="0.25">
      <c r="A692" s="3">
        <v>44354</v>
      </c>
      <c r="B692" s="4">
        <v>636.15</v>
      </c>
      <c r="C692" s="4">
        <v>639.95000000000005</v>
      </c>
      <c r="D692" s="4">
        <v>641.5</v>
      </c>
      <c r="E692" s="4">
        <v>634.20000000000005</v>
      </c>
      <c r="F692" s="4" t="str">
        <v>3.26M</v>
      </c>
      <c r="G692" s="4" t="str">
        <v>-0.05%</v>
      </c>
      <c r="H692" s="3">
        <v>44354</v>
      </c>
      <c r="I692" s="4">
        <v>637.85</v>
      </c>
      <c r="O692" s="4">
        <v>845</v>
      </c>
    </row>
    <row r="693" spans="1:15" x14ac:dyDescent="0.25">
      <c r="A693" s="3">
        <v>44351</v>
      </c>
      <c r="B693" s="4">
        <v>636.5</v>
      </c>
      <c r="C693" s="4">
        <v>634.29999999999995</v>
      </c>
      <c r="D693" s="4">
        <v>644.79999999999995</v>
      </c>
      <c r="E693" s="4">
        <v>632.35</v>
      </c>
      <c r="F693" s="4" t="str">
        <v>5.50M</v>
      </c>
      <c r="G693" s="4" t="str">
        <v>0.33%</v>
      </c>
      <c r="H693" s="3">
        <v>44351</v>
      </c>
      <c r="I693" s="4">
        <v>638.57500000000005</v>
      </c>
      <c r="O693" s="4">
        <v>844</v>
      </c>
    </row>
    <row r="694" spans="1:15" x14ac:dyDescent="0.25">
      <c r="A694" s="3">
        <v>44350</v>
      </c>
      <c r="B694" s="4">
        <v>634.4</v>
      </c>
      <c r="C694" s="4">
        <v>628.9</v>
      </c>
      <c r="D694" s="4">
        <v>641.45000000000005</v>
      </c>
      <c r="E694" s="4">
        <v>628.04999999999995</v>
      </c>
      <c r="F694" s="4" t="str">
        <v>4.52M</v>
      </c>
      <c r="G694" s="4" t="str">
        <v>1.12%</v>
      </c>
      <c r="H694" s="3">
        <v>44350</v>
      </c>
      <c r="I694" s="4">
        <v>634.75</v>
      </c>
      <c r="O694" s="4">
        <v>843</v>
      </c>
    </row>
    <row r="695" spans="1:15" x14ac:dyDescent="0.25">
      <c r="A695" s="3">
        <v>44349</v>
      </c>
      <c r="B695" s="4">
        <v>627.4</v>
      </c>
      <c r="C695" s="4">
        <v>618.70000000000005</v>
      </c>
      <c r="D695" s="4">
        <v>635.45000000000005</v>
      </c>
      <c r="E695" s="4">
        <v>616.45000000000005</v>
      </c>
      <c r="F695" s="4" t="str">
        <v>5.56M</v>
      </c>
      <c r="G695" s="4" t="str">
        <v>1.28%</v>
      </c>
      <c r="H695" s="3">
        <v>44349</v>
      </c>
      <c r="I695" s="4">
        <v>625.95000000000005</v>
      </c>
      <c r="O695" s="4">
        <v>842</v>
      </c>
    </row>
    <row r="696" spans="1:15" x14ac:dyDescent="0.25">
      <c r="A696" s="3">
        <v>44348</v>
      </c>
      <c r="B696" s="4">
        <v>619.45000000000005</v>
      </c>
      <c r="C696" s="4">
        <v>618.79999999999995</v>
      </c>
      <c r="D696" s="4">
        <v>627.65</v>
      </c>
      <c r="E696" s="4">
        <v>616.5</v>
      </c>
      <c r="F696" s="4" t="str">
        <v>3.54M</v>
      </c>
      <c r="G696" s="4" t="str">
        <v>0.19%</v>
      </c>
      <c r="H696" s="3">
        <v>44348</v>
      </c>
      <c r="I696" s="4">
        <v>622.07500000000005</v>
      </c>
      <c r="O696" s="4">
        <v>841</v>
      </c>
    </row>
    <row r="697" spans="1:15" x14ac:dyDescent="0.25">
      <c r="A697" s="3">
        <v>44347</v>
      </c>
      <c r="B697" s="4">
        <v>618.29999999999995</v>
      </c>
      <c r="C697" s="4">
        <v>620</v>
      </c>
      <c r="D697" s="4">
        <v>620</v>
      </c>
      <c r="E697" s="4">
        <v>611.54999999999995</v>
      </c>
      <c r="F697" s="4" t="str">
        <v>4.41M</v>
      </c>
      <c r="G697" s="4" t="str">
        <v>-0.48%</v>
      </c>
      <c r="H697" s="3">
        <v>44347</v>
      </c>
      <c r="I697" s="4">
        <v>615.77499999999998</v>
      </c>
      <c r="O697" s="4">
        <v>840</v>
      </c>
    </row>
    <row r="698" spans="1:15" x14ac:dyDescent="0.25">
      <c r="A698" s="3">
        <v>44344</v>
      </c>
      <c r="B698" s="4">
        <v>621.29999999999995</v>
      </c>
      <c r="C698" s="4">
        <v>626.85</v>
      </c>
      <c r="D698" s="4">
        <v>627.95000000000005</v>
      </c>
      <c r="E698" s="4">
        <v>612.5</v>
      </c>
      <c r="F698" s="4" t="str">
        <v>6.44M</v>
      </c>
      <c r="G698" s="4" t="str">
        <v>-0.89%</v>
      </c>
      <c r="H698" s="3">
        <v>44344</v>
      </c>
      <c r="I698" s="4">
        <v>620.22500000000002</v>
      </c>
      <c r="O698" s="4">
        <v>839</v>
      </c>
    </row>
    <row r="699" spans="1:15" x14ac:dyDescent="0.25">
      <c r="A699" s="3">
        <v>44343</v>
      </c>
      <c r="B699" s="4">
        <v>626.85</v>
      </c>
      <c r="C699" s="4">
        <v>632.4</v>
      </c>
      <c r="D699" s="4">
        <v>638</v>
      </c>
      <c r="E699" s="4">
        <v>621.29999999999995</v>
      </c>
      <c r="F699" s="4" t="str">
        <v>12.76M</v>
      </c>
      <c r="G699" s="4" t="str">
        <v>-0.20%</v>
      </c>
      <c r="H699" s="3">
        <v>44343</v>
      </c>
      <c r="I699" s="4">
        <v>629.65</v>
      </c>
      <c r="O699" s="4">
        <v>838</v>
      </c>
    </row>
    <row r="700" spans="1:15" x14ac:dyDescent="0.25">
      <c r="A700" s="3">
        <v>44342</v>
      </c>
      <c r="B700" s="4">
        <v>628.1</v>
      </c>
      <c r="C700" s="4">
        <v>624.79999999999995</v>
      </c>
      <c r="D700" s="4">
        <v>633</v>
      </c>
      <c r="E700" s="4">
        <v>619.75</v>
      </c>
      <c r="F700" s="4" t="str">
        <v>7.09M</v>
      </c>
      <c r="G700" s="4" t="str">
        <v>0.89%</v>
      </c>
      <c r="H700" s="3">
        <v>44342</v>
      </c>
      <c r="I700" s="4">
        <v>626.375</v>
      </c>
      <c r="O700" s="4">
        <v>837</v>
      </c>
    </row>
    <row r="701" spans="1:15" x14ac:dyDescent="0.25">
      <c r="A701" s="3">
        <v>44341</v>
      </c>
      <c r="B701" s="4">
        <v>622.54999999999995</v>
      </c>
      <c r="C701" s="4">
        <v>625.9</v>
      </c>
      <c r="D701" s="4">
        <v>627.85</v>
      </c>
      <c r="E701" s="4">
        <v>619</v>
      </c>
      <c r="F701" s="4" t="str">
        <v>3.22M</v>
      </c>
      <c r="G701" s="4" t="str">
        <v>0.21%</v>
      </c>
      <c r="H701" s="3">
        <v>44341</v>
      </c>
      <c r="I701" s="4">
        <v>623.42499999999995</v>
      </c>
      <c r="O701" s="4">
        <v>836</v>
      </c>
    </row>
    <row r="702" spans="1:15" x14ac:dyDescent="0.25">
      <c r="A702" s="3">
        <v>44340</v>
      </c>
      <c r="B702" s="4">
        <v>621.25</v>
      </c>
      <c r="C702" s="4">
        <v>620.5</v>
      </c>
      <c r="D702" s="4">
        <v>639.95000000000005</v>
      </c>
      <c r="E702" s="4">
        <v>617.5</v>
      </c>
      <c r="F702" s="4" t="str">
        <v>12.46M</v>
      </c>
      <c r="G702" s="4" t="str">
        <v>1.32%</v>
      </c>
      <c r="H702" s="3">
        <v>44340</v>
      </c>
      <c r="I702" s="4">
        <v>628.72500000000002</v>
      </c>
      <c r="O702" s="4">
        <v>835</v>
      </c>
    </row>
    <row r="703" spans="1:15" x14ac:dyDescent="0.25">
      <c r="A703" s="3">
        <v>44337</v>
      </c>
      <c r="B703" s="4">
        <v>613.15</v>
      </c>
      <c r="C703" s="4">
        <v>619</v>
      </c>
      <c r="D703" s="4">
        <v>621.70000000000005</v>
      </c>
      <c r="E703" s="4">
        <v>607.9</v>
      </c>
      <c r="F703" s="4" t="str">
        <v>4.14M</v>
      </c>
      <c r="G703" s="4" t="str">
        <v>-0.42%</v>
      </c>
      <c r="H703" s="3">
        <v>44337</v>
      </c>
      <c r="I703" s="4">
        <v>614.79999999999995</v>
      </c>
      <c r="O703" s="4">
        <v>834</v>
      </c>
    </row>
    <row r="704" spans="1:15" x14ac:dyDescent="0.25">
      <c r="A704" s="3">
        <v>44336</v>
      </c>
      <c r="B704" s="4">
        <v>615.75</v>
      </c>
      <c r="C704" s="4">
        <v>617</v>
      </c>
      <c r="D704" s="4">
        <v>626</v>
      </c>
      <c r="E704" s="4">
        <v>610.5</v>
      </c>
      <c r="F704" s="4" t="str">
        <v>5.62M</v>
      </c>
      <c r="G704" s="4" t="str">
        <v>0.13%</v>
      </c>
      <c r="H704" s="3">
        <v>44336</v>
      </c>
      <c r="I704" s="4">
        <v>618.25</v>
      </c>
      <c r="O704" s="4">
        <v>833</v>
      </c>
    </row>
    <row r="705" spans="1:15" x14ac:dyDescent="0.25">
      <c r="A705" s="3">
        <v>44335</v>
      </c>
      <c r="B705" s="4">
        <v>614.95000000000005</v>
      </c>
      <c r="C705" s="4">
        <v>607</v>
      </c>
      <c r="D705" s="4">
        <v>619.6</v>
      </c>
      <c r="E705" s="4">
        <v>606.1</v>
      </c>
      <c r="F705" s="4" t="str">
        <v>4.51M</v>
      </c>
      <c r="G705" s="4" t="str">
        <v>1.75%</v>
      </c>
      <c r="H705" s="3">
        <v>44335</v>
      </c>
      <c r="I705" s="4">
        <v>612.85</v>
      </c>
      <c r="O705" s="4">
        <v>832</v>
      </c>
    </row>
    <row r="706" spans="1:15" x14ac:dyDescent="0.25">
      <c r="A706" s="3">
        <v>44334</v>
      </c>
      <c r="B706" s="4">
        <v>604.4</v>
      </c>
      <c r="C706" s="4">
        <v>614.4</v>
      </c>
      <c r="D706" s="4">
        <v>618.5</v>
      </c>
      <c r="E706" s="4">
        <v>601.45000000000005</v>
      </c>
      <c r="F706" s="4" t="str">
        <v>5.45M</v>
      </c>
      <c r="G706" s="4" t="str">
        <v>-1.14%</v>
      </c>
      <c r="H706" s="3">
        <v>44334</v>
      </c>
      <c r="I706" s="4">
        <v>609.97500000000002</v>
      </c>
      <c r="O706" s="4">
        <v>831</v>
      </c>
    </row>
    <row r="707" spans="1:15" x14ac:dyDescent="0.25">
      <c r="A707" s="3">
        <v>44333</v>
      </c>
      <c r="B707" s="4">
        <v>611.4</v>
      </c>
      <c r="C707" s="4">
        <v>624.75</v>
      </c>
      <c r="D707" s="4">
        <v>628.4</v>
      </c>
      <c r="E707" s="4">
        <v>610</v>
      </c>
      <c r="F707" s="4" t="str">
        <v>5.76M</v>
      </c>
      <c r="G707" s="4" t="str">
        <v>-0.93%</v>
      </c>
      <c r="H707" s="3">
        <v>44333</v>
      </c>
      <c r="I707" s="4">
        <v>619.20000000000005</v>
      </c>
      <c r="O707" s="4">
        <v>830</v>
      </c>
    </row>
    <row r="708" spans="1:15" x14ac:dyDescent="0.25">
      <c r="A708" s="3">
        <v>44330</v>
      </c>
      <c r="B708" s="4">
        <v>617.15</v>
      </c>
      <c r="C708" s="4">
        <v>657</v>
      </c>
      <c r="D708" s="4">
        <v>662.65</v>
      </c>
      <c r="E708" s="4">
        <v>615</v>
      </c>
      <c r="F708" s="4" t="str">
        <v>15.93M</v>
      </c>
      <c r="G708" s="4" t="str">
        <v>-4.61%</v>
      </c>
      <c r="H708" s="3">
        <v>44330</v>
      </c>
      <c r="I708" s="4">
        <v>638.82500000000005</v>
      </c>
      <c r="O708" s="4">
        <v>829</v>
      </c>
    </row>
    <row r="709" spans="1:15" x14ac:dyDescent="0.25">
      <c r="A709" s="3">
        <v>44328</v>
      </c>
      <c r="B709" s="4">
        <v>647</v>
      </c>
      <c r="C709" s="4">
        <v>634.95000000000005</v>
      </c>
      <c r="D709" s="4">
        <v>673.7</v>
      </c>
      <c r="E709" s="4">
        <v>632.5</v>
      </c>
      <c r="F709" s="4" t="str">
        <v>29.77M</v>
      </c>
      <c r="G709" s="4" t="str">
        <v>2.72%</v>
      </c>
      <c r="H709" s="3">
        <v>44328</v>
      </c>
      <c r="I709" s="4">
        <v>653.1</v>
      </c>
      <c r="O709" s="4">
        <v>828</v>
      </c>
    </row>
    <row r="710" spans="1:15" x14ac:dyDescent="0.25">
      <c r="A710" s="3">
        <v>44327</v>
      </c>
      <c r="B710" s="4">
        <v>629.85</v>
      </c>
      <c r="C710" s="4">
        <v>626.65</v>
      </c>
      <c r="D710" s="4">
        <v>633</v>
      </c>
      <c r="E710" s="4">
        <v>622.5</v>
      </c>
      <c r="F710" s="4" t="str">
        <v>13.70M</v>
      </c>
      <c r="G710" s="4" t="str">
        <v>0.94%</v>
      </c>
      <c r="H710" s="3">
        <v>44327</v>
      </c>
      <c r="I710" s="4">
        <v>627.75</v>
      </c>
      <c r="O710" s="4">
        <v>827</v>
      </c>
    </row>
    <row r="711" spans="1:15" x14ac:dyDescent="0.25">
      <c r="A711" s="3">
        <v>44326</v>
      </c>
      <c r="B711" s="4">
        <v>624</v>
      </c>
      <c r="C711" s="4">
        <v>609.45000000000005</v>
      </c>
      <c r="D711" s="4">
        <v>630</v>
      </c>
      <c r="E711" s="4">
        <v>606</v>
      </c>
      <c r="F711" s="4" t="str">
        <v>17.65M</v>
      </c>
      <c r="G711" s="4" t="str">
        <v>3.45%</v>
      </c>
      <c r="H711" s="3">
        <v>44326</v>
      </c>
      <c r="I711" s="4">
        <v>618</v>
      </c>
      <c r="O711" s="4">
        <v>826</v>
      </c>
    </row>
    <row r="712" spans="1:15" x14ac:dyDescent="0.25">
      <c r="A712" s="3">
        <v>44323</v>
      </c>
      <c r="B712" s="4">
        <v>603.20000000000005</v>
      </c>
      <c r="C712" s="4">
        <v>603.85</v>
      </c>
      <c r="D712" s="4">
        <v>611.9</v>
      </c>
      <c r="E712" s="4">
        <v>599</v>
      </c>
      <c r="F712" s="4" t="str">
        <v>8.00M</v>
      </c>
      <c r="G712" s="4" t="str">
        <v>0.24%</v>
      </c>
      <c r="H712" s="3">
        <v>44323</v>
      </c>
      <c r="I712" s="4">
        <v>605.45000000000005</v>
      </c>
      <c r="O712" s="4">
        <v>825</v>
      </c>
    </row>
    <row r="713" spans="1:15" x14ac:dyDescent="0.25">
      <c r="A713" s="3">
        <v>44322</v>
      </c>
      <c r="B713" s="4">
        <v>601.75</v>
      </c>
      <c r="C713" s="4">
        <v>607.95000000000005</v>
      </c>
      <c r="D713" s="4">
        <v>610.85</v>
      </c>
      <c r="E713" s="4">
        <v>592.65</v>
      </c>
      <c r="F713" s="4" t="str">
        <v>11.49M</v>
      </c>
      <c r="G713" s="4" t="str">
        <v>0.01%</v>
      </c>
      <c r="H713" s="3">
        <v>44322</v>
      </c>
      <c r="I713" s="4">
        <v>601.75</v>
      </c>
      <c r="O713" s="4">
        <v>824</v>
      </c>
    </row>
    <row r="714" spans="1:15" x14ac:dyDescent="0.25">
      <c r="A714" s="3">
        <v>44321</v>
      </c>
      <c r="B714" s="4">
        <v>601.70000000000005</v>
      </c>
      <c r="C714" s="4">
        <v>571.04999999999995</v>
      </c>
      <c r="D714" s="4">
        <v>607.75</v>
      </c>
      <c r="E714" s="4">
        <v>565.5</v>
      </c>
      <c r="F714" s="4" t="str">
        <v>23.45M</v>
      </c>
      <c r="G714" s="4" t="str">
        <v>5.72%</v>
      </c>
      <c r="H714" s="3">
        <v>44321</v>
      </c>
      <c r="I714" s="4">
        <v>586.625</v>
      </c>
      <c r="O714" s="4">
        <v>823</v>
      </c>
    </row>
    <row r="715" spans="1:15" x14ac:dyDescent="0.25">
      <c r="A715" s="3">
        <v>44320</v>
      </c>
      <c r="B715" s="4">
        <v>569.15</v>
      </c>
      <c r="C715" s="4">
        <v>587</v>
      </c>
      <c r="D715" s="4">
        <v>587.95000000000005</v>
      </c>
      <c r="E715" s="4">
        <v>566.04999999999995</v>
      </c>
      <c r="F715" s="4" t="str">
        <v>6.58M</v>
      </c>
      <c r="G715" s="4" t="str">
        <v>-2.01%</v>
      </c>
      <c r="H715" s="3">
        <v>44320</v>
      </c>
      <c r="I715" s="4">
        <v>577</v>
      </c>
      <c r="O715" s="4">
        <v>822</v>
      </c>
    </row>
    <row r="716" spans="1:15" x14ac:dyDescent="0.25">
      <c r="A716" s="3">
        <v>44319</v>
      </c>
      <c r="B716" s="4">
        <v>580.79999999999995</v>
      </c>
      <c r="C716" s="4">
        <v>574.95000000000005</v>
      </c>
      <c r="D716" s="4">
        <v>584.5</v>
      </c>
      <c r="E716" s="4">
        <v>570.45000000000005</v>
      </c>
      <c r="F716" s="4" t="str">
        <v>8.63M</v>
      </c>
      <c r="G716" s="4" t="str">
        <v>1.69%</v>
      </c>
      <c r="H716" s="3">
        <v>44319</v>
      </c>
      <c r="I716" s="4">
        <v>577.47500000000002</v>
      </c>
      <c r="O716" s="4">
        <v>821</v>
      </c>
    </row>
    <row r="717" spans="1:15" x14ac:dyDescent="0.25">
      <c r="A717" s="3">
        <v>44316</v>
      </c>
      <c r="B717" s="4">
        <v>571.15</v>
      </c>
      <c r="C717" s="4">
        <v>559.79999999999995</v>
      </c>
      <c r="D717" s="4">
        <v>578.85</v>
      </c>
      <c r="E717" s="4">
        <v>558.1</v>
      </c>
      <c r="F717" s="4" t="str">
        <v>9.77M</v>
      </c>
      <c r="G717" s="4" t="str">
        <v>1.72%</v>
      </c>
      <c r="H717" s="3">
        <v>44316</v>
      </c>
      <c r="I717" s="4">
        <v>568.47500000000002</v>
      </c>
      <c r="O717" s="4">
        <v>820</v>
      </c>
    </row>
    <row r="718" spans="1:15" x14ac:dyDescent="0.25">
      <c r="A718" s="3">
        <v>44315</v>
      </c>
      <c r="B718" s="4">
        <v>561.5</v>
      </c>
      <c r="C718" s="4">
        <v>563.5</v>
      </c>
      <c r="D718" s="4">
        <v>569.9</v>
      </c>
      <c r="E718" s="4">
        <v>558.5</v>
      </c>
      <c r="F718" s="4" t="str">
        <v>8.44M</v>
      </c>
      <c r="G718" s="4" t="str">
        <v>-0.33%</v>
      </c>
      <c r="H718" s="3">
        <v>44315</v>
      </c>
      <c r="I718" s="4">
        <v>564.20000000000005</v>
      </c>
      <c r="O718" s="4">
        <v>819</v>
      </c>
    </row>
    <row r="719" spans="1:15" x14ac:dyDescent="0.25">
      <c r="A719" s="3">
        <v>44314</v>
      </c>
      <c r="B719" s="4">
        <v>563.35</v>
      </c>
      <c r="C719" s="4">
        <v>565.4</v>
      </c>
      <c r="D719" s="4">
        <v>574</v>
      </c>
      <c r="E719" s="4">
        <v>558</v>
      </c>
      <c r="F719" s="4" t="str">
        <v>9.74M</v>
      </c>
      <c r="G719" s="4" t="str">
        <v>0.10%</v>
      </c>
      <c r="H719" s="3">
        <v>44314</v>
      </c>
      <c r="I719" s="4">
        <v>566</v>
      </c>
      <c r="O719" s="4">
        <v>818</v>
      </c>
    </row>
    <row r="720" spans="1:15" x14ac:dyDescent="0.25">
      <c r="A720" s="3">
        <v>44313</v>
      </c>
      <c r="B720" s="4">
        <v>562.79999999999995</v>
      </c>
      <c r="C720" s="4">
        <v>567</v>
      </c>
      <c r="D720" s="4">
        <v>573.29999999999995</v>
      </c>
      <c r="E720" s="4">
        <v>555.5</v>
      </c>
      <c r="F720" s="4" t="str">
        <v>15.09M</v>
      </c>
      <c r="G720" s="4" t="str">
        <v>-1.19%</v>
      </c>
      <c r="H720" s="3">
        <v>44313</v>
      </c>
      <c r="I720" s="4">
        <v>564.4</v>
      </c>
      <c r="O720" s="4">
        <v>817</v>
      </c>
    </row>
    <row r="721" spans="1:15" x14ac:dyDescent="0.25">
      <c r="A721" s="3">
        <v>44312</v>
      </c>
      <c r="B721" s="4">
        <v>569.54999999999995</v>
      </c>
      <c r="C721" s="4">
        <v>605</v>
      </c>
      <c r="D721" s="4">
        <v>605</v>
      </c>
      <c r="E721" s="4">
        <v>565.1</v>
      </c>
      <c r="F721" s="4" t="str">
        <v>32.28M</v>
      </c>
      <c r="G721" s="4" t="str">
        <v>-0.24%</v>
      </c>
      <c r="H721" s="3">
        <v>44312</v>
      </c>
      <c r="I721" s="4">
        <v>585.04999999999995</v>
      </c>
      <c r="O721" s="4">
        <v>816</v>
      </c>
    </row>
    <row r="722" spans="1:15" x14ac:dyDescent="0.25">
      <c r="A722" s="3">
        <v>44309</v>
      </c>
      <c r="B722" s="4">
        <v>570.9</v>
      </c>
      <c r="C722" s="4">
        <v>554.95000000000005</v>
      </c>
      <c r="D722" s="4">
        <v>577.35</v>
      </c>
      <c r="E722" s="4">
        <v>540</v>
      </c>
      <c r="F722" s="4" t="str">
        <v>27.23M</v>
      </c>
      <c r="G722" s="4" t="str">
        <v>3.32%</v>
      </c>
      <c r="H722" s="3">
        <v>44309</v>
      </c>
      <c r="I722" s="4">
        <v>558.67499999999995</v>
      </c>
      <c r="O722" s="4">
        <v>815</v>
      </c>
    </row>
    <row r="723" spans="1:15" x14ac:dyDescent="0.25">
      <c r="A723" s="3">
        <v>44308</v>
      </c>
      <c r="B723" s="4">
        <v>552.54999999999995</v>
      </c>
      <c r="C723" s="4">
        <v>563.9</v>
      </c>
      <c r="D723" s="4">
        <v>573</v>
      </c>
      <c r="E723" s="4">
        <v>541.6</v>
      </c>
      <c r="F723" s="4" t="str">
        <v>19.22M</v>
      </c>
      <c r="G723" s="4" t="str">
        <v>-0.67%</v>
      </c>
      <c r="H723" s="3">
        <v>44308</v>
      </c>
      <c r="I723" s="4">
        <v>557.29999999999995</v>
      </c>
      <c r="O723" s="4">
        <v>814</v>
      </c>
    </row>
    <row r="724" spans="1:15" x14ac:dyDescent="0.25">
      <c r="A724" s="3">
        <v>44306</v>
      </c>
      <c r="B724" s="4">
        <v>556.25</v>
      </c>
      <c r="C724" s="4">
        <v>542</v>
      </c>
      <c r="D724" s="4">
        <v>568.9</v>
      </c>
      <c r="E724" s="4">
        <v>532.65</v>
      </c>
      <c r="F724" s="4" t="str">
        <v>28.05M</v>
      </c>
      <c r="G724" s="4" t="str">
        <v>5.52%</v>
      </c>
      <c r="H724" s="3">
        <v>44306</v>
      </c>
      <c r="I724" s="4">
        <v>550.77499999999998</v>
      </c>
      <c r="O724" s="4">
        <v>813</v>
      </c>
    </row>
    <row r="725" spans="1:15" x14ac:dyDescent="0.25">
      <c r="A725" s="3">
        <v>44305</v>
      </c>
      <c r="B725" s="4">
        <v>527.15</v>
      </c>
      <c r="C725" s="4">
        <v>535</v>
      </c>
      <c r="D725" s="4">
        <v>536.79999999999995</v>
      </c>
      <c r="E725" s="4">
        <v>513.4</v>
      </c>
      <c r="F725" s="4" t="str">
        <v>15.72M</v>
      </c>
      <c r="G725" s="4" t="str">
        <v>0.01%</v>
      </c>
      <c r="H725" s="3">
        <v>44305</v>
      </c>
      <c r="I725" s="4">
        <v>525.09999999999991</v>
      </c>
      <c r="O725" s="4">
        <v>812</v>
      </c>
    </row>
    <row r="726" spans="1:15" x14ac:dyDescent="0.25">
      <c r="A726" s="3">
        <v>44302</v>
      </c>
      <c r="B726" s="4">
        <v>527.1</v>
      </c>
      <c r="C726" s="4">
        <v>507.95</v>
      </c>
      <c r="D726" s="4">
        <v>530</v>
      </c>
      <c r="E726" s="4">
        <v>500.35</v>
      </c>
      <c r="F726" s="4" t="str">
        <v>15.43M</v>
      </c>
      <c r="G726" s="4" t="str">
        <v>4.44%</v>
      </c>
      <c r="H726" s="3">
        <v>44302</v>
      </c>
      <c r="I726" s="4">
        <v>515.17499999999995</v>
      </c>
      <c r="O726" s="4">
        <v>811</v>
      </c>
    </row>
    <row r="727" spans="1:15" x14ac:dyDescent="0.25">
      <c r="A727" s="3">
        <v>44301</v>
      </c>
      <c r="B727" s="4">
        <v>504.7</v>
      </c>
      <c r="C727" s="4">
        <v>494.95</v>
      </c>
      <c r="D727" s="4">
        <v>513</v>
      </c>
      <c r="E727" s="4">
        <v>486.2</v>
      </c>
      <c r="F727" s="4" t="str">
        <v>12.92M</v>
      </c>
      <c r="G727" s="4" t="str">
        <v>3.01%</v>
      </c>
      <c r="H727" s="3">
        <v>44301</v>
      </c>
      <c r="I727" s="4">
        <v>499.6</v>
      </c>
      <c r="O727" s="4">
        <v>810</v>
      </c>
    </row>
    <row r="728" spans="1:15" x14ac:dyDescent="0.25">
      <c r="A728" s="3">
        <v>44299</v>
      </c>
      <c r="B728" s="4">
        <v>489.95</v>
      </c>
      <c r="C728" s="4">
        <v>512</v>
      </c>
      <c r="D728" s="4">
        <v>513.29999999999995</v>
      </c>
      <c r="E728" s="4">
        <v>478.55</v>
      </c>
      <c r="F728" s="4" t="str">
        <v>9.43M</v>
      </c>
      <c r="G728" s="4" t="str">
        <v>-1.95%</v>
      </c>
      <c r="H728" s="3">
        <v>44299</v>
      </c>
      <c r="I728" s="4">
        <v>495.92499999999995</v>
      </c>
      <c r="O728" s="4">
        <v>809</v>
      </c>
    </row>
    <row r="729" spans="1:15" x14ac:dyDescent="0.25">
      <c r="A729" s="3">
        <v>44298</v>
      </c>
      <c r="B729" s="4">
        <v>499.7</v>
      </c>
      <c r="C729" s="4">
        <v>517.75</v>
      </c>
      <c r="D729" s="4">
        <v>532</v>
      </c>
      <c r="E729" s="4">
        <v>494.35</v>
      </c>
      <c r="F729" s="4" t="str">
        <v>26.88M</v>
      </c>
      <c r="G729" s="4" t="str">
        <v>-2.87%</v>
      </c>
      <c r="H729" s="3">
        <v>44298</v>
      </c>
      <c r="I729" s="4">
        <v>513.17499999999995</v>
      </c>
      <c r="O729" s="4">
        <v>808</v>
      </c>
    </row>
    <row r="730" spans="1:15" x14ac:dyDescent="0.25">
      <c r="A730" s="3">
        <v>44295</v>
      </c>
      <c r="B730" s="4">
        <v>514.45000000000005</v>
      </c>
      <c r="C730" s="4">
        <v>471.95</v>
      </c>
      <c r="D730" s="4">
        <v>517.75</v>
      </c>
      <c r="E730" s="4">
        <v>471.8</v>
      </c>
      <c r="F730" s="4" t="str">
        <v>22.86M</v>
      </c>
      <c r="G730" s="4" t="str">
        <v>9.29%</v>
      </c>
      <c r="H730" s="3">
        <v>44295</v>
      </c>
      <c r="I730" s="4">
        <v>494.77499999999998</v>
      </c>
      <c r="O730" s="4">
        <v>807</v>
      </c>
    </row>
    <row r="731" spans="1:15" x14ac:dyDescent="0.25">
      <c r="A731" s="3">
        <v>44294</v>
      </c>
      <c r="B731" s="4">
        <v>470.7</v>
      </c>
      <c r="C731" s="4">
        <v>464.95</v>
      </c>
      <c r="D731" s="4">
        <v>475.8</v>
      </c>
      <c r="E731" s="4">
        <v>462.5</v>
      </c>
      <c r="F731" s="4" t="str">
        <v>3.48M</v>
      </c>
      <c r="G731" s="4" t="str">
        <v>1.95%</v>
      </c>
      <c r="H731" s="3">
        <v>44294</v>
      </c>
      <c r="I731" s="4">
        <v>469.15</v>
      </c>
      <c r="O731" s="4">
        <v>806</v>
      </c>
    </row>
    <row r="732" spans="1:15" x14ac:dyDescent="0.25">
      <c r="A732" s="3">
        <v>44293</v>
      </c>
      <c r="B732" s="4">
        <v>461.7</v>
      </c>
      <c r="C732" s="4">
        <v>460.1</v>
      </c>
      <c r="D732" s="4">
        <v>464.7</v>
      </c>
      <c r="E732" s="4">
        <v>454.15</v>
      </c>
      <c r="F732" s="4" t="str">
        <v>3.27M</v>
      </c>
      <c r="G732" s="4" t="str">
        <v>1.14%</v>
      </c>
      <c r="H732" s="3">
        <v>44293</v>
      </c>
      <c r="I732" s="4">
        <v>459.42499999999995</v>
      </c>
      <c r="O732" s="4">
        <v>805</v>
      </c>
    </row>
    <row r="733" spans="1:15" x14ac:dyDescent="0.25">
      <c r="A733" s="3">
        <v>44292</v>
      </c>
      <c r="B733" s="4">
        <v>456.5</v>
      </c>
      <c r="C733" s="4">
        <v>442.85</v>
      </c>
      <c r="D733" s="4">
        <v>459.75</v>
      </c>
      <c r="E733" s="4">
        <v>440.8</v>
      </c>
      <c r="F733" s="4" t="str">
        <v>3.68M</v>
      </c>
      <c r="G733" s="4" t="str">
        <v>3.76%</v>
      </c>
      <c r="H733" s="3">
        <v>44292</v>
      </c>
      <c r="I733" s="4">
        <v>450.27499999999998</v>
      </c>
      <c r="O733" s="4">
        <v>804</v>
      </c>
    </row>
    <row r="734" spans="1:15" x14ac:dyDescent="0.25">
      <c r="A734" s="3">
        <v>44291</v>
      </c>
      <c r="B734" s="4">
        <v>439.95</v>
      </c>
      <c r="C734" s="4">
        <v>444.8</v>
      </c>
      <c r="D734" s="4">
        <v>449</v>
      </c>
      <c r="E734" s="4">
        <v>434.45</v>
      </c>
      <c r="F734" s="4" t="str">
        <v>2.94M</v>
      </c>
      <c r="G734" s="4" t="str">
        <v>-0.42%</v>
      </c>
      <c r="H734" s="3">
        <v>44291</v>
      </c>
      <c r="I734" s="4">
        <v>441.72500000000002</v>
      </c>
      <c r="O734" s="4">
        <v>803</v>
      </c>
    </row>
    <row r="735" spans="1:15" x14ac:dyDescent="0.25">
      <c r="A735" s="3">
        <v>44287</v>
      </c>
      <c r="B735" s="4">
        <v>441.8</v>
      </c>
      <c r="C735" s="4">
        <v>445</v>
      </c>
      <c r="D735" s="4">
        <v>447.15</v>
      </c>
      <c r="E735" s="4">
        <v>440.45</v>
      </c>
      <c r="F735" s="4" t="str">
        <v>1.27M</v>
      </c>
      <c r="G735" s="4" t="str">
        <v>0.20%</v>
      </c>
      <c r="H735" s="3">
        <v>44287</v>
      </c>
      <c r="I735" s="4">
        <v>443.79999999999995</v>
      </c>
      <c r="O735" s="4">
        <v>802</v>
      </c>
    </row>
    <row r="736" spans="1:15" x14ac:dyDescent="0.25">
      <c r="A736" s="3">
        <v>44286</v>
      </c>
      <c r="B736" s="4">
        <v>440.9</v>
      </c>
      <c r="C736" s="4">
        <v>435.1</v>
      </c>
      <c r="D736" s="4">
        <v>447.2</v>
      </c>
      <c r="E736" s="4">
        <v>432.85</v>
      </c>
      <c r="F736" s="4" t="str">
        <v>2.73M</v>
      </c>
      <c r="G736" s="4" t="str">
        <v>1.46%</v>
      </c>
      <c r="H736" s="3">
        <v>44286</v>
      </c>
      <c r="I736" s="4">
        <v>440.02499999999998</v>
      </c>
      <c r="O736" s="4">
        <v>801</v>
      </c>
    </row>
    <row r="737" spans="1:15" x14ac:dyDescent="0.25">
      <c r="A737" s="3">
        <v>44285</v>
      </c>
      <c r="B737" s="4">
        <v>434.55</v>
      </c>
      <c r="C737" s="4">
        <v>424</v>
      </c>
      <c r="D737" s="4">
        <v>436.3</v>
      </c>
      <c r="E737" s="4">
        <v>422.25</v>
      </c>
      <c r="F737" s="4" t="str">
        <v>2.00M</v>
      </c>
      <c r="G737" s="4" t="str">
        <v>3.42%</v>
      </c>
      <c r="H737" s="3">
        <v>44285</v>
      </c>
      <c r="I737" s="4">
        <v>429.27499999999998</v>
      </c>
      <c r="O737" s="4">
        <v>800</v>
      </c>
    </row>
    <row r="738" spans="1:15" x14ac:dyDescent="0.25">
      <c r="A738" s="3">
        <v>44281</v>
      </c>
      <c r="B738" s="4">
        <v>420.2</v>
      </c>
      <c r="C738" s="4">
        <v>423</v>
      </c>
      <c r="D738" s="4">
        <v>424.65</v>
      </c>
      <c r="E738" s="4">
        <v>415.2</v>
      </c>
      <c r="F738" s="4" t="str">
        <v>2.22M</v>
      </c>
      <c r="G738" s="4" t="str">
        <v>0.00%</v>
      </c>
      <c r="H738" s="3">
        <v>44281</v>
      </c>
      <c r="I738" s="4">
        <v>419.92499999999995</v>
      </c>
      <c r="O738" s="4">
        <v>799</v>
      </c>
    </row>
    <row r="739" spans="1:15" x14ac:dyDescent="0.25">
      <c r="A739" s="3">
        <v>44280</v>
      </c>
      <c r="B739" s="4">
        <v>420.2</v>
      </c>
      <c r="C739" s="4">
        <v>430</v>
      </c>
      <c r="D739" s="4">
        <v>431.6</v>
      </c>
      <c r="E739" s="4">
        <v>417.6</v>
      </c>
      <c r="F739" s="4" t="str">
        <v>2.10M</v>
      </c>
      <c r="G739" s="4" t="str">
        <v>-2.49%</v>
      </c>
      <c r="H739" s="3">
        <v>44280</v>
      </c>
      <c r="I739" s="4">
        <v>424.6</v>
      </c>
      <c r="O739" s="4">
        <v>798</v>
      </c>
    </row>
    <row r="740" spans="1:15" x14ac:dyDescent="0.25">
      <c r="A740" s="3">
        <v>44279</v>
      </c>
      <c r="B740" s="4">
        <v>430.95</v>
      </c>
      <c r="C740" s="4">
        <v>430</v>
      </c>
      <c r="D740" s="4">
        <v>436.45</v>
      </c>
      <c r="E740" s="4">
        <v>426</v>
      </c>
      <c r="F740" s="4" t="str">
        <v>2.15M</v>
      </c>
      <c r="G740" s="4" t="str">
        <v>-0.05%</v>
      </c>
      <c r="H740" s="3">
        <v>44279</v>
      </c>
      <c r="I740" s="4">
        <v>431.22500000000002</v>
      </c>
      <c r="O740" s="4">
        <v>797</v>
      </c>
    </row>
    <row r="741" spans="1:15" x14ac:dyDescent="0.25">
      <c r="A741" s="3">
        <v>44278</v>
      </c>
      <c r="B741" s="4">
        <v>431.15</v>
      </c>
      <c r="C741" s="4">
        <v>433.4</v>
      </c>
      <c r="D741" s="4">
        <v>435.5</v>
      </c>
      <c r="E741" s="4">
        <v>428.55</v>
      </c>
      <c r="F741" s="4" t="str">
        <v>1.14M</v>
      </c>
      <c r="G741" s="4" t="str">
        <v>-0.12%</v>
      </c>
      <c r="H741" s="3">
        <v>44278</v>
      </c>
      <c r="I741" s="4">
        <v>432.02499999999998</v>
      </c>
      <c r="O741" s="4">
        <v>796</v>
      </c>
    </row>
    <row r="742" spans="1:15" x14ac:dyDescent="0.25">
      <c r="A742" s="3">
        <v>44277</v>
      </c>
      <c r="B742" s="4">
        <v>431.65</v>
      </c>
      <c r="C742" s="4">
        <v>427.55</v>
      </c>
      <c r="D742" s="4">
        <v>438</v>
      </c>
      <c r="E742" s="4">
        <v>425.75</v>
      </c>
      <c r="F742" s="4" t="str">
        <v>2.03M</v>
      </c>
      <c r="G742" s="4" t="str">
        <v>1.47%</v>
      </c>
      <c r="H742" s="3">
        <v>44277</v>
      </c>
      <c r="I742" s="4">
        <v>431.875</v>
      </c>
      <c r="O742" s="4">
        <v>795</v>
      </c>
    </row>
    <row r="743" spans="1:15" x14ac:dyDescent="0.25">
      <c r="A743" s="3">
        <v>44274</v>
      </c>
      <c r="B743" s="4">
        <v>425.4</v>
      </c>
      <c r="C743" s="4">
        <v>419</v>
      </c>
      <c r="D743" s="4">
        <v>427.8</v>
      </c>
      <c r="E743" s="4">
        <v>408.35</v>
      </c>
      <c r="F743" s="4" t="str">
        <v>1.72M</v>
      </c>
      <c r="G743" s="4" t="str">
        <v>1.35%</v>
      </c>
      <c r="H743" s="3">
        <v>44274</v>
      </c>
      <c r="I743" s="4">
        <v>418.07500000000005</v>
      </c>
      <c r="O743" s="4">
        <v>794</v>
      </c>
    </row>
    <row r="744" spans="1:15" x14ac:dyDescent="0.25">
      <c r="A744" s="3">
        <v>44273</v>
      </c>
      <c r="B744" s="4">
        <v>419.75</v>
      </c>
      <c r="C744" s="4">
        <v>430.8</v>
      </c>
      <c r="D744" s="4">
        <v>433</v>
      </c>
      <c r="E744" s="4">
        <v>418</v>
      </c>
      <c r="F744" s="4" t="str">
        <v>1.72M</v>
      </c>
      <c r="G744" s="4" t="str">
        <v>-2.19%</v>
      </c>
      <c r="H744" s="3">
        <v>44273</v>
      </c>
      <c r="I744" s="4">
        <v>425.5</v>
      </c>
      <c r="O744" s="4">
        <v>793</v>
      </c>
    </row>
    <row r="745" spans="1:15" x14ac:dyDescent="0.25">
      <c r="A745" s="3">
        <v>44272</v>
      </c>
      <c r="B745" s="4">
        <v>429.15</v>
      </c>
      <c r="C745" s="4">
        <v>438.85</v>
      </c>
      <c r="D745" s="4">
        <v>442.95</v>
      </c>
      <c r="E745" s="4">
        <v>426.8</v>
      </c>
      <c r="F745" s="4" t="str">
        <v>1.36M</v>
      </c>
      <c r="G745" s="4" t="str">
        <v>-2.45%</v>
      </c>
      <c r="H745" s="3">
        <v>44272</v>
      </c>
      <c r="I745" s="4">
        <v>434.875</v>
      </c>
      <c r="O745" s="4">
        <v>792</v>
      </c>
    </row>
    <row r="746" spans="1:15" x14ac:dyDescent="0.25">
      <c r="A746" s="3">
        <v>44271</v>
      </c>
      <c r="B746" s="4">
        <v>439.95</v>
      </c>
      <c r="C746" s="4">
        <v>440.75</v>
      </c>
      <c r="D746" s="4">
        <v>442.85</v>
      </c>
      <c r="E746" s="4">
        <v>434.8</v>
      </c>
      <c r="F746" s="4" t="str">
        <v>1.23M</v>
      </c>
      <c r="G746" s="4" t="str">
        <v>0.00%</v>
      </c>
      <c r="H746" s="3">
        <v>44271</v>
      </c>
      <c r="I746" s="4">
        <v>438.82500000000005</v>
      </c>
      <c r="O746" s="4">
        <v>791</v>
      </c>
    </row>
    <row r="747" spans="1:15" x14ac:dyDescent="0.25">
      <c r="A747" s="3">
        <v>44270</v>
      </c>
      <c r="B747" s="4">
        <v>439.95</v>
      </c>
      <c r="C747" s="4">
        <v>442</v>
      </c>
      <c r="D747" s="4">
        <v>442.5</v>
      </c>
      <c r="E747" s="4">
        <v>430.6</v>
      </c>
      <c r="F747" s="4" t="str">
        <v>1.49M</v>
      </c>
      <c r="G747" s="4" t="str">
        <v>-0.58%</v>
      </c>
      <c r="H747" s="3">
        <v>44270</v>
      </c>
      <c r="I747" s="4">
        <v>436.55</v>
      </c>
      <c r="O747" s="4">
        <v>790</v>
      </c>
    </row>
    <row r="748" spans="1:15" x14ac:dyDescent="0.25">
      <c r="A748" s="3">
        <v>44267</v>
      </c>
      <c r="B748" s="4">
        <v>442.5</v>
      </c>
      <c r="C748" s="4">
        <v>448</v>
      </c>
      <c r="D748" s="4">
        <v>450.95</v>
      </c>
      <c r="E748" s="4">
        <v>441.55</v>
      </c>
      <c r="F748" s="4" t="str">
        <v>1.49M</v>
      </c>
      <c r="G748" s="4" t="str">
        <v>-1.32%</v>
      </c>
      <c r="H748" s="3">
        <v>44267</v>
      </c>
      <c r="I748" s="4">
        <v>446.25</v>
      </c>
      <c r="O748" s="4">
        <v>789</v>
      </c>
    </row>
    <row r="749" spans="1:15" x14ac:dyDescent="0.25">
      <c r="A749" s="3">
        <v>44265</v>
      </c>
      <c r="B749" s="4">
        <v>448.4</v>
      </c>
      <c r="C749" s="4">
        <v>445</v>
      </c>
      <c r="D749" s="4">
        <v>449.9</v>
      </c>
      <c r="E749" s="4">
        <v>443.4</v>
      </c>
      <c r="F749" s="4" t="str">
        <v>1.15M</v>
      </c>
      <c r="G749" s="4" t="str">
        <v>1.09%</v>
      </c>
      <c r="H749" s="3">
        <v>44265</v>
      </c>
      <c r="I749" s="4">
        <v>446.65</v>
      </c>
      <c r="O749" s="4">
        <v>788</v>
      </c>
    </row>
    <row r="750" spans="1:15" x14ac:dyDescent="0.25">
      <c r="A750" s="3">
        <v>44264</v>
      </c>
      <c r="B750" s="4">
        <v>443.55</v>
      </c>
      <c r="C750" s="4">
        <v>453</v>
      </c>
      <c r="D750" s="4">
        <v>453.2</v>
      </c>
      <c r="E750" s="4">
        <v>441.55</v>
      </c>
      <c r="F750" s="4" t="str">
        <v>1.96M</v>
      </c>
      <c r="G750" s="4" t="str">
        <v>-0.59%</v>
      </c>
      <c r="H750" s="3">
        <v>44264</v>
      </c>
      <c r="I750" s="4">
        <v>447.375</v>
      </c>
      <c r="O750" s="4">
        <v>787</v>
      </c>
    </row>
    <row r="751" spans="1:15" x14ac:dyDescent="0.25">
      <c r="A751" s="3">
        <v>44263</v>
      </c>
      <c r="B751" s="4">
        <v>446.2</v>
      </c>
      <c r="C751" s="4">
        <v>443</v>
      </c>
      <c r="D751" s="4">
        <v>451.5</v>
      </c>
      <c r="E751" s="4">
        <v>442</v>
      </c>
      <c r="F751" s="4" t="str">
        <v>1.60M</v>
      </c>
      <c r="G751" s="4" t="str">
        <v>0.89%</v>
      </c>
      <c r="H751" s="3">
        <v>44263</v>
      </c>
      <c r="I751" s="4">
        <v>446.75</v>
      </c>
      <c r="O751" s="4">
        <v>786</v>
      </c>
    </row>
    <row r="752" spans="1:15" x14ac:dyDescent="0.25">
      <c r="A752" s="3">
        <v>44260</v>
      </c>
      <c r="B752" s="4">
        <v>442.25</v>
      </c>
      <c r="C752" s="4">
        <v>450.95</v>
      </c>
      <c r="D752" s="4">
        <v>452</v>
      </c>
      <c r="E752" s="4">
        <v>440.25</v>
      </c>
      <c r="F752" s="4" t="str">
        <v>1.93M</v>
      </c>
      <c r="G752" s="4" t="str">
        <v>-1.51%</v>
      </c>
      <c r="H752" s="3">
        <v>44260</v>
      </c>
      <c r="I752" s="4">
        <v>446.125</v>
      </c>
      <c r="O752" s="4">
        <v>785</v>
      </c>
    </row>
    <row r="753" spans="1:15" x14ac:dyDescent="0.25">
      <c r="A753" s="3">
        <v>44259</v>
      </c>
      <c r="B753" s="4">
        <v>449.05</v>
      </c>
      <c r="C753" s="4">
        <v>442</v>
      </c>
      <c r="D753" s="4">
        <v>453.5</v>
      </c>
      <c r="E753" s="4">
        <v>440.8</v>
      </c>
      <c r="F753" s="4" t="str">
        <v>2.66M</v>
      </c>
      <c r="G753" s="4" t="str">
        <v>0.77%</v>
      </c>
      <c r="H753" s="3">
        <v>44259</v>
      </c>
      <c r="I753" s="4">
        <v>447.15</v>
      </c>
      <c r="O753" s="4">
        <v>784</v>
      </c>
    </row>
    <row r="754" spans="1:15" x14ac:dyDescent="0.25">
      <c r="A754" s="3">
        <v>44258</v>
      </c>
      <c r="B754" s="4">
        <v>445.6</v>
      </c>
      <c r="C754" s="4">
        <v>441.5</v>
      </c>
      <c r="D754" s="4">
        <v>447.55</v>
      </c>
      <c r="E754" s="4">
        <v>439.2</v>
      </c>
      <c r="F754" s="4" t="str">
        <v>1.87M</v>
      </c>
      <c r="G754" s="4" t="str">
        <v>1.00%</v>
      </c>
      <c r="H754" s="3">
        <v>44258</v>
      </c>
      <c r="I754" s="4">
        <v>443.375</v>
      </c>
      <c r="O754" s="4">
        <v>783</v>
      </c>
    </row>
    <row r="755" spans="1:15" x14ac:dyDescent="0.25">
      <c r="A755" s="3">
        <v>44257</v>
      </c>
      <c r="B755" s="4">
        <v>441.2</v>
      </c>
      <c r="C755" s="4">
        <v>437.35</v>
      </c>
      <c r="D755" s="4">
        <v>442.5</v>
      </c>
      <c r="E755" s="4">
        <v>434.9</v>
      </c>
      <c r="F755" s="4" t="str">
        <v>1.31M</v>
      </c>
      <c r="G755" s="4" t="str">
        <v>1.36%</v>
      </c>
      <c r="H755" s="3">
        <v>44257</v>
      </c>
      <c r="I755" s="4">
        <v>438.7</v>
      </c>
      <c r="O755" s="4">
        <v>782</v>
      </c>
    </row>
    <row r="756" spans="1:15" x14ac:dyDescent="0.25">
      <c r="A756" s="3">
        <v>44256</v>
      </c>
      <c r="B756" s="4">
        <v>435.3</v>
      </c>
      <c r="C756" s="4">
        <v>437</v>
      </c>
      <c r="D756" s="4">
        <v>438.4</v>
      </c>
      <c r="E756" s="4">
        <v>430.4</v>
      </c>
      <c r="F756" s="4" t="str">
        <v>2.02M</v>
      </c>
      <c r="G756" s="4" t="str">
        <v>0.02%</v>
      </c>
      <c r="H756" s="3">
        <v>44256</v>
      </c>
      <c r="I756" s="4">
        <v>434.4</v>
      </c>
      <c r="O756" s="4">
        <v>781</v>
      </c>
    </row>
    <row r="757" spans="1:15" x14ac:dyDescent="0.25">
      <c r="A757" s="3">
        <v>44253</v>
      </c>
      <c r="B757" s="4">
        <v>435.2</v>
      </c>
      <c r="C757" s="4">
        <v>434.2</v>
      </c>
      <c r="D757" s="4">
        <v>443.8</v>
      </c>
      <c r="E757" s="4">
        <v>430.1</v>
      </c>
      <c r="F757" s="4" t="str">
        <v>3.24M</v>
      </c>
      <c r="G757" s="4" t="str">
        <v>-0.65%</v>
      </c>
      <c r="H757" s="3">
        <v>44253</v>
      </c>
      <c r="I757" s="4">
        <v>436.95000000000005</v>
      </c>
      <c r="O757" s="4">
        <v>780</v>
      </c>
    </row>
    <row r="758" spans="1:15" x14ac:dyDescent="0.25">
      <c r="A758" s="3">
        <v>44252</v>
      </c>
      <c r="B758" s="4">
        <v>438.05</v>
      </c>
      <c r="C758" s="4">
        <v>441</v>
      </c>
      <c r="D758" s="4">
        <v>444.4</v>
      </c>
      <c r="E758" s="4">
        <v>436.15</v>
      </c>
      <c r="F758" s="4" t="str">
        <v>3.14M</v>
      </c>
      <c r="G758" s="4" t="str">
        <v>1.06%</v>
      </c>
      <c r="H758" s="3">
        <v>44252</v>
      </c>
      <c r="I758" s="4">
        <v>440.27499999999998</v>
      </c>
      <c r="O758" s="4">
        <v>779</v>
      </c>
    </row>
    <row r="759" spans="1:15" x14ac:dyDescent="0.25">
      <c r="A759" s="3">
        <v>44251</v>
      </c>
      <c r="B759" s="4">
        <v>433.45</v>
      </c>
      <c r="C759" s="4">
        <v>430.5</v>
      </c>
      <c r="D759" s="4">
        <v>437.35</v>
      </c>
      <c r="E759" s="4">
        <v>427.65</v>
      </c>
      <c r="F759" s="4" t="str">
        <v>1.69M</v>
      </c>
      <c r="G759" s="4" t="str">
        <v>0.69%</v>
      </c>
      <c r="H759" s="3">
        <v>44251</v>
      </c>
      <c r="I759" s="4">
        <v>432.5</v>
      </c>
      <c r="O759" s="4">
        <v>778</v>
      </c>
    </row>
    <row r="760" spans="1:15" x14ac:dyDescent="0.25">
      <c r="A760" s="3">
        <v>44250</v>
      </c>
      <c r="B760" s="4">
        <v>430.5</v>
      </c>
      <c r="C760" s="4">
        <v>438.8</v>
      </c>
      <c r="D760" s="4">
        <v>438.8</v>
      </c>
      <c r="E760" s="4">
        <v>421</v>
      </c>
      <c r="F760" s="4" t="str">
        <v>3.85M</v>
      </c>
      <c r="G760" s="4" t="str">
        <v>-0.91%</v>
      </c>
      <c r="H760" s="3">
        <v>44250</v>
      </c>
      <c r="I760" s="4">
        <v>429.9</v>
      </c>
      <c r="O760" s="4">
        <v>777</v>
      </c>
    </row>
    <row r="761" spans="1:15" x14ac:dyDescent="0.25">
      <c r="A761" s="3">
        <v>44249</v>
      </c>
      <c r="B761" s="4">
        <v>434.45</v>
      </c>
      <c r="C761" s="4">
        <v>450</v>
      </c>
      <c r="D761" s="4">
        <v>451</v>
      </c>
      <c r="E761" s="4">
        <v>431.25</v>
      </c>
      <c r="F761" s="4" t="str">
        <v>2.52M</v>
      </c>
      <c r="G761" s="4" t="str">
        <v>-3.97%</v>
      </c>
      <c r="H761" s="3">
        <v>44249</v>
      </c>
      <c r="I761" s="4">
        <v>441.125</v>
      </c>
      <c r="O761" s="4">
        <v>776</v>
      </c>
    </row>
    <row r="762" spans="1:15" x14ac:dyDescent="0.25">
      <c r="A762" s="3">
        <v>44246</v>
      </c>
      <c r="B762" s="4">
        <v>452.4</v>
      </c>
      <c r="C762" s="4">
        <v>466.3</v>
      </c>
      <c r="D762" s="4">
        <v>466.3</v>
      </c>
      <c r="E762" s="4">
        <v>447.05</v>
      </c>
      <c r="F762" s="4" t="str">
        <v>3.28M</v>
      </c>
      <c r="G762" s="4" t="str">
        <v>-3.26%</v>
      </c>
      <c r="H762" s="3">
        <v>44246</v>
      </c>
      <c r="I762" s="4">
        <v>456.67500000000001</v>
      </c>
      <c r="O762" s="4">
        <v>775</v>
      </c>
    </row>
    <row r="763" spans="1:15" x14ac:dyDescent="0.25">
      <c r="A763" s="3">
        <v>44245</v>
      </c>
      <c r="B763" s="4">
        <v>467.65</v>
      </c>
      <c r="C763" s="4">
        <v>465</v>
      </c>
      <c r="D763" s="4">
        <v>471.4</v>
      </c>
      <c r="E763" s="4">
        <v>462.7</v>
      </c>
      <c r="F763" s="4" t="str">
        <v>2.56M</v>
      </c>
      <c r="G763" s="4" t="str">
        <v>0.85%</v>
      </c>
      <c r="H763" s="3">
        <v>44245</v>
      </c>
      <c r="I763" s="4">
        <v>467.04999999999995</v>
      </c>
      <c r="O763" s="4">
        <v>774</v>
      </c>
    </row>
    <row r="764" spans="1:15" x14ac:dyDescent="0.25">
      <c r="A764" s="3">
        <v>44244</v>
      </c>
      <c r="B764" s="4">
        <v>463.7</v>
      </c>
      <c r="C764" s="4">
        <v>470</v>
      </c>
      <c r="D764" s="4">
        <v>471.5</v>
      </c>
      <c r="E764" s="4">
        <v>460.7</v>
      </c>
      <c r="F764" s="4" t="str">
        <v>2.56M</v>
      </c>
      <c r="G764" s="4" t="str">
        <v>-1.11%</v>
      </c>
      <c r="H764" s="3">
        <v>44244</v>
      </c>
      <c r="I764" s="4">
        <v>466.1</v>
      </c>
      <c r="O764" s="4">
        <v>773</v>
      </c>
    </row>
    <row r="765" spans="1:15" x14ac:dyDescent="0.25">
      <c r="A765" s="3">
        <v>44243</v>
      </c>
      <c r="B765" s="4">
        <v>468.9</v>
      </c>
      <c r="C765" s="4">
        <v>466</v>
      </c>
      <c r="D765" s="4">
        <v>474.45</v>
      </c>
      <c r="E765" s="4">
        <v>463.35</v>
      </c>
      <c r="F765" s="4" t="str">
        <v>3.39M</v>
      </c>
      <c r="G765" s="4" t="str">
        <v>0.42%</v>
      </c>
      <c r="H765" s="3">
        <v>44243</v>
      </c>
      <c r="I765" s="4">
        <v>468.9</v>
      </c>
      <c r="O765" s="4">
        <v>772</v>
      </c>
    </row>
    <row r="766" spans="1:15" x14ac:dyDescent="0.25">
      <c r="A766" s="3">
        <v>44242</v>
      </c>
      <c r="B766" s="4">
        <v>466.95</v>
      </c>
      <c r="C766" s="4">
        <v>466.9</v>
      </c>
      <c r="D766" s="4">
        <v>472.25</v>
      </c>
      <c r="E766" s="4">
        <v>463.65</v>
      </c>
      <c r="F766" s="4" t="str">
        <v>1.81M</v>
      </c>
      <c r="G766" s="4" t="str">
        <v>-0.24%</v>
      </c>
      <c r="H766" s="3">
        <v>44242</v>
      </c>
      <c r="I766" s="4">
        <v>467.95</v>
      </c>
      <c r="O766" s="4">
        <v>771</v>
      </c>
    </row>
    <row r="767" spans="1:15" x14ac:dyDescent="0.25">
      <c r="A767" s="3">
        <v>44239</v>
      </c>
      <c r="B767" s="4">
        <v>468.05</v>
      </c>
      <c r="C767" s="4">
        <v>471.45</v>
      </c>
      <c r="D767" s="4">
        <v>479</v>
      </c>
      <c r="E767" s="4">
        <v>466.6</v>
      </c>
      <c r="F767" s="4" t="str">
        <v>3.03M</v>
      </c>
      <c r="G767" s="4" t="str">
        <v>-0.59%</v>
      </c>
      <c r="H767" s="3">
        <v>44239</v>
      </c>
      <c r="I767" s="4">
        <v>472.8</v>
      </c>
      <c r="O767" s="4">
        <v>770</v>
      </c>
    </row>
    <row r="768" spans="1:15" x14ac:dyDescent="0.25">
      <c r="A768" s="3">
        <v>44238</v>
      </c>
      <c r="B768" s="4">
        <v>470.85</v>
      </c>
      <c r="C768" s="4">
        <v>468</v>
      </c>
      <c r="D768" s="4">
        <v>472.35</v>
      </c>
      <c r="E768" s="4">
        <v>464.05</v>
      </c>
      <c r="F768" s="4" t="str">
        <v>2.20M</v>
      </c>
      <c r="G768" s="4" t="str">
        <v>0.29%</v>
      </c>
      <c r="H768" s="3">
        <v>44238</v>
      </c>
      <c r="I768" s="4">
        <v>468.20000000000005</v>
      </c>
      <c r="O768" s="4">
        <v>769</v>
      </c>
    </row>
    <row r="769" spans="1:15" x14ac:dyDescent="0.25">
      <c r="A769" s="3">
        <v>44237</v>
      </c>
      <c r="B769" s="4">
        <v>469.5</v>
      </c>
      <c r="C769" s="4">
        <v>470</v>
      </c>
      <c r="D769" s="4">
        <v>471.25</v>
      </c>
      <c r="E769" s="4">
        <v>459.8</v>
      </c>
      <c r="F769" s="4" t="str">
        <v>3.48M</v>
      </c>
      <c r="G769" s="4" t="str">
        <v>0.36%</v>
      </c>
      <c r="H769" s="3">
        <v>44237</v>
      </c>
      <c r="I769" s="4">
        <v>465.52499999999998</v>
      </c>
      <c r="O769" s="4">
        <v>768</v>
      </c>
    </row>
    <row r="770" spans="1:15" x14ac:dyDescent="0.25">
      <c r="A770" s="3">
        <v>44236</v>
      </c>
      <c r="B770" s="4">
        <v>467.8</v>
      </c>
      <c r="C770" s="4">
        <v>475</v>
      </c>
      <c r="D770" s="4">
        <v>477.75</v>
      </c>
      <c r="E770" s="4">
        <v>466.1</v>
      </c>
      <c r="F770" s="4" t="str">
        <v>3.26M</v>
      </c>
      <c r="G770" s="4" t="str">
        <v>-1.19%</v>
      </c>
      <c r="H770" s="3">
        <v>44236</v>
      </c>
      <c r="I770" s="4">
        <v>471.92500000000001</v>
      </c>
      <c r="O770" s="4">
        <v>767</v>
      </c>
    </row>
    <row r="771" spans="1:15" x14ac:dyDescent="0.25">
      <c r="A771" s="3">
        <v>44235</v>
      </c>
      <c r="B771" s="4">
        <v>473.45</v>
      </c>
      <c r="C771" s="4">
        <v>478</v>
      </c>
      <c r="D771" s="4">
        <v>479.9</v>
      </c>
      <c r="E771" s="4">
        <v>472.65</v>
      </c>
      <c r="F771" s="4" t="str">
        <v>3.72M</v>
      </c>
      <c r="G771" s="4" t="str">
        <v>-0.38%</v>
      </c>
      <c r="H771" s="3">
        <v>44235</v>
      </c>
      <c r="I771" s="4">
        <v>476.27499999999998</v>
      </c>
      <c r="O771" s="4">
        <v>766</v>
      </c>
    </row>
    <row r="772" spans="1:15" x14ac:dyDescent="0.25">
      <c r="A772" s="3">
        <v>44232</v>
      </c>
      <c r="B772" s="4">
        <v>475.25</v>
      </c>
      <c r="C772" s="4">
        <v>482.5</v>
      </c>
      <c r="D772" s="4">
        <v>488.95</v>
      </c>
      <c r="E772" s="4">
        <v>471.85</v>
      </c>
      <c r="F772" s="4" t="str">
        <v>8.27M</v>
      </c>
      <c r="G772" s="4" t="str">
        <v>-0.82%</v>
      </c>
      <c r="H772" s="3">
        <v>44232</v>
      </c>
      <c r="I772" s="4">
        <v>480.4</v>
      </c>
      <c r="O772" s="4">
        <v>765</v>
      </c>
    </row>
    <row r="773" spans="1:15" x14ac:dyDescent="0.25">
      <c r="A773" s="3">
        <v>44231</v>
      </c>
      <c r="B773" s="4">
        <v>479.2</v>
      </c>
      <c r="C773" s="4">
        <v>482</v>
      </c>
      <c r="D773" s="4">
        <v>482.4</v>
      </c>
      <c r="E773" s="4">
        <v>475.25</v>
      </c>
      <c r="F773" s="4" t="str">
        <v>3.87M</v>
      </c>
      <c r="G773" s="4" t="str">
        <v>0.48%</v>
      </c>
      <c r="H773" s="3">
        <v>44231</v>
      </c>
      <c r="I773" s="4">
        <v>478.82499999999999</v>
      </c>
      <c r="O773" s="4">
        <v>764</v>
      </c>
    </row>
    <row r="774" spans="1:15" x14ac:dyDescent="0.25">
      <c r="A774" s="3">
        <v>44230</v>
      </c>
      <c r="B774" s="4">
        <v>476.9</v>
      </c>
      <c r="C774" s="4">
        <v>471.45</v>
      </c>
      <c r="D774" s="4">
        <v>482.8</v>
      </c>
      <c r="E774" s="4">
        <v>468.4</v>
      </c>
      <c r="F774" s="4" t="str">
        <v>6.40M</v>
      </c>
      <c r="G774" s="4" t="str">
        <v>2.08%</v>
      </c>
      <c r="H774" s="3">
        <v>44230</v>
      </c>
      <c r="I774" s="4">
        <v>475.6</v>
      </c>
      <c r="O774" s="4">
        <v>763</v>
      </c>
    </row>
    <row r="775" spans="1:15" x14ac:dyDescent="0.25">
      <c r="A775" s="3">
        <v>44229</v>
      </c>
      <c r="B775" s="4">
        <v>467.2</v>
      </c>
      <c r="C775" s="4">
        <v>459.4</v>
      </c>
      <c r="D775" s="4">
        <v>470.9</v>
      </c>
      <c r="E775" s="4">
        <v>453.7</v>
      </c>
      <c r="F775" s="4" t="str">
        <v>3.94M</v>
      </c>
      <c r="G775" s="4" t="str">
        <v>2.50%</v>
      </c>
      <c r="H775" s="3">
        <v>44229</v>
      </c>
      <c r="I775" s="4">
        <v>462.29999999999995</v>
      </c>
      <c r="O775" s="4">
        <v>762</v>
      </c>
    </row>
    <row r="776" spans="1:15" x14ac:dyDescent="0.25">
      <c r="A776" s="3">
        <v>44228</v>
      </c>
      <c r="B776" s="4">
        <v>455.8</v>
      </c>
      <c r="C776" s="4">
        <v>454</v>
      </c>
      <c r="D776" s="4">
        <v>458</v>
      </c>
      <c r="E776" s="4">
        <v>442.05</v>
      </c>
      <c r="F776" s="4" t="str">
        <v>3.43M</v>
      </c>
      <c r="G776" s="4" t="str">
        <v>0.95%</v>
      </c>
      <c r="H776" s="3">
        <v>44228</v>
      </c>
      <c r="I776" s="4">
        <v>450.02499999999998</v>
      </c>
      <c r="O776" s="4">
        <v>761</v>
      </c>
    </row>
    <row r="777" spans="1:15" x14ac:dyDescent="0.25">
      <c r="A777" s="3">
        <v>44225</v>
      </c>
      <c r="B777" s="4">
        <v>451.5</v>
      </c>
      <c r="C777" s="4">
        <v>462.3</v>
      </c>
      <c r="D777" s="4">
        <v>464.75</v>
      </c>
      <c r="E777" s="4">
        <v>450</v>
      </c>
      <c r="F777" s="4" t="str">
        <v>2.56M</v>
      </c>
      <c r="G777" s="4" t="str">
        <v>-2.34%</v>
      </c>
      <c r="H777" s="3">
        <v>44225</v>
      </c>
      <c r="I777" s="4">
        <v>457.375</v>
      </c>
      <c r="O777" s="4">
        <v>760</v>
      </c>
    </row>
    <row r="778" spans="1:15" x14ac:dyDescent="0.25">
      <c r="A778" s="3">
        <v>44224</v>
      </c>
      <c r="B778" s="4">
        <v>462.3</v>
      </c>
      <c r="C778" s="4">
        <v>457</v>
      </c>
      <c r="D778" s="4">
        <v>466.6</v>
      </c>
      <c r="E778" s="4">
        <v>452.25</v>
      </c>
      <c r="F778" s="4" t="str">
        <v>2.58M</v>
      </c>
      <c r="G778" s="4" t="str">
        <v>0.05%</v>
      </c>
      <c r="H778" s="3">
        <v>44224</v>
      </c>
      <c r="I778" s="4">
        <v>459.42500000000001</v>
      </c>
      <c r="O778" s="4">
        <v>759</v>
      </c>
    </row>
    <row r="779" spans="1:15" x14ac:dyDescent="0.25">
      <c r="A779" s="3">
        <v>44223</v>
      </c>
      <c r="B779" s="4">
        <v>462.05</v>
      </c>
      <c r="C779" s="4">
        <v>467.85</v>
      </c>
      <c r="D779" s="4">
        <v>472.65</v>
      </c>
      <c r="E779" s="4">
        <v>459.1</v>
      </c>
      <c r="F779" s="4" t="str">
        <v>2.81M</v>
      </c>
      <c r="G779" s="4" t="str">
        <v>-1.14%</v>
      </c>
      <c r="H779" s="3">
        <v>44223</v>
      </c>
      <c r="I779" s="4">
        <v>465.875</v>
      </c>
      <c r="O779" s="4">
        <v>758</v>
      </c>
    </row>
    <row r="780" spans="1:15" x14ac:dyDescent="0.25">
      <c r="A780" s="3">
        <v>44221</v>
      </c>
      <c r="B780" s="4">
        <v>467.4</v>
      </c>
      <c r="C780" s="4">
        <v>465.35</v>
      </c>
      <c r="D780" s="4">
        <v>473.65</v>
      </c>
      <c r="E780" s="4">
        <v>455.5</v>
      </c>
      <c r="F780" s="4" t="str">
        <v>3.54M</v>
      </c>
      <c r="G780" s="4" t="str">
        <v>1.50%</v>
      </c>
      <c r="H780" s="3">
        <v>44221</v>
      </c>
      <c r="I780" s="4">
        <v>464.57499999999999</v>
      </c>
      <c r="O780" s="4">
        <v>757</v>
      </c>
    </row>
    <row r="781" spans="1:15" x14ac:dyDescent="0.25">
      <c r="A781" s="3">
        <v>44218</v>
      </c>
      <c r="B781" s="4">
        <v>460.5</v>
      </c>
      <c r="C781" s="4">
        <v>470.05</v>
      </c>
      <c r="D781" s="4">
        <v>473.1</v>
      </c>
      <c r="E781" s="4">
        <v>455.3</v>
      </c>
      <c r="F781" s="4" t="str">
        <v>3.76M</v>
      </c>
      <c r="G781" s="4" t="str">
        <v>-1.92%</v>
      </c>
      <c r="H781" s="3">
        <v>44218</v>
      </c>
      <c r="I781" s="4">
        <v>464.20000000000005</v>
      </c>
      <c r="O781" s="4">
        <v>756</v>
      </c>
    </row>
    <row r="782" spans="1:15" x14ac:dyDescent="0.25">
      <c r="A782" s="3">
        <v>44217</v>
      </c>
      <c r="B782" s="4">
        <v>469.5</v>
      </c>
      <c r="C782" s="4">
        <v>487.4</v>
      </c>
      <c r="D782" s="4">
        <v>489.8</v>
      </c>
      <c r="E782" s="4">
        <v>466.5</v>
      </c>
      <c r="F782" s="4" t="str">
        <v>2.52M</v>
      </c>
      <c r="G782" s="4" t="str">
        <v>-3.43%</v>
      </c>
      <c r="H782" s="3">
        <v>44217</v>
      </c>
      <c r="I782" s="4">
        <v>478.15</v>
      </c>
      <c r="O782" s="4">
        <v>755</v>
      </c>
    </row>
    <row r="783" spans="1:15" x14ac:dyDescent="0.25">
      <c r="A783" s="3">
        <v>44216</v>
      </c>
      <c r="B783" s="4">
        <v>486.2</v>
      </c>
      <c r="C783" s="4">
        <v>483.5</v>
      </c>
      <c r="D783" s="4">
        <v>488.8</v>
      </c>
      <c r="E783" s="4">
        <v>482.1</v>
      </c>
      <c r="F783" s="4" t="str">
        <v>1.39M</v>
      </c>
      <c r="G783" s="4" t="str">
        <v>0.21%</v>
      </c>
      <c r="H783" s="3">
        <v>44216</v>
      </c>
      <c r="I783" s="4">
        <v>485.45000000000005</v>
      </c>
      <c r="O783" s="4">
        <v>754</v>
      </c>
    </row>
    <row r="784" spans="1:15" x14ac:dyDescent="0.25">
      <c r="A784" s="3">
        <v>44215</v>
      </c>
      <c r="B784" s="4">
        <v>485.2</v>
      </c>
      <c r="C784" s="4">
        <v>474.1</v>
      </c>
      <c r="D784" s="4">
        <v>487</v>
      </c>
      <c r="E784" s="4">
        <v>474.1</v>
      </c>
      <c r="F784" s="4" t="str">
        <v>2.11M</v>
      </c>
      <c r="G784" s="4" t="str">
        <v>2.60%</v>
      </c>
      <c r="H784" s="3">
        <v>44215</v>
      </c>
      <c r="I784" s="4">
        <v>480.55</v>
      </c>
      <c r="O784" s="4">
        <v>753</v>
      </c>
    </row>
    <row r="785" spans="1:15" x14ac:dyDescent="0.25">
      <c r="A785" s="3">
        <v>44214</v>
      </c>
      <c r="B785" s="4">
        <v>472.9</v>
      </c>
      <c r="C785" s="4">
        <v>485</v>
      </c>
      <c r="D785" s="4">
        <v>487.8</v>
      </c>
      <c r="E785" s="4">
        <v>467.35</v>
      </c>
      <c r="F785" s="4" t="str">
        <v>3.22M</v>
      </c>
      <c r="G785" s="4" t="str">
        <v>-3.05%</v>
      </c>
      <c r="H785" s="3">
        <v>44214</v>
      </c>
      <c r="I785" s="4">
        <v>477.57500000000005</v>
      </c>
      <c r="O785" s="4">
        <v>752</v>
      </c>
    </row>
    <row r="786" spans="1:15" x14ac:dyDescent="0.25">
      <c r="A786" s="3">
        <v>44211</v>
      </c>
      <c r="B786" s="4">
        <v>487.8</v>
      </c>
      <c r="C786" s="4">
        <v>506</v>
      </c>
      <c r="D786" s="4">
        <v>509.2</v>
      </c>
      <c r="E786" s="4">
        <v>485.25</v>
      </c>
      <c r="F786" s="4" t="str">
        <v>6.38M</v>
      </c>
      <c r="G786" s="4" t="str">
        <v>-3.11%</v>
      </c>
      <c r="H786" s="3">
        <v>44211</v>
      </c>
      <c r="I786" s="4">
        <v>497.22500000000002</v>
      </c>
      <c r="O786" s="4">
        <v>751</v>
      </c>
    </row>
    <row r="787" spans="1:15" x14ac:dyDescent="0.25">
      <c r="A787" s="3">
        <v>44210</v>
      </c>
      <c r="B787" s="4">
        <v>503.45</v>
      </c>
      <c r="C787" s="4">
        <v>487</v>
      </c>
      <c r="D787" s="4">
        <v>504.9</v>
      </c>
      <c r="E787" s="4">
        <v>483</v>
      </c>
      <c r="F787" s="4" t="str">
        <v>4.91M</v>
      </c>
      <c r="G787" s="4" t="str">
        <v>3.37%</v>
      </c>
      <c r="H787" s="3">
        <v>44210</v>
      </c>
      <c r="I787" s="4">
        <v>493.95</v>
      </c>
      <c r="O787" s="4">
        <v>750</v>
      </c>
    </row>
    <row r="788" spans="1:15" x14ac:dyDescent="0.25">
      <c r="A788" s="3">
        <v>44209</v>
      </c>
      <c r="B788" s="4">
        <v>487.05</v>
      </c>
      <c r="C788" s="4">
        <v>493</v>
      </c>
      <c r="D788" s="4">
        <v>494.5</v>
      </c>
      <c r="E788" s="4">
        <v>481.65</v>
      </c>
      <c r="F788" s="4" t="str">
        <v>2.73M</v>
      </c>
      <c r="G788" s="4" t="str">
        <v>-0.67%</v>
      </c>
      <c r="H788" s="3">
        <v>44209</v>
      </c>
      <c r="I788" s="4">
        <v>488.07499999999999</v>
      </c>
      <c r="O788" s="4">
        <v>749</v>
      </c>
    </row>
    <row r="789" spans="1:15" x14ac:dyDescent="0.25">
      <c r="A789" s="3">
        <v>44208</v>
      </c>
      <c r="B789" s="4">
        <v>490.35</v>
      </c>
      <c r="C789" s="4">
        <v>496</v>
      </c>
      <c r="D789" s="4">
        <v>497.25</v>
      </c>
      <c r="E789" s="4">
        <v>489.45</v>
      </c>
      <c r="F789" s="4" t="str">
        <v>2.53M</v>
      </c>
      <c r="G789" s="4" t="str">
        <v>-0.68%</v>
      </c>
      <c r="H789" s="3">
        <v>44208</v>
      </c>
      <c r="I789" s="4">
        <v>493.35</v>
      </c>
      <c r="O789" s="4">
        <v>748</v>
      </c>
    </row>
    <row r="790" spans="1:15" x14ac:dyDescent="0.25">
      <c r="A790" s="3">
        <v>44207</v>
      </c>
      <c r="B790" s="4">
        <v>493.7</v>
      </c>
      <c r="C790" s="4">
        <v>487</v>
      </c>
      <c r="D790" s="4">
        <v>495.95</v>
      </c>
      <c r="E790" s="4">
        <v>482.75</v>
      </c>
      <c r="F790" s="4" t="str">
        <v>5.04M</v>
      </c>
      <c r="G790" s="4" t="str">
        <v>1.76%</v>
      </c>
      <c r="H790" s="3">
        <v>44207</v>
      </c>
      <c r="I790" s="4">
        <v>489.35</v>
      </c>
      <c r="O790" s="4">
        <v>747</v>
      </c>
    </row>
    <row r="791" spans="1:15" x14ac:dyDescent="0.25">
      <c r="A791" s="3">
        <v>44204</v>
      </c>
      <c r="B791" s="4">
        <v>485.15</v>
      </c>
      <c r="C791" s="4">
        <v>485</v>
      </c>
      <c r="D791" s="4">
        <v>489.4</v>
      </c>
      <c r="E791" s="4">
        <v>483.5</v>
      </c>
      <c r="F791" s="4" t="str">
        <v>2.22M</v>
      </c>
      <c r="G791" s="4" t="str">
        <v>0.61%</v>
      </c>
      <c r="H791" s="3">
        <v>44204</v>
      </c>
      <c r="I791" s="4">
        <v>486.45</v>
      </c>
      <c r="O791" s="4">
        <v>746</v>
      </c>
    </row>
    <row r="792" spans="1:15" x14ac:dyDescent="0.25">
      <c r="A792" s="3">
        <v>44203</v>
      </c>
      <c r="B792" s="4">
        <v>482.2</v>
      </c>
      <c r="C792" s="4">
        <v>484.5</v>
      </c>
      <c r="D792" s="4">
        <v>485.95</v>
      </c>
      <c r="E792" s="4">
        <v>478.55</v>
      </c>
      <c r="F792" s="4" t="str">
        <v>2.06M</v>
      </c>
      <c r="G792" s="4" t="str">
        <v>0.12%</v>
      </c>
      <c r="H792" s="3">
        <v>44203</v>
      </c>
      <c r="I792" s="4">
        <v>482.25</v>
      </c>
      <c r="O792" s="4">
        <v>745</v>
      </c>
    </row>
    <row r="793" spans="1:15" x14ac:dyDescent="0.25">
      <c r="A793" s="3">
        <v>44202</v>
      </c>
      <c r="B793" s="4">
        <v>481.6</v>
      </c>
      <c r="C793" s="4">
        <v>486</v>
      </c>
      <c r="D793" s="4">
        <v>487.7</v>
      </c>
      <c r="E793" s="4">
        <v>475.35</v>
      </c>
      <c r="F793" s="4" t="str">
        <v>1.93M</v>
      </c>
      <c r="G793" s="4" t="str">
        <v>-0.87%</v>
      </c>
      <c r="H793" s="3">
        <v>44202</v>
      </c>
      <c r="I793" s="4">
        <v>481.52499999999998</v>
      </c>
      <c r="O793" s="4">
        <v>744</v>
      </c>
    </row>
    <row r="794" spans="1:15" x14ac:dyDescent="0.25">
      <c r="A794" s="3">
        <v>44201</v>
      </c>
      <c r="B794" s="4">
        <v>485.85</v>
      </c>
      <c r="C794" s="4">
        <v>484</v>
      </c>
      <c r="D794" s="4">
        <v>489.5</v>
      </c>
      <c r="E794" s="4">
        <v>480.25</v>
      </c>
      <c r="F794" s="4" t="str">
        <v>2.21M</v>
      </c>
      <c r="G794" s="4" t="str">
        <v>-0.11%</v>
      </c>
      <c r="H794" s="3">
        <v>44201</v>
      </c>
      <c r="I794" s="4">
        <v>484.875</v>
      </c>
      <c r="O794" s="4">
        <v>743</v>
      </c>
    </row>
    <row r="795" spans="1:15" x14ac:dyDescent="0.25">
      <c r="A795" s="3">
        <v>44200</v>
      </c>
      <c r="B795" s="4">
        <v>486.4</v>
      </c>
      <c r="C795" s="4">
        <v>494</v>
      </c>
      <c r="D795" s="4">
        <v>494</v>
      </c>
      <c r="E795" s="4">
        <v>479.1</v>
      </c>
      <c r="F795" s="4" t="str">
        <v>6.21M</v>
      </c>
      <c r="G795" s="4" t="str">
        <v>1.67%</v>
      </c>
      <c r="H795" s="3">
        <v>44200</v>
      </c>
      <c r="I795" s="4">
        <v>486.55</v>
      </c>
      <c r="O795" s="4">
        <v>742</v>
      </c>
    </row>
    <row r="796" spans="1:15" x14ac:dyDescent="0.25">
      <c r="A796" s="3">
        <v>44197</v>
      </c>
      <c r="B796" s="4">
        <v>478.4</v>
      </c>
      <c r="C796" s="4">
        <v>477.75</v>
      </c>
      <c r="D796" s="4">
        <v>482.85</v>
      </c>
      <c r="E796" s="4">
        <v>476.75</v>
      </c>
      <c r="F796" s="4" t="str">
        <v>1.77M</v>
      </c>
      <c r="G796" s="4" t="str">
        <v>0.35%</v>
      </c>
      <c r="H796" s="3">
        <v>44197</v>
      </c>
      <c r="I796" s="4">
        <v>479.8</v>
      </c>
      <c r="O796" s="4">
        <v>741</v>
      </c>
    </row>
    <row r="797" spans="1:15" x14ac:dyDescent="0.25">
      <c r="A797" s="3">
        <v>44196</v>
      </c>
      <c r="B797" s="4">
        <v>476.75</v>
      </c>
      <c r="C797" s="4">
        <v>480</v>
      </c>
      <c r="D797" s="4">
        <v>487</v>
      </c>
      <c r="E797" s="4">
        <v>474.45</v>
      </c>
      <c r="F797" s="4" t="str">
        <v>3.32M</v>
      </c>
      <c r="G797" s="4" t="str">
        <v>-0.54%</v>
      </c>
      <c r="H797" s="3">
        <v>44196</v>
      </c>
      <c r="I797" s="4">
        <v>480.72500000000002</v>
      </c>
      <c r="O797" s="4">
        <v>740</v>
      </c>
    </row>
    <row r="798" spans="1:15" x14ac:dyDescent="0.25">
      <c r="A798" s="3">
        <v>44195</v>
      </c>
      <c r="B798" s="4">
        <v>479.35</v>
      </c>
      <c r="C798" s="4">
        <v>482.9</v>
      </c>
      <c r="D798" s="4">
        <v>482.9</v>
      </c>
      <c r="E798" s="4">
        <v>475.8</v>
      </c>
      <c r="F798" s="4" t="str">
        <v>1.84M</v>
      </c>
      <c r="G798" s="4" t="str">
        <v>0.00%</v>
      </c>
      <c r="H798" s="3">
        <v>44195</v>
      </c>
      <c r="I798" s="4">
        <v>479.35</v>
      </c>
      <c r="O798" s="4">
        <v>739</v>
      </c>
    </row>
    <row r="799" spans="1:15" x14ac:dyDescent="0.25">
      <c r="A799" s="3">
        <v>44194</v>
      </c>
      <c r="B799" s="4">
        <v>479.35</v>
      </c>
      <c r="C799" s="4">
        <v>488</v>
      </c>
      <c r="D799" s="4">
        <v>490.5</v>
      </c>
      <c r="E799" s="4">
        <v>477.1</v>
      </c>
      <c r="F799" s="4" t="str">
        <v>3.00M</v>
      </c>
      <c r="G799" s="4" t="str">
        <v>-1.71%</v>
      </c>
      <c r="H799" s="3">
        <v>44194</v>
      </c>
      <c r="I799" s="4">
        <v>483.8</v>
      </c>
      <c r="O799" s="4">
        <v>738</v>
      </c>
    </row>
    <row r="800" spans="1:15" x14ac:dyDescent="0.25">
      <c r="A800" s="3">
        <v>44193</v>
      </c>
      <c r="B800" s="4">
        <v>487.7</v>
      </c>
      <c r="C800" s="4">
        <v>496.45</v>
      </c>
      <c r="D800" s="4">
        <v>499.25</v>
      </c>
      <c r="E800" s="4">
        <v>484</v>
      </c>
      <c r="F800" s="4" t="str">
        <v>6.45M</v>
      </c>
      <c r="G800" s="4" t="str">
        <v>-0.37%</v>
      </c>
      <c r="H800" s="3">
        <v>44193</v>
      </c>
      <c r="I800" s="4">
        <v>491.625</v>
      </c>
      <c r="O800" s="4">
        <v>737</v>
      </c>
    </row>
    <row r="801" spans="1:15" x14ac:dyDescent="0.25">
      <c r="A801" s="3">
        <v>44189</v>
      </c>
      <c r="B801" s="4">
        <v>489.5</v>
      </c>
      <c r="C801" s="4">
        <v>477.8</v>
      </c>
      <c r="D801" s="4">
        <v>491.7</v>
      </c>
      <c r="E801" s="4">
        <v>470</v>
      </c>
      <c r="F801" s="4" t="str">
        <v>5.25M</v>
      </c>
      <c r="G801" s="4" t="str">
        <v>3.05%</v>
      </c>
      <c r="H801" s="3">
        <v>44189</v>
      </c>
      <c r="I801" s="4">
        <v>480.85</v>
      </c>
      <c r="O801" s="4">
        <v>736</v>
      </c>
    </row>
    <row r="802" spans="1:15" x14ac:dyDescent="0.25">
      <c r="A802" s="3">
        <v>44188</v>
      </c>
      <c r="B802" s="4">
        <v>475</v>
      </c>
      <c r="C802" s="4">
        <v>467.25</v>
      </c>
      <c r="D802" s="4">
        <v>479.25</v>
      </c>
      <c r="E802" s="4">
        <v>465.05</v>
      </c>
      <c r="F802" s="4" t="str">
        <v>3.38M</v>
      </c>
      <c r="G802" s="4" t="str">
        <v>1.27%</v>
      </c>
      <c r="H802" s="3">
        <v>44188</v>
      </c>
      <c r="I802" s="4">
        <v>472.15</v>
      </c>
      <c r="O802" s="4">
        <v>735</v>
      </c>
    </row>
    <row r="803" spans="1:15" x14ac:dyDescent="0.25">
      <c r="A803" s="3">
        <v>44187</v>
      </c>
      <c r="B803" s="4">
        <v>469.05</v>
      </c>
      <c r="C803" s="4">
        <v>455</v>
      </c>
      <c r="D803" s="4">
        <v>470.85</v>
      </c>
      <c r="E803" s="4">
        <v>438.8</v>
      </c>
      <c r="F803" s="4" t="str">
        <v>4.49M</v>
      </c>
      <c r="G803" s="4" t="str">
        <v>3.59%</v>
      </c>
      <c r="H803" s="3">
        <v>44187</v>
      </c>
      <c r="I803" s="4">
        <v>454.82500000000005</v>
      </c>
      <c r="O803" s="4">
        <v>734</v>
      </c>
    </row>
    <row r="804" spans="1:15" x14ac:dyDescent="0.25">
      <c r="A804" s="3">
        <v>44186</v>
      </c>
      <c r="B804" s="4">
        <v>452.8</v>
      </c>
      <c r="C804" s="4">
        <v>476.6</v>
      </c>
      <c r="D804" s="4">
        <v>485.75</v>
      </c>
      <c r="E804" s="4">
        <v>428.95</v>
      </c>
      <c r="F804" s="4" t="str">
        <v>7.65M</v>
      </c>
      <c r="G804" s="4" t="str">
        <v>-4.99%</v>
      </c>
      <c r="H804" s="3">
        <v>44186</v>
      </c>
      <c r="I804" s="4">
        <v>457.35</v>
      </c>
      <c r="O804" s="4">
        <v>733</v>
      </c>
    </row>
    <row r="805" spans="1:15" x14ac:dyDescent="0.25">
      <c r="A805" s="3">
        <v>44183</v>
      </c>
      <c r="B805" s="4">
        <v>476.6</v>
      </c>
      <c r="C805" s="4">
        <v>475.4</v>
      </c>
      <c r="D805" s="4">
        <v>479.45</v>
      </c>
      <c r="E805" s="4">
        <v>470</v>
      </c>
      <c r="F805" s="4" t="str">
        <v>2.44M</v>
      </c>
      <c r="G805" s="4" t="str">
        <v>0.33%</v>
      </c>
      <c r="H805" s="3">
        <v>44183</v>
      </c>
      <c r="I805" s="4">
        <v>474.72500000000002</v>
      </c>
      <c r="O805" s="4">
        <v>732</v>
      </c>
    </row>
    <row r="806" spans="1:15" x14ac:dyDescent="0.25">
      <c r="A806" s="3">
        <v>44182</v>
      </c>
      <c r="B806" s="4">
        <v>475.05</v>
      </c>
      <c r="C806" s="4">
        <v>469</v>
      </c>
      <c r="D806" s="4">
        <v>481</v>
      </c>
      <c r="E806" s="4">
        <v>468.1</v>
      </c>
      <c r="F806" s="4" t="str">
        <v>4.53M</v>
      </c>
      <c r="G806" s="4" t="str">
        <v>1.29%</v>
      </c>
      <c r="H806" s="3">
        <v>44182</v>
      </c>
      <c r="I806" s="4">
        <v>474.55</v>
      </c>
      <c r="O806" s="4">
        <v>731</v>
      </c>
    </row>
    <row r="807" spans="1:15" x14ac:dyDescent="0.25">
      <c r="A807" s="3">
        <v>44181</v>
      </c>
      <c r="B807" s="4">
        <v>469</v>
      </c>
      <c r="C807" s="4">
        <v>471</v>
      </c>
      <c r="D807" s="4">
        <v>472.85</v>
      </c>
      <c r="E807" s="4">
        <v>465.9</v>
      </c>
      <c r="F807" s="4" t="str">
        <v>2.63M</v>
      </c>
      <c r="G807" s="4" t="str">
        <v>0.46%</v>
      </c>
      <c r="H807" s="3">
        <v>44181</v>
      </c>
      <c r="I807" s="4">
        <v>469.375</v>
      </c>
      <c r="O807" s="4">
        <v>730</v>
      </c>
    </row>
    <row r="808" spans="1:15" x14ac:dyDescent="0.25">
      <c r="A808" s="3">
        <v>44180</v>
      </c>
      <c r="B808" s="4">
        <v>466.85</v>
      </c>
      <c r="C808" s="4">
        <v>473</v>
      </c>
      <c r="D808" s="4">
        <v>475.45</v>
      </c>
      <c r="E808" s="4">
        <v>465</v>
      </c>
      <c r="F808" s="4" t="str">
        <v>2.94M</v>
      </c>
      <c r="G808" s="4" t="str">
        <v>-0.64%</v>
      </c>
      <c r="H808" s="3">
        <v>44180</v>
      </c>
      <c r="I808" s="4">
        <v>470.22500000000002</v>
      </c>
      <c r="O808" s="4">
        <v>729</v>
      </c>
    </row>
    <row r="809" spans="1:15" x14ac:dyDescent="0.25">
      <c r="A809" s="3">
        <v>44179</v>
      </c>
      <c r="B809" s="4">
        <v>469.85</v>
      </c>
      <c r="C809" s="4">
        <v>469</v>
      </c>
      <c r="D809" s="4">
        <v>473.7</v>
      </c>
      <c r="E809" s="4">
        <v>466.55</v>
      </c>
      <c r="F809" s="4" t="str">
        <v>2.08M</v>
      </c>
      <c r="G809" s="4" t="str">
        <v>0.69%</v>
      </c>
      <c r="H809" s="3">
        <v>44179</v>
      </c>
      <c r="I809" s="4">
        <v>470.125</v>
      </c>
      <c r="O809" s="4">
        <v>728</v>
      </c>
    </row>
    <row r="810" spans="1:15" x14ac:dyDescent="0.25">
      <c r="A810" s="3">
        <v>44176</v>
      </c>
      <c r="B810" s="4">
        <v>466.65</v>
      </c>
      <c r="C810" s="4">
        <v>470.95</v>
      </c>
      <c r="D810" s="4">
        <v>472.95</v>
      </c>
      <c r="E810" s="4">
        <v>461</v>
      </c>
      <c r="F810" s="4" t="str">
        <v>1.63M</v>
      </c>
      <c r="G810" s="4" t="str">
        <v>-0.62%</v>
      </c>
      <c r="H810" s="3">
        <v>44176</v>
      </c>
      <c r="I810" s="4">
        <v>466.97500000000002</v>
      </c>
      <c r="O810" s="4">
        <v>727</v>
      </c>
    </row>
    <row r="811" spans="1:15" x14ac:dyDescent="0.25">
      <c r="A811" s="3">
        <v>44175</v>
      </c>
      <c r="B811" s="4">
        <v>469.55</v>
      </c>
      <c r="C811" s="4">
        <v>468.6</v>
      </c>
      <c r="D811" s="4">
        <v>475.45</v>
      </c>
      <c r="E811" s="4">
        <v>464</v>
      </c>
      <c r="F811" s="4" t="str">
        <v>2.91M</v>
      </c>
      <c r="G811" s="4" t="str">
        <v>0.34%</v>
      </c>
      <c r="H811" s="3">
        <v>44175</v>
      </c>
      <c r="I811" s="4">
        <v>469.72500000000002</v>
      </c>
      <c r="O811" s="4">
        <v>726</v>
      </c>
    </row>
    <row r="812" spans="1:15" x14ac:dyDescent="0.25">
      <c r="A812" s="3">
        <v>44174</v>
      </c>
      <c r="B812" s="4">
        <v>467.95</v>
      </c>
      <c r="C812" s="4">
        <v>468.5</v>
      </c>
      <c r="D812" s="4">
        <v>474.4</v>
      </c>
      <c r="E812" s="4">
        <v>463.4</v>
      </c>
      <c r="F812" s="4" t="str">
        <v>3.66M</v>
      </c>
      <c r="G812" s="4" t="str">
        <v>0.62%</v>
      </c>
      <c r="H812" s="3">
        <v>44174</v>
      </c>
      <c r="I812" s="4">
        <v>468.9</v>
      </c>
      <c r="O812" s="4">
        <v>725</v>
      </c>
    </row>
    <row r="813" spans="1:15" x14ac:dyDescent="0.25">
      <c r="A813" s="3">
        <v>44173</v>
      </c>
      <c r="B813" s="4">
        <v>465.05</v>
      </c>
      <c r="C813" s="4">
        <v>472</v>
      </c>
      <c r="D813" s="4">
        <v>475.7</v>
      </c>
      <c r="E813" s="4">
        <v>463</v>
      </c>
      <c r="F813" s="4" t="str">
        <v>3.06M</v>
      </c>
      <c r="G813" s="4" t="str">
        <v>-1.47%</v>
      </c>
      <c r="H813" s="3">
        <v>44173</v>
      </c>
      <c r="I813" s="4">
        <v>469.35</v>
      </c>
      <c r="O813" s="4">
        <v>724</v>
      </c>
    </row>
    <row r="814" spans="1:15" x14ac:dyDescent="0.25">
      <c r="A814" s="3">
        <v>44172</v>
      </c>
      <c r="B814" s="4">
        <v>472</v>
      </c>
      <c r="C814" s="4">
        <v>471.9</v>
      </c>
      <c r="D814" s="4">
        <v>480.95</v>
      </c>
      <c r="E814" s="4">
        <v>466.85</v>
      </c>
      <c r="F814" s="4" t="str">
        <v>5.15M</v>
      </c>
      <c r="G814" s="4" t="str">
        <v>0.20%</v>
      </c>
      <c r="H814" s="3">
        <v>44172</v>
      </c>
      <c r="I814" s="4">
        <v>473.9</v>
      </c>
      <c r="O814" s="4">
        <v>723</v>
      </c>
    </row>
    <row r="815" spans="1:15" x14ac:dyDescent="0.25">
      <c r="A815" s="3">
        <v>44169</v>
      </c>
      <c r="B815" s="4">
        <v>471.05</v>
      </c>
      <c r="C815" s="4">
        <v>464</v>
      </c>
      <c r="D815" s="4">
        <v>475.8</v>
      </c>
      <c r="E815" s="4">
        <v>458.05</v>
      </c>
      <c r="F815" s="4" t="str">
        <v>7.40M</v>
      </c>
      <c r="G815" s="4" t="str">
        <v>1.75%</v>
      </c>
      <c r="H815" s="3">
        <v>44169</v>
      </c>
      <c r="I815" s="4">
        <v>466.92500000000001</v>
      </c>
      <c r="O815" s="4">
        <v>722</v>
      </c>
    </row>
    <row r="816" spans="1:15" x14ac:dyDescent="0.25">
      <c r="A816" s="3">
        <v>44168</v>
      </c>
      <c r="B816" s="4">
        <v>462.95</v>
      </c>
      <c r="C816" s="4">
        <v>450.8</v>
      </c>
      <c r="D816" s="4">
        <v>463.8</v>
      </c>
      <c r="E816" s="4">
        <v>450.8</v>
      </c>
      <c r="F816" s="4" t="str">
        <v>4.51M</v>
      </c>
      <c r="G816" s="4" t="str">
        <v>2.70%</v>
      </c>
      <c r="H816" s="3">
        <v>44168</v>
      </c>
      <c r="I816" s="4">
        <v>457.3</v>
      </c>
      <c r="O816" s="4">
        <v>721</v>
      </c>
    </row>
    <row r="817" spans="1:15" x14ac:dyDescent="0.25">
      <c r="A817" s="3">
        <v>44167</v>
      </c>
      <c r="B817" s="4">
        <v>450.8</v>
      </c>
      <c r="C817" s="4">
        <v>453</v>
      </c>
      <c r="D817" s="4">
        <v>455.85</v>
      </c>
      <c r="E817" s="4">
        <v>445.1</v>
      </c>
      <c r="F817" s="4" t="str">
        <v>2.98M</v>
      </c>
      <c r="G817" s="4" t="str">
        <v>-0.63%</v>
      </c>
      <c r="H817" s="3">
        <v>44167</v>
      </c>
      <c r="I817" s="4">
        <v>450.47500000000002</v>
      </c>
      <c r="O817" s="4">
        <v>720</v>
      </c>
    </row>
    <row r="818" spans="1:15" x14ac:dyDescent="0.25">
      <c r="A818" s="3">
        <v>44166</v>
      </c>
      <c r="B818" s="4">
        <v>453.65</v>
      </c>
      <c r="C818" s="4">
        <v>459.1</v>
      </c>
      <c r="D818" s="4">
        <v>459.4</v>
      </c>
      <c r="E818" s="4">
        <v>442.3</v>
      </c>
      <c r="F818" s="4" t="str">
        <v>6.87M</v>
      </c>
      <c r="G818" s="4" t="str">
        <v>0.79%</v>
      </c>
      <c r="H818" s="3">
        <v>44166</v>
      </c>
      <c r="I818" s="4">
        <v>450.85</v>
      </c>
      <c r="O818" s="4">
        <v>719</v>
      </c>
    </row>
    <row r="819" spans="1:15" x14ac:dyDescent="0.25">
      <c r="A819" s="3">
        <v>44162</v>
      </c>
      <c r="B819" s="4">
        <v>450.1</v>
      </c>
      <c r="C819" s="4">
        <v>439</v>
      </c>
      <c r="D819" s="4">
        <v>459</v>
      </c>
      <c r="E819" s="4">
        <v>432.2</v>
      </c>
      <c r="F819" s="4" t="str">
        <v>19.53M</v>
      </c>
      <c r="G819" s="4" t="str">
        <v>6.58%</v>
      </c>
      <c r="H819" s="3">
        <v>44162</v>
      </c>
      <c r="I819" s="4">
        <v>445.6</v>
      </c>
      <c r="O819" s="4">
        <v>718</v>
      </c>
    </row>
    <row r="820" spans="1:15" x14ac:dyDescent="0.25">
      <c r="A820" s="3">
        <v>44161</v>
      </c>
      <c r="B820" s="4">
        <v>422.3</v>
      </c>
      <c r="C820" s="4">
        <v>422</v>
      </c>
      <c r="D820" s="4">
        <v>426.8</v>
      </c>
      <c r="E820" s="4">
        <v>418.1</v>
      </c>
      <c r="F820" s="4" t="str">
        <v>2.59M</v>
      </c>
      <c r="G820" s="4" t="str">
        <v>0.19%</v>
      </c>
      <c r="H820" s="3">
        <v>44161</v>
      </c>
      <c r="I820" s="4">
        <v>422.45000000000005</v>
      </c>
      <c r="O820" s="4">
        <v>717</v>
      </c>
    </row>
    <row r="821" spans="1:15" x14ac:dyDescent="0.25">
      <c r="A821" s="3">
        <v>44160</v>
      </c>
      <c r="B821" s="4">
        <v>421.5</v>
      </c>
      <c r="C821" s="4">
        <v>431.5</v>
      </c>
      <c r="D821" s="4">
        <v>432.35</v>
      </c>
      <c r="E821" s="4">
        <v>419.55</v>
      </c>
      <c r="F821" s="4" t="str">
        <v>2.53M</v>
      </c>
      <c r="G821" s="4" t="str">
        <v>-1.77%</v>
      </c>
      <c r="H821" s="3">
        <v>44160</v>
      </c>
      <c r="I821" s="4">
        <v>425.95000000000005</v>
      </c>
      <c r="O821" s="4">
        <v>716</v>
      </c>
    </row>
    <row r="822" spans="1:15" x14ac:dyDescent="0.25">
      <c r="A822" s="3">
        <v>44159</v>
      </c>
      <c r="B822" s="4">
        <v>429.1</v>
      </c>
      <c r="C822" s="4">
        <v>432</v>
      </c>
      <c r="D822" s="4">
        <v>434.2</v>
      </c>
      <c r="E822" s="4">
        <v>425.5</v>
      </c>
      <c r="F822" s="4" t="str">
        <v>3.00M</v>
      </c>
      <c r="G822" s="4" t="str">
        <v>-0.87%</v>
      </c>
      <c r="H822" s="3">
        <v>44159</v>
      </c>
      <c r="I822" s="4">
        <v>429.85</v>
      </c>
      <c r="O822" s="4">
        <v>715</v>
      </c>
    </row>
    <row r="823" spans="1:15" x14ac:dyDescent="0.25">
      <c r="A823" s="3">
        <v>44158</v>
      </c>
      <c r="B823" s="4">
        <v>432.85</v>
      </c>
      <c r="C823" s="4">
        <v>429.65</v>
      </c>
      <c r="D823" s="4">
        <v>437.85</v>
      </c>
      <c r="E823" s="4">
        <v>425.1</v>
      </c>
      <c r="F823" s="4" t="str">
        <v>3.74M</v>
      </c>
      <c r="G823" s="4" t="str">
        <v>1.66%</v>
      </c>
      <c r="H823" s="3">
        <v>44158</v>
      </c>
      <c r="I823" s="4">
        <v>431.47500000000002</v>
      </c>
      <c r="O823" s="4">
        <v>714</v>
      </c>
    </row>
    <row r="824" spans="1:15" x14ac:dyDescent="0.25">
      <c r="A824" s="3">
        <v>44155</v>
      </c>
      <c r="B824" s="4">
        <v>425.8</v>
      </c>
      <c r="C824" s="4">
        <v>434</v>
      </c>
      <c r="D824" s="4">
        <v>434.4</v>
      </c>
      <c r="E824" s="4">
        <v>423.7</v>
      </c>
      <c r="F824" s="4" t="str">
        <v>2.80M</v>
      </c>
      <c r="G824" s="4" t="str">
        <v>-1.14%</v>
      </c>
      <c r="H824" s="3">
        <v>44155</v>
      </c>
      <c r="I824" s="4">
        <v>429.04999999999995</v>
      </c>
      <c r="O824" s="4">
        <v>713</v>
      </c>
    </row>
    <row r="825" spans="1:15" x14ac:dyDescent="0.25">
      <c r="A825" s="3">
        <v>44154</v>
      </c>
      <c r="B825" s="4">
        <v>430.7</v>
      </c>
      <c r="C825" s="4">
        <v>430.55</v>
      </c>
      <c r="D825" s="4">
        <v>438.85</v>
      </c>
      <c r="E825" s="4">
        <v>427.1</v>
      </c>
      <c r="F825" s="4" t="str">
        <v>3.61M</v>
      </c>
      <c r="G825" s="4" t="str">
        <v>0.42%</v>
      </c>
      <c r="H825" s="3">
        <v>44154</v>
      </c>
      <c r="I825" s="4">
        <v>432.97500000000002</v>
      </c>
      <c r="O825" s="4">
        <v>712</v>
      </c>
    </row>
    <row r="826" spans="1:15" x14ac:dyDescent="0.25">
      <c r="A826" s="3">
        <v>44153</v>
      </c>
      <c r="B826" s="4">
        <v>428.9</v>
      </c>
      <c r="C826" s="4">
        <v>429.8</v>
      </c>
      <c r="D826" s="4">
        <v>435.8</v>
      </c>
      <c r="E826" s="4">
        <v>425.65</v>
      </c>
      <c r="F826" s="4" t="str">
        <v>3.34M</v>
      </c>
      <c r="G826" s="4" t="str">
        <v>-0.22%</v>
      </c>
      <c r="H826" s="3">
        <v>44153</v>
      </c>
      <c r="I826" s="4">
        <v>430.72500000000002</v>
      </c>
      <c r="O826" s="4">
        <v>711</v>
      </c>
    </row>
    <row r="827" spans="1:15" x14ac:dyDescent="0.25">
      <c r="A827" s="3">
        <v>44152</v>
      </c>
      <c r="B827" s="4">
        <v>429.85</v>
      </c>
      <c r="C827" s="4">
        <v>432</v>
      </c>
      <c r="D827" s="4">
        <v>433.95</v>
      </c>
      <c r="E827" s="4">
        <v>426</v>
      </c>
      <c r="F827" s="4" t="str">
        <v>3.85M</v>
      </c>
      <c r="G827" s="4" t="str">
        <v>1.00%</v>
      </c>
      <c r="H827" s="3">
        <v>44152</v>
      </c>
      <c r="I827" s="4">
        <v>429.97500000000002</v>
      </c>
      <c r="O827" s="4">
        <v>710</v>
      </c>
    </row>
    <row r="828" spans="1:15" x14ac:dyDescent="0.25">
      <c r="A828" s="3">
        <v>44148</v>
      </c>
      <c r="B828" s="4">
        <v>425.6</v>
      </c>
      <c r="C828" s="4">
        <v>427.95</v>
      </c>
      <c r="D828" s="4">
        <v>432.75</v>
      </c>
      <c r="E828" s="4">
        <v>424.1</v>
      </c>
      <c r="F828" s="4" t="str">
        <v>5.44M</v>
      </c>
      <c r="G828" s="4" t="str">
        <v>-0.11%</v>
      </c>
      <c r="H828" s="3">
        <v>44148</v>
      </c>
      <c r="I828" s="4">
        <v>428.42500000000001</v>
      </c>
      <c r="O828" s="4">
        <v>708</v>
      </c>
    </row>
    <row r="829" spans="1:15" x14ac:dyDescent="0.25">
      <c r="A829" s="3">
        <v>44147</v>
      </c>
      <c r="B829" s="4">
        <v>426.05</v>
      </c>
      <c r="C829" s="4">
        <v>418.4</v>
      </c>
      <c r="D829" s="4">
        <v>435.4</v>
      </c>
      <c r="E829" s="4">
        <v>413.85</v>
      </c>
      <c r="F829" s="4" t="str">
        <v>9.04M</v>
      </c>
      <c r="G829" s="4" t="str">
        <v>2.31%</v>
      </c>
      <c r="H829" s="3">
        <v>44147</v>
      </c>
      <c r="I829" s="4">
        <v>424.625</v>
      </c>
      <c r="O829" s="4">
        <v>707</v>
      </c>
    </row>
    <row r="830" spans="1:15" x14ac:dyDescent="0.25">
      <c r="A830" s="3">
        <v>44146</v>
      </c>
      <c r="B830" s="4">
        <v>416.45</v>
      </c>
      <c r="C830" s="4">
        <v>414.9</v>
      </c>
      <c r="D830" s="4">
        <v>419</v>
      </c>
      <c r="E830" s="4">
        <v>411.1</v>
      </c>
      <c r="F830" s="4" t="str">
        <v>5.86M</v>
      </c>
      <c r="G830" s="4" t="str">
        <v>1.72%</v>
      </c>
      <c r="H830" s="3">
        <v>44146</v>
      </c>
      <c r="I830" s="4">
        <v>415.05</v>
      </c>
      <c r="O830" s="4">
        <v>706</v>
      </c>
    </row>
    <row r="831" spans="1:15" x14ac:dyDescent="0.25">
      <c r="A831" s="3">
        <v>44145</v>
      </c>
      <c r="B831" s="4">
        <v>409.4</v>
      </c>
      <c r="C831" s="4">
        <v>440</v>
      </c>
      <c r="D831" s="4">
        <v>440</v>
      </c>
      <c r="E831" s="4">
        <v>406.25</v>
      </c>
      <c r="F831" s="4" t="str">
        <v>7.15M</v>
      </c>
      <c r="G831" s="4" t="str">
        <v>-6.44%</v>
      </c>
      <c r="H831" s="3">
        <v>44145</v>
      </c>
      <c r="I831" s="4">
        <v>423.125</v>
      </c>
      <c r="O831" s="4">
        <v>705</v>
      </c>
    </row>
    <row r="832" spans="1:15" x14ac:dyDescent="0.25">
      <c r="A832" s="3">
        <v>44144</v>
      </c>
      <c r="B832" s="4">
        <v>437.6</v>
      </c>
      <c r="C832" s="4">
        <v>436.1</v>
      </c>
      <c r="D832" s="4">
        <v>438.9</v>
      </c>
      <c r="E832" s="4">
        <v>429</v>
      </c>
      <c r="F832" s="4" t="str">
        <v>4.11M</v>
      </c>
      <c r="G832" s="4" t="str">
        <v>1.23%</v>
      </c>
      <c r="H832" s="3">
        <v>44144</v>
      </c>
      <c r="I832" s="4">
        <v>433.95</v>
      </c>
      <c r="O832" s="4">
        <v>704</v>
      </c>
    </row>
    <row r="833" spans="1:15" x14ac:dyDescent="0.25">
      <c r="A833" s="3">
        <v>44141</v>
      </c>
      <c r="B833" s="4">
        <v>432.3</v>
      </c>
      <c r="C833" s="4">
        <v>442.9</v>
      </c>
      <c r="D833" s="4">
        <v>444.35</v>
      </c>
      <c r="E833" s="4">
        <v>430.4</v>
      </c>
      <c r="F833" s="4" t="str">
        <v>4.20M</v>
      </c>
      <c r="G833" s="4" t="str">
        <v>-2.39%</v>
      </c>
      <c r="H833" s="3">
        <v>44141</v>
      </c>
      <c r="I833" s="4">
        <v>437.375</v>
      </c>
      <c r="O833" s="4">
        <v>703</v>
      </c>
    </row>
    <row r="834" spans="1:15" x14ac:dyDescent="0.25">
      <c r="A834" s="3">
        <v>44140</v>
      </c>
      <c r="B834" s="4">
        <v>442.9</v>
      </c>
      <c r="C834" s="4">
        <v>446</v>
      </c>
      <c r="D834" s="4">
        <v>449.8</v>
      </c>
      <c r="E834" s="4">
        <v>437.25</v>
      </c>
      <c r="F834" s="4" t="str">
        <v>5.28M</v>
      </c>
      <c r="G834" s="4" t="str">
        <v>0.82%</v>
      </c>
      <c r="H834" s="3">
        <v>44140</v>
      </c>
      <c r="I834" s="4">
        <v>443.52499999999998</v>
      </c>
      <c r="O834" s="4">
        <v>702</v>
      </c>
    </row>
    <row r="835" spans="1:15" x14ac:dyDescent="0.25">
      <c r="A835" s="3">
        <v>44139</v>
      </c>
      <c r="B835" s="4">
        <v>439.3</v>
      </c>
      <c r="C835" s="4">
        <v>436.95</v>
      </c>
      <c r="D835" s="4">
        <v>444.4</v>
      </c>
      <c r="E835" s="4">
        <v>432.6</v>
      </c>
      <c r="F835" s="4" t="str">
        <v>6.35M</v>
      </c>
      <c r="G835" s="4" t="str">
        <v>0.38%</v>
      </c>
      <c r="H835" s="3">
        <v>44139</v>
      </c>
      <c r="I835" s="4">
        <v>438.5</v>
      </c>
      <c r="O835" s="4">
        <v>701</v>
      </c>
    </row>
    <row r="836" spans="1:15" x14ac:dyDescent="0.25">
      <c r="A836" s="3">
        <v>44138</v>
      </c>
      <c r="B836" s="4">
        <v>437.65</v>
      </c>
      <c r="C836" s="4">
        <v>420</v>
      </c>
      <c r="D836" s="4">
        <v>464</v>
      </c>
      <c r="E836" s="4">
        <v>416</v>
      </c>
      <c r="F836" s="4" t="str">
        <v>30.22M</v>
      </c>
      <c r="G836" s="4" t="str">
        <v>6.57%</v>
      </c>
      <c r="H836" s="3">
        <v>44138</v>
      </c>
      <c r="I836" s="4">
        <v>440</v>
      </c>
      <c r="O836" s="4">
        <v>700</v>
      </c>
    </row>
    <row r="837" spans="1:15" x14ac:dyDescent="0.25">
      <c r="A837" s="3">
        <v>44137</v>
      </c>
      <c r="B837" s="4">
        <v>410.65</v>
      </c>
      <c r="C837" s="4">
        <v>418</v>
      </c>
      <c r="D837" s="4">
        <v>423.45</v>
      </c>
      <c r="E837" s="4">
        <v>404</v>
      </c>
      <c r="F837" s="4" t="str">
        <v>2.96M</v>
      </c>
      <c r="G837" s="4" t="str">
        <v>-1.69%</v>
      </c>
      <c r="H837" s="3">
        <v>44137</v>
      </c>
      <c r="I837" s="4">
        <v>413.72500000000002</v>
      </c>
      <c r="O837" s="4">
        <v>699</v>
      </c>
    </row>
    <row r="838" spans="1:15" x14ac:dyDescent="0.25">
      <c r="A838" s="3">
        <v>44134</v>
      </c>
      <c r="B838" s="4">
        <v>417.7</v>
      </c>
      <c r="C838" s="4">
        <v>413.1</v>
      </c>
      <c r="D838" s="4">
        <v>419</v>
      </c>
      <c r="E838" s="4">
        <v>408.4</v>
      </c>
      <c r="F838" s="4" t="str">
        <v>2.53M</v>
      </c>
      <c r="G838" s="4" t="str">
        <v>1.59%</v>
      </c>
      <c r="H838" s="3">
        <v>44134</v>
      </c>
      <c r="I838" s="4">
        <v>413.7</v>
      </c>
      <c r="O838" s="4">
        <v>698</v>
      </c>
    </row>
    <row r="839" spans="1:15" x14ac:dyDescent="0.25">
      <c r="A839" s="3">
        <v>44133</v>
      </c>
      <c r="B839" s="4">
        <v>411.15</v>
      </c>
      <c r="C839" s="4">
        <v>417</v>
      </c>
      <c r="D839" s="4">
        <v>420</v>
      </c>
      <c r="E839" s="4">
        <v>407.5</v>
      </c>
      <c r="F839" s="4" t="str">
        <v>2.43M</v>
      </c>
      <c r="G839" s="4" t="str">
        <v>-1.76%</v>
      </c>
      <c r="H839" s="3">
        <v>44133</v>
      </c>
      <c r="I839" s="4">
        <v>413.75</v>
      </c>
      <c r="O839" s="4">
        <v>697</v>
      </c>
    </row>
    <row r="840" spans="1:15" x14ac:dyDescent="0.25">
      <c r="A840" s="3">
        <v>44132</v>
      </c>
      <c r="B840" s="4">
        <v>418.5</v>
      </c>
      <c r="C840" s="4">
        <v>425</v>
      </c>
      <c r="D840" s="4">
        <v>427.8</v>
      </c>
      <c r="E840" s="4">
        <v>416.9</v>
      </c>
      <c r="F840" s="4" t="str">
        <v>2.58M</v>
      </c>
      <c r="G840" s="4" t="str">
        <v>-1.18%</v>
      </c>
      <c r="H840" s="3">
        <v>44132</v>
      </c>
      <c r="I840" s="4">
        <v>422.35</v>
      </c>
      <c r="O840" s="4">
        <v>696</v>
      </c>
    </row>
    <row r="841" spans="1:15" x14ac:dyDescent="0.25">
      <c r="A841" s="3">
        <v>44131</v>
      </c>
      <c r="B841" s="4">
        <v>423.5</v>
      </c>
      <c r="C841" s="4">
        <v>420</v>
      </c>
      <c r="D841" s="4">
        <v>424.7</v>
      </c>
      <c r="E841" s="4">
        <v>416.15</v>
      </c>
      <c r="F841" s="4" t="str">
        <v>2.41M</v>
      </c>
      <c r="G841" s="4" t="str">
        <v>1.11%</v>
      </c>
      <c r="H841" s="3">
        <v>44131</v>
      </c>
      <c r="I841" s="4">
        <v>420.42499999999995</v>
      </c>
      <c r="O841" s="4">
        <v>695</v>
      </c>
    </row>
    <row r="842" spans="1:15" x14ac:dyDescent="0.25">
      <c r="A842" s="3">
        <v>44130</v>
      </c>
      <c r="B842" s="4">
        <v>418.85</v>
      </c>
      <c r="C842" s="4">
        <v>425.5</v>
      </c>
      <c r="D842" s="4">
        <v>430</v>
      </c>
      <c r="E842" s="4">
        <v>414.5</v>
      </c>
      <c r="F842" s="4" t="str">
        <v>2.71M</v>
      </c>
      <c r="G842" s="4" t="str">
        <v>-1.28%</v>
      </c>
      <c r="H842" s="3">
        <v>44130</v>
      </c>
      <c r="I842" s="4">
        <v>422.25</v>
      </c>
      <c r="O842" s="4">
        <v>694</v>
      </c>
    </row>
    <row r="843" spans="1:15" x14ac:dyDescent="0.25">
      <c r="A843" s="3">
        <v>44127</v>
      </c>
      <c r="B843" s="4">
        <v>424.3</v>
      </c>
      <c r="C843" s="4">
        <v>428</v>
      </c>
      <c r="D843" s="4">
        <v>434.65</v>
      </c>
      <c r="E843" s="4">
        <v>423.05</v>
      </c>
      <c r="F843" s="4" t="str">
        <v>4.44M</v>
      </c>
      <c r="G843" s="4" t="str">
        <v>-0.32%</v>
      </c>
      <c r="H843" s="3">
        <v>44127</v>
      </c>
      <c r="I843" s="4">
        <v>428.85</v>
      </c>
      <c r="O843" s="4">
        <v>693</v>
      </c>
    </row>
    <row r="844" spans="1:15" x14ac:dyDescent="0.25">
      <c r="A844" s="3">
        <v>44126</v>
      </c>
      <c r="B844" s="4">
        <v>425.65</v>
      </c>
      <c r="C844" s="4">
        <v>425</v>
      </c>
      <c r="D844" s="4">
        <v>427.15</v>
      </c>
      <c r="E844" s="4">
        <v>415.6</v>
      </c>
      <c r="F844" s="4" t="str">
        <v>2.95M</v>
      </c>
      <c r="G844" s="4" t="str">
        <v>-0.16%</v>
      </c>
      <c r="H844" s="3">
        <v>44126</v>
      </c>
      <c r="I844" s="4">
        <v>421.375</v>
      </c>
      <c r="O844" s="4">
        <v>692</v>
      </c>
    </row>
    <row r="845" spans="1:15" x14ac:dyDescent="0.25">
      <c r="A845" s="3">
        <v>44125</v>
      </c>
      <c r="B845" s="4">
        <v>426.35</v>
      </c>
      <c r="C845" s="4">
        <v>428.2</v>
      </c>
      <c r="D845" s="4">
        <v>432.45</v>
      </c>
      <c r="E845" s="4">
        <v>418.1</v>
      </c>
      <c r="F845" s="4" t="str">
        <v>3.56M</v>
      </c>
      <c r="G845" s="4" t="str">
        <v>-0.43%</v>
      </c>
      <c r="H845" s="3">
        <v>44125</v>
      </c>
      <c r="I845" s="4">
        <v>425.27499999999998</v>
      </c>
      <c r="O845" s="4">
        <v>691</v>
      </c>
    </row>
    <row r="846" spans="1:15" x14ac:dyDescent="0.25">
      <c r="A846" s="3">
        <v>44124</v>
      </c>
      <c r="B846" s="4">
        <v>428.2</v>
      </c>
      <c r="C846" s="4">
        <v>420</v>
      </c>
      <c r="D846" s="4">
        <v>430.95</v>
      </c>
      <c r="E846" s="4">
        <v>417.35</v>
      </c>
      <c r="F846" s="4" t="str">
        <v>4.54M</v>
      </c>
      <c r="G846" s="4" t="str">
        <v>1.30%</v>
      </c>
      <c r="H846" s="3">
        <v>44124</v>
      </c>
      <c r="I846" s="4">
        <v>424.15</v>
      </c>
      <c r="O846" s="4">
        <v>690</v>
      </c>
    </row>
    <row r="847" spans="1:15" x14ac:dyDescent="0.25">
      <c r="A847" s="3">
        <v>44123</v>
      </c>
      <c r="B847" s="4">
        <v>422.7</v>
      </c>
      <c r="C847" s="4">
        <v>435.9</v>
      </c>
      <c r="D847" s="4">
        <v>435.9</v>
      </c>
      <c r="E847" s="4">
        <v>419.8</v>
      </c>
      <c r="F847" s="4" t="str">
        <v>3.62M</v>
      </c>
      <c r="G847" s="4" t="str">
        <v>-1.79%</v>
      </c>
      <c r="H847" s="3">
        <v>44123</v>
      </c>
      <c r="I847" s="4">
        <v>427.85</v>
      </c>
      <c r="O847" s="4">
        <v>689</v>
      </c>
    </row>
    <row r="848" spans="1:15" x14ac:dyDescent="0.25">
      <c r="A848" s="3">
        <v>44120</v>
      </c>
      <c r="B848" s="4">
        <v>430.4</v>
      </c>
      <c r="C848" s="4">
        <v>413.6</v>
      </c>
      <c r="D848" s="4">
        <v>432.2</v>
      </c>
      <c r="E848" s="4">
        <v>411.3</v>
      </c>
      <c r="F848" s="4" t="str">
        <v>6.97M</v>
      </c>
      <c r="G848" s="4" t="str">
        <v>3.49%</v>
      </c>
      <c r="H848" s="3">
        <v>44120</v>
      </c>
      <c r="I848" s="4">
        <v>421.75</v>
      </c>
      <c r="O848" s="4">
        <v>688</v>
      </c>
    </row>
    <row r="849" spans="1:15" x14ac:dyDescent="0.25">
      <c r="A849" s="3">
        <v>44119</v>
      </c>
      <c r="B849" s="4">
        <v>415.9</v>
      </c>
      <c r="C849" s="4">
        <v>430.6</v>
      </c>
      <c r="D849" s="4">
        <v>433</v>
      </c>
      <c r="E849" s="4">
        <v>414.8</v>
      </c>
      <c r="F849" s="4" t="str">
        <v>3.83M</v>
      </c>
      <c r="G849" s="4" t="str">
        <v>-3.40%</v>
      </c>
      <c r="H849" s="3">
        <v>44119</v>
      </c>
      <c r="I849" s="4">
        <v>423.9</v>
      </c>
      <c r="O849" s="4">
        <v>687</v>
      </c>
    </row>
    <row r="850" spans="1:15" x14ac:dyDescent="0.25">
      <c r="A850" s="3">
        <v>44118</v>
      </c>
      <c r="B850" s="4">
        <v>430.55</v>
      </c>
      <c r="C850" s="4">
        <v>428.5</v>
      </c>
      <c r="D850" s="4">
        <v>433.6</v>
      </c>
      <c r="E850" s="4">
        <v>422.35</v>
      </c>
      <c r="F850" s="4" t="str">
        <v>3.97M</v>
      </c>
      <c r="G850" s="4" t="str">
        <v>0.10%</v>
      </c>
      <c r="H850" s="3">
        <v>44118</v>
      </c>
      <c r="I850" s="4">
        <v>427.97500000000002</v>
      </c>
      <c r="O850" s="4">
        <v>686</v>
      </c>
    </row>
    <row r="851" spans="1:15" x14ac:dyDescent="0.25">
      <c r="A851" s="3">
        <v>44117</v>
      </c>
      <c r="B851" s="4">
        <v>430.1</v>
      </c>
      <c r="C851" s="4">
        <v>438.5</v>
      </c>
      <c r="D851" s="4">
        <v>446.3</v>
      </c>
      <c r="E851" s="4">
        <v>427.2</v>
      </c>
      <c r="F851" s="4" t="str">
        <v>5.01M</v>
      </c>
      <c r="G851" s="4" t="str">
        <v>-2.58%</v>
      </c>
      <c r="H851" s="3">
        <v>44117</v>
      </c>
      <c r="I851" s="4">
        <v>436.75</v>
      </c>
      <c r="O851" s="4">
        <v>685</v>
      </c>
    </row>
    <row r="852" spans="1:15" x14ac:dyDescent="0.25">
      <c r="A852" s="3">
        <v>44116</v>
      </c>
      <c r="B852" s="4">
        <v>441.5</v>
      </c>
      <c r="C852" s="4">
        <v>438</v>
      </c>
      <c r="D852" s="4">
        <v>443.15</v>
      </c>
      <c r="E852" s="4">
        <v>430.75</v>
      </c>
      <c r="F852" s="4" t="str">
        <v>5.23M</v>
      </c>
      <c r="G852" s="4" t="str">
        <v>0.80%</v>
      </c>
      <c r="H852" s="3">
        <v>44116</v>
      </c>
      <c r="I852" s="4">
        <v>436.95</v>
      </c>
      <c r="O852" s="4">
        <v>684</v>
      </c>
    </row>
    <row r="853" spans="1:15" x14ac:dyDescent="0.25">
      <c r="A853" s="3">
        <v>44113</v>
      </c>
      <c r="B853" s="4">
        <v>438</v>
      </c>
      <c r="C853" s="4">
        <v>436</v>
      </c>
      <c r="D853" s="4">
        <v>447.9</v>
      </c>
      <c r="E853" s="4">
        <v>435</v>
      </c>
      <c r="F853" s="4" t="str">
        <v>9.87M</v>
      </c>
      <c r="G853" s="4" t="str">
        <v>0.44%</v>
      </c>
      <c r="H853" s="3">
        <v>44113</v>
      </c>
      <c r="I853" s="4">
        <v>441.45</v>
      </c>
      <c r="O853" s="4">
        <v>683</v>
      </c>
    </row>
    <row r="854" spans="1:15" x14ac:dyDescent="0.25">
      <c r="A854" s="3">
        <v>44112</v>
      </c>
      <c r="B854" s="4">
        <v>436.1</v>
      </c>
      <c r="C854" s="4">
        <v>415</v>
      </c>
      <c r="D854" s="4">
        <v>438.7</v>
      </c>
      <c r="E854" s="4">
        <v>414.2</v>
      </c>
      <c r="F854" s="4" t="str">
        <v>11.80M</v>
      </c>
      <c r="G854" s="4" t="str">
        <v>5.63%</v>
      </c>
      <c r="H854" s="3">
        <v>44112</v>
      </c>
      <c r="I854" s="4">
        <v>426.45</v>
      </c>
      <c r="O854" s="4">
        <v>682</v>
      </c>
    </row>
    <row r="855" spans="1:15" x14ac:dyDescent="0.25">
      <c r="A855" s="3">
        <v>44111</v>
      </c>
      <c r="B855" s="4">
        <v>412.85</v>
      </c>
      <c r="C855" s="4">
        <v>416.75</v>
      </c>
      <c r="D855" s="4">
        <v>420.35</v>
      </c>
      <c r="E855" s="4">
        <v>405.3</v>
      </c>
      <c r="F855" s="4" t="str">
        <v>4.55M</v>
      </c>
      <c r="G855" s="4" t="str">
        <v>-0.60%</v>
      </c>
      <c r="H855" s="3">
        <v>44111</v>
      </c>
      <c r="I855" s="4">
        <v>412.82500000000005</v>
      </c>
      <c r="O855" s="4">
        <v>681</v>
      </c>
    </row>
    <row r="856" spans="1:15" x14ac:dyDescent="0.25">
      <c r="A856" s="3">
        <v>44110</v>
      </c>
      <c r="B856" s="4">
        <v>415.35</v>
      </c>
      <c r="C856" s="4">
        <v>417.55</v>
      </c>
      <c r="D856" s="4">
        <v>423.45</v>
      </c>
      <c r="E856" s="4">
        <v>412.4</v>
      </c>
      <c r="F856" s="4" t="str">
        <v>6.76M</v>
      </c>
      <c r="G856" s="4" t="str">
        <v>0.31%</v>
      </c>
      <c r="H856" s="3">
        <v>44110</v>
      </c>
      <c r="I856" s="4">
        <v>417.92499999999995</v>
      </c>
      <c r="O856" s="4">
        <v>680</v>
      </c>
    </row>
    <row r="857" spans="1:15" x14ac:dyDescent="0.25">
      <c r="A857" s="3">
        <v>44109</v>
      </c>
      <c r="B857" s="4">
        <v>414.05</v>
      </c>
      <c r="C857" s="4">
        <v>401</v>
      </c>
      <c r="D857" s="4">
        <v>417.4</v>
      </c>
      <c r="E857" s="4">
        <v>395.8</v>
      </c>
      <c r="F857" s="4" t="str">
        <v>6.57M</v>
      </c>
      <c r="G857" s="4" t="str">
        <v>3.97%</v>
      </c>
      <c r="H857" s="3">
        <v>44109</v>
      </c>
      <c r="I857" s="4">
        <v>406.6</v>
      </c>
      <c r="O857" s="4">
        <v>679</v>
      </c>
    </row>
    <row r="858" spans="1:15" x14ac:dyDescent="0.25">
      <c r="A858" s="3">
        <v>44105</v>
      </c>
      <c r="B858" s="4">
        <v>398.25</v>
      </c>
      <c r="C858" s="4">
        <v>398.65</v>
      </c>
      <c r="D858" s="4">
        <v>402.2</v>
      </c>
      <c r="E858" s="4">
        <v>390.75</v>
      </c>
      <c r="F858" s="4" t="str">
        <v>4.53M</v>
      </c>
      <c r="G858" s="4" t="str">
        <v>0.81%</v>
      </c>
      <c r="H858" s="3">
        <v>44105</v>
      </c>
      <c r="I858" s="4">
        <v>396.47500000000002</v>
      </c>
      <c r="O858" s="4">
        <v>678</v>
      </c>
    </row>
    <row r="859" spans="1:15" x14ac:dyDescent="0.25">
      <c r="A859" s="3">
        <v>44104</v>
      </c>
      <c r="B859" s="4">
        <v>395.05</v>
      </c>
      <c r="C859" s="4">
        <v>388.05</v>
      </c>
      <c r="D859" s="4">
        <v>406.5</v>
      </c>
      <c r="E859" s="4">
        <v>386</v>
      </c>
      <c r="F859" s="4" t="str">
        <v>7.59M</v>
      </c>
      <c r="G859" s="4" t="str">
        <v>1.87%</v>
      </c>
      <c r="H859" s="3">
        <v>44104</v>
      </c>
      <c r="I859" s="4">
        <v>396.25</v>
      </c>
      <c r="O859" s="4">
        <v>677</v>
      </c>
    </row>
    <row r="860" spans="1:15" x14ac:dyDescent="0.25">
      <c r="A860" s="3">
        <v>44103</v>
      </c>
      <c r="B860" s="4">
        <v>387.8</v>
      </c>
      <c r="C860" s="4">
        <v>388.1</v>
      </c>
      <c r="D860" s="4">
        <v>394.8</v>
      </c>
      <c r="E860" s="4">
        <v>385.35</v>
      </c>
      <c r="F860" s="4" t="str">
        <v>3.89M</v>
      </c>
      <c r="G860" s="4" t="str">
        <v>-0.72%</v>
      </c>
      <c r="H860" s="3">
        <v>44103</v>
      </c>
      <c r="I860" s="4">
        <v>390.07500000000005</v>
      </c>
      <c r="O860" s="4">
        <v>676</v>
      </c>
    </row>
    <row r="861" spans="1:15" x14ac:dyDescent="0.25">
      <c r="A861" s="3">
        <v>44102</v>
      </c>
      <c r="B861" s="4">
        <v>390.6</v>
      </c>
      <c r="C861" s="4">
        <v>389.1</v>
      </c>
      <c r="D861" s="4">
        <v>392.55</v>
      </c>
      <c r="E861" s="4">
        <v>381.35</v>
      </c>
      <c r="F861" s="4" t="str">
        <v>3.62M</v>
      </c>
      <c r="G861" s="4" t="str">
        <v>1.32%</v>
      </c>
      <c r="H861" s="3">
        <v>44102</v>
      </c>
      <c r="I861" s="4">
        <v>386.95000000000005</v>
      </c>
      <c r="O861" s="4">
        <v>675</v>
      </c>
    </row>
    <row r="862" spans="1:15" x14ac:dyDescent="0.25">
      <c r="A862" s="3">
        <v>44099</v>
      </c>
      <c r="B862" s="4">
        <v>385.5</v>
      </c>
      <c r="C862" s="4">
        <v>379</v>
      </c>
      <c r="D862" s="4">
        <v>389.1</v>
      </c>
      <c r="E862" s="4">
        <v>375.5</v>
      </c>
      <c r="F862" s="4" t="str">
        <v>3.90M</v>
      </c>
      <c r="G862" s="4" t="str">
        <v>2.44%</v>
      </c>
      <c r="H862" s="3">
        <v>44099</v>
      </c>
      <c r="I862" s="4">
        <v>382.3</v>
      </c>
      <c r="O862" s="4">
        <v>674</v>
      </c>
    </row>
    <row r="863" spans="1:15" x14ac:dyDescent="0.25">
      <c r="A863" s="3">
        <v>44098</v>
      </c>
      <c r="B863" s="4">
        <v>376.3</v>
      </c>
      <c r="C863" s="4">
        <v>381.75</v>
      </c>
      <c r="D863" s="4">
        <v>383.8</v>
      </c>
      <c r="E863" s="4">
        <v>374.15</v>
      </c>
      <c r="F863" s="4" t="str">
        <v>3.63M</v>
      </c>
      <c r="G863" s="4" t="str">
        <v>-1.98%</v>
      </c>
      <c r="H863" s="3">
        <v>44098</v>
      </c>
      <c r="I863" s="4">
        <v>378.97500000000002</v>
      </c>
      <c r="O863" s="4">
        <v>673</v>
      </c>
    </row>
    <row r="864" spans="1:15" x14ac:dyDescent="0.25">
      <c r="A864" s="3">
        <v>44097</v>
      </c>
      <c r="B864" s="4">
        <v>383.9</v>
      </c>
      <c r="C864" s="4">
        <v>395</v>
      </c>
      <c r="D864" s="4">
        <v>396</v>
      </c>
      <c r="E864" s="4">
        <v>379.3</v>
      </c>
      <c r="F864" s="4" t="str">
        <v>3.73M</v>
      </c>
      <c r="G864" s="4" t="str">
        <v>-2.34%</v>
      </c>
      <c r="H864" s="3">
        <v>44097</v>
      </c>
      <c r="I864" s="4">
        <v>387.65</v>
      </c>
      <c r="O864" s="4">
        <v>672</v>
      </c>
    </row>
    <row r="865" spans="1:15" x14ac:dyDescent="0.25">
      <c r="A865" s="3">
        <v>44096</v>
      </c>
      <c r="B865" s="4">
        <v>393.1</v>
      </c>
      <c r="C865" s="4">
        <v>397.9</v>
      </c>
      <c r="D865" s="4">
        <v>398.5</v>
      </c>
      <c r="E865" s="4">
        <v>381.25</v>
      </c>
      <c r="F865" s="4" t="str">
        <v>4.93M</v>
      </c>
      <c r="G865" s="4" t="str">
        <v>-0.76%</v>
      </c>
      <c r="H865" s="3">
        <v>44096</v>
      </c>
      <c r="I865" s="4">
        <v>389.875</v>
      </c>
      <c r="O865" s="4">
        <v>671</v>
      </c>
    </row>
    <row r="866" spans="1:15" x14ac:dyDescent="0.25">
      <c r="A866" s="3">
        <v>44095</v>
      </c>
      <c r="B866" s="4">
        <v>396.1</v>
      </c>
      <c r="C866" s="4">
        <v>412.9</v>
      </c>
      <c r="D866" s="4">
        <v>416.95</v>
      </c>
      <c r="E866" s="4">
        <v>390.55</v>
      </c>
      <c r="F866" s="4" t="str">
        <v>8.89M</v>
      </c>
      <c r="G866" s="4" t="str">
        <v>-3.32%</v>
      </c>
      <c r="H866" s="3">
        <v>44095</v>
      </c>
      <c r="I866" s="4">
        <v>403.75</v>
      </c>
      <c r="O866" s="4">
        <v>670</v>
      </c>
    </row>
    <row r="867" spans="1:15" x14ac:dyDescent="0.25">
      <c r="A867" s="3">
        <v>44092</v>
      </c>
      <c r="B867" s="4">
        <v>409.7</v>
      </c>
      <c r="C867" s="4">
        <v>395.05</v>
      </c>
      <c r="D867" s="4">
        <v>423</v>
      </c>
      <c r="E867" s="4">
        <v>395.05</v>
      </c>
      <c r="F867" s="4" t="str">
        <v>19.64M</v>
      </c>
      <c r="G867" s="4" t="str">
        <v>4.06%</v>
      </c>
      <c r="H867" s="3">
        <v>44092</v>
      </c>
      <c r="I867" s="4">
        <v>409.02499999999998</v>
      </c>
      <c r="O867" s="4">
        <v>669</v>
      </c>
    </row>
    <row r="868" spans="1:15" x14ac:dyDescent="0.25">
      <c r="A868" s="3">
        <v>44091</v>
      </c>
      <c r="B868" s="4">
        <v>393.7</v>
      </c>
      <c r="C868" s="4">
        <v>389</v>
      </c>
      <c r="D868" s="4">
        <v>396.6</v>
      </c>
      <c r="E868" s="4">
        <v>384.4</v>
      </c>
      <c r="F868" s="4" t="str">
        <v>6.32M</v>
      </c>
      <c r="G868" s="4" t="str">
        <v>1.36%</v>
      </c>
      <c r="H868" s="3">
        <v>44091</v>
      </c>
      <c r="I868" s="4">
        <v>390.5</v>
      </c>
      <c r="O868" s="4">
        <v>668</v>
      </c>
    </row>
    <row r="869" spans="1:15" x14ac:dyDescent="0.25">
      <c r="A869" s="3">
        <v>44090</v>
      </c>
      <c r="B869" s="4">
        <v>388.4</v>
      </c>
      <c r="C869" s="4">
        <v>377.15</v>
      </c>
      <c r="D869" s="4">
        <v>390</v>
      </c>
      <c r="E869" s="4">
        <v>375.1</v>
      </c>
      <c r="F869" s="4" t="str">
        <v>5.05M</v>
      </c>
      <c r="G869" s="4" t="str">
        <v>3.56%</v>
      </c>
      <c r="H869" s="3">
        <v>44090</v>
      </c>
      <c r="I869" s="4">
        <v>382.55</v>
      </c>
      <c r="O869" s="4">
        <v>667</v>
      </c>
    </row>
    <row r="870" spans="1:15" x14ac:dyDescent="0.25">
      <c r="A870" s="3">
        <v>44089</v>
      </c>
      <c r="B870" s="4">
        <v>375.05</v>
      </c>
      <c r="C870" s="4">
        <v>370.65</v>
      </c>
      <c r="D870" s="4">
        <v>378.5</v>
      </c>
      <c r="E870" s="4">
        <v>367.25</v>
      </c>
      <c r="F870" s="4" t="str">
        <v>4.15M</v>
      </c>
      <c r="G870" s="4" t="str">
        <v>1.76%</v>
      </c>
      <c r="H870" s="3">
        <v>44089</v>
      </c>
      <c r="I870" s="4">
        <v>372.875</v>
      </c>
      <c r="O870" s="4">
        <v>666</v>
      </c>
    </row>
    <row r="871" spans="1:15" x14ac:dyDescent="0.25">
      <c r="A871" s="3">
        <v>44088</v>
      </c>
      <c r="B871" s="4">
        <v>368.55</v>
      </c>
      <c r="C871" s="4">
        <v>371.8</v>
      </c>
      <c r="D871" s="4">
        <v>373.2</v>
      </c>
      <c r="E871" s="4">
        <v>365.5</v>
      </c>
      <c r="F871" s="4" t="str">
        <v>2.84M</v>
      </c>
      <c r="G871" s="4" t="str">
        <v>-0.39%</v>
      </c>
      <c r="H871" s="3">
        <v>44088</v>
      </c>
      <c r="I871" s="4">
        <v>369.35</v>
      </c>
      <c r="O871" s="4">
        <v>665</v>
      </c>
    </row>
    <row r="872" spans="1:15" x14ac:dyDescent="0.25">
      <c r="A872" s="3">
        <v>44085</v>
      </c>
      <c r="B872" s="4">
        <v>370</v>
      </c>
      <c r="C872" s="4">
        <v>365</v>
      </c>
      <c r="D872" s="4">
        <v>372.65</v>
      </c>
      <c r="E872" s="4">
        <v>358</v>
      </c>
      <c r="F872" s="4" t="str">
        <v>4.41M</v>
      </c>
      <c r="G872" s="4" t="str">
        <v>1.72%</v>
      </c>
      <c r="H872" s="3">
        <v>44085</v>
      </c>
      <c r="I872" s="4">
        <v>365.32499999999999</v>
      </c>
      <c r="O872" s="4">
        <v>664</v>
      </c>
    </row>
    <row r="873" spans="1:15" x14ac:dyDescent="0.25">
      <c r="A873" s="3">
        <v>44084</v>
      </c>
      <c r="B873" s="4">
        <v>363.75</v>
      </c>
      <c r="C873" s="4">
        <v>373.4</v>
      </c>
      <c r="D873" s="4">
        <v>374.95</v>
      </c>
      <c r="E873" s="4">
        <v>360.4</v>
      </c>
      <c r="F873" s="4" t="str">
        <v>5.23M</v>
      </c>
      <c r="G873" s="4" t="str">
        <v>-1.85%</v>
      </c>
      <c r="H873" s="3">
        <v>44084</v>
      </c>
      <c r="I873" s="4">
        <v>367.67499999999995</v>
      </c>
      <c r="O873" s="4">
        <v>663</v>
      </c>
    </row>
    <row r="874" spans="1:15" x14ac:dyDescent="0.25">
      <c r="A874" s="3">
        <v>44083</v>
      </c>
      <c r="B874" s="4">
        <v>370.6</v>
      </c>
      <c r="C874" s="4">
        <v>363</v>
      </c>
      <c r="D874" s="4">
        <v>371.8</v>
      </c>
      <c r="E874" s="4">
        <v>360</v>
      </c>
      <c r="F874" s="4" t="str">
        <v>3.59M</v>
      </c>
      <c r="G874" s="4" t="str">
        <v>1.65%</v>
      </c>
      <c r="H874" s="3">
        <v>44083</v>
      </c>
      <c r="I874" s="4">
        <v>365.9</v>
      </c>
      <c r="O874" s="4">
        <v>662</v>
      </c>
    </row>
    <row r="875" spans="1:15" x14ac:dyDescent="0.25">
      <c r="A875" s="3">
        <v>44082</v>
      </c>
      <c r="B875" s="4">
        <v>364.6</v>
      </c>
      <c r="C875" s="4">
        <v>371</v>
      </c>
      <c r="D875" s="4">
        <v>374.2</v>
      </c>
      <c r="E875" s="4">
        <v>362.3</v>
      </c>
      <c r="F875" s="4" t="str">
        <v>2.08M</v>
      </c>
      <c r="G875" s="4" t="str">
        <v>-1.57%</v>
      </c>
      <c r="H875" s="3">
        <v>44082</v>
      </c>
      <c r="I875" s="4">
        <v>368.25</v>
      </c>
      <c r="O875" s="4">
        <v>661</v>
      </c>
    </row>
    <row r="876" spans="1:15" x14ac:dyDescent="0.25">
      <c r="A876" s="3">
        <v>44081</v>
      </c>
      <c r="B876" s="4">
        <v>370.4</v>
      </c>
      <c r="C876" s="4">
        <v>382.9</v>
      </c>
      <c r="D876" s="4">
        <v>382.9</v>
      </c>
      <c r="E876" s="4">
        <v>366.85</v>
      </c>
      <c r="F876" s="4" t="str">
        <v>3.18M</v>
      </c>
      <c r="G876" s="4" t="str">
        <v>-1.79%</v>
      </c>
      <c r="H876" s="3">
        <v>44081</v>
      </c>
      <c r="I876" s="4">
        <v>374.875</v>
      </c>
      <c r="O876" s="4">
        <v>660</v>
      </c>
    </row>
    <row r="877" spans="1:15" x14ac:dyDescent="0.25">
      <c r="A877" s="3">
        <v>44078</v>
      </c>
      <c r="B877" s="4">
        <v>377.15</v>
      </c>
      <c r="C877" s="4">
        <v>381.05</v>
      </c>
      <c r="D877" s="4">
        <v>390.5</v>
      </c>
      <c r="E877" s="4">
        <v>374.3</v>
      </c>
      <c r="F877" s="4" t="str">
        <v>3.46M</v>
      </c>
      <c r="G877" s="4" t="str">
        <v>-2.56%</v>
      </c>
      <c r="H877" s="3">
        <v>44078</v>
      </c>
      <c r="I877" s="4">
        <v>382.4</v>
      </c>
      <c r="O877" s="4">
        <v>659</v>
      </c>
    </row>
    <row r="878" spans="1:15" x14ac:dyDescent="0.25">
      <c r="A878" s="3">
        <v>44077</v>
      </c>
      <c r="B878" s="4">
        <v>387.05</v>
      </c>
      <c r="C878" s="4">
        <v>383</v>
      </c>
      <c r="D878" s="4">
        <v>389.35</v>
      </c>
      <c r="E878" s="4">
        <v>379.85</v>
      </c>
      <c r="F878" s="4" t="str">
        <v>2.43M</v>
      </c>
      <c r="G878" s="4" t="str">
        <v>1.32%</v>
      </c>
      <c r="H878" s="3">
        <v>44077</v>
      </c>
      <c r="I878" s="4">
        <v>384.6</v>
      </c>
      <c r="O878" s="4">
        <v>658</v>
      </c>
    </row>
    <row r="879" spans="1:15" x14ac:dyDescent="0.25">
      <c r="A879" s="3">
        <v>44076</v>
      </c>
      <c r="B879" s="4">
        <v>382</v>
      </c>
      <c r="C879" s="4">
        <v>380.1</v>
      </c>
      <c r="D879" s="4">
        <v>384.4</v>
      </c>
      <c r="E879" s="4">
        <v>372.7</v>
      </c>
      <c r="F879" s="4" t="str">
        <v>3.41M</v>
      </c>
      <c r="G879" s="4" t="str">
        <v>1.03%</v>
      </c>
      <c r="H879" s="3">
        <v>44076</v>
      </c>
      <c r="I879" s="4">
        <v>378.54999999999995</v>
      </c>
      <c r="O879" s="4">
        <v>657</v>
      </c>
    </row>
    <row r="880" spans="1:15" x14ac:dyDescent="0.25">
      <c r="A880" s="3">
        <v>44075</v>
      </c>
      <c r="B880" s="4">
        <v>378.1</v>
      </c>
      <c r="C880" s="4">
        <v>373.1</v>
      </c>
      <c r="D880" s="4">
        <v>379.9</v>
      </c>
      <c r="E880" s="4">
        <v>366.5</v>
      </c>
      <c r="F880" s="4" t="str">
        <v>3.30M</v>
      </c>
      <c r="G880" s="4" t="str">
        <v>1.85%</v>
      </c>
      <c r="H880" s="3">
        <v>44075</v>
      </c>
      <c r="I880" s="4">
        <v>373.2</v>
      </c>
      <c r="O880" s="4">
        <v>656</v>
      </c>
    </row>
    <row r="881" spans="1:15" x14ac:dyDescent="0.25">
      <c r="A881" s="3">
        <v>44074</v>
      </c>
      <c r="B881" s="4">
        <v>371.25</v>
      </c>
      <c r="C881" s="4">
        <v>391.9</v>
      </c>
      <c r="D881" s="4">
        <v>392.55</v>
      </c>
      <c r="E881" s="4">
        <v>368.25</v>
      </c>
      <c r="F881" s="4" t="str">
        <v>3.02M</v>
      </c>
      <c r="G881" s="4" t="str">
        <v>-4.53%</v>
      </c>
      <c r="H881" s="3">
        <v>44074</v>
      </c>
      <c r="I881" s="4">
        <v>380.4</v>
      </c>
      <c r="O881" s="4">
        <v>655</v>
      </c>
    </row>
    <row r="882" spans="1:15" x14ac:dyDescent="0.25">
      <c r="A882" s="3">
        <v>44071</v>
      </c>
      <c r="B882" s="4">
        <v>388.85</v>
      </c>
      <c r="C882" s="4">
        <v>390</v>
      </c>
      <c r="D882" s="4">
        <v>393.75</v>
      </c>
      <c r="E882" s="4">
        <v>387.55</v>
      </c>
      <c r="F882" s="4" t="str">
        <v>2.43M</v>
      </c>
      <c r="G882" s="4" t="str">
        <v>-0.06%</v>
      </c>
      <c r="H882" s="3">
        <v>44071</v>
      </c>
      <c r="I882" s="4">
        <v>390.65</v>
      </c>
      <c r="O882" s="4">
        <v>654</v>
      </c>
    </row>
    <row r="883" spans="1:15" x14ac:dyDescent="0.25">
      <c r="A883" s="3">
        <v>44070</v>
      </c>
      <c r="B883" s="4">
        <v>389.1</v>
      </c>
      <c r="C883" s="4">
        <v>389</v>
      </c>
      <c r="D883" s="4">
        <v>396</v>
      </c>
      <c r="E883" s="4">
        <v>388</v>
      </c>
      <c r="F883" s="4" t="str">
        <v>2.67M</v>
      </c>
      <c r="G883" s="4" t="str">
        <v>0.12%</v>
      </c>
      <c r="H883" s="3">
        <v>44070</v>
      </c>
      <c r="I883" s="4">
        <v>392</v>
      </c>
      <c r="O883" s="4">
        <v>653</v>
      </c>
    </row>
    <row r="884" spans="1:15" x14ac:dyDescent="0.25">
      <c r="A884" s="3">
        <v>44069</v>
      </c>
      <c r="B884" s="4">
        <v>388.65</v>
      </c>
      <c r="C884" s="4">
        <v>390</v>
      </c>
      <c r="D884" s="4">
        <v>391.15</v>
      </c>
      <c r="E884" s="4">
        <v>385.1</v>
      </c>
      <c r="F884" s="4" t="str">
        <v>2.19M</v>
      </c>
      <c r="G884" s="4" t="str">
        <v>0.12%</v>
      </c>
      <c r="H884" s="3">
        <v>44069</v>
      </c>
      <c r="I884" s="4">
        <v>388.125</v>
      </c>
      <c r="O884" s="4">
        <v>652</v>
      </c>
    </row>
    <row r="885" spans="1:15" x14ac:dyDescent="0.25">
      <c r="A885" s="3">
        <v>44068</v>
      </c>
      <c r="B885" s="4">
        <v>388.2</v>
      </c>
      <c r="C885" s="4">
        <v>397</v>
      </c>
      <c r="D885" s="4">
        <v>398.5</v>
      </c>
      <c r="E885" s="4">
        <v>387.05</v>
      </c>
      <c r="F885" s="4" t="str">
        <v>2.25M</v>
      </c>
      <c r="G885" s="4" t="str">
        <v>-1.75%</v>
      </c>
      <c r="H885" s="3">
        <v>44068</v>
      </c>
      <c r="I885" s="4">
        <v>392.77499999999998</v>
      </c>
      <c r="O885" s="4">
        <v>651</v>
      </c>
    </row>
    <row r="886" spans="1:15" x14ac:dyDescent="0.25">
      <c r="A886" s="3">
        <v>44067</v>
      </c>
      <c r="B886" s="4">
        <v>395.1</v>
      </c>
      <c r="C886" s="4">
        <v>403.1</v>
      </c>
      <c r="D886" s="4">
        <v>403.85</v>
      </c>
      <c r="E886" s="4">
        <v>392.6</v>
      </c>
      <c r="F886" s="4" t="str">
        <v>3.08M</v>
      </c>
      <c r="G886" s="4" t="str">
        <v>-1.39%</v>
      </c>
      <c r="H886" s="3">
        <v>44067</v>
      </c>
      <c r="I886" s="4">
        <v>398.22500000000002</v>
      </c>
      <c r="O886" s="4">
        <v>650</v>
      </c>
    </row>
    <row r="887" spans="1:15" x14ac:dyDescent="0.25">
      <c r="A887" s="3">
        <v>44064</v>
      </c>
      <c r="B887" s="4">
        <v>400.65</v>
      </c>
      <c r="C887" s="4">
        <v>400.3</v>
      </c>
      <c r="D887" s="4">
        <v>404</v>
      </c>
      <c r="E887" s="4">
        <v>396.35</v>
      </c>
      <c r="F887" s="4" t="str">
        <v>3.72M</v>
      </c>
      <c r="G887" s="4" t="str">
        <v>0.55%</v>
      </c>
      <c r="H887" s="3">
        <v>44064</v>
      </c>
      <c r="I887" s="4">
        <v>400.17500000000001</v>
      </c>
      <c r="O887" s="4">
        <v>649</v>
      </c>
    </row>
    <row r="888" spans="1:15" x14ac:dyDescent="0.25">
      <c r="A888" s="3">
        <v>44063</v>
      </c>
      <c r="B888" s="4">
        <v>398.45</v>
      </c>
      <c r="C888" s="4">
        <v>397</v>
      </c>
      <c r="D888" s="4">
        <v>400.8</v>
      </c>
      <c r="E888" s="4">
        <v>395.05</v>
      </c>
      <c r="F888" s="4" t="str">
        <v>2.40M</v>
      </c>
      <c r="G888" s="4" t="str">
        <v>0.67%</v>
      </c>
      <c r="H888" s="3">
        <v>44063</v>
      </c>
      <c r="I888" s="4">
        <v>397.92500000000001</v>
      </c>
      <c r="O888" s="4">
        <v>648</v>
      </c>
    </row>
    <row r="889" spans="1:15" x14ac:dyDescent="0.25">
      <c r="A889" s="3">
        <v>44062</v>
      </c>
      <c r="B889" s="4">
        <v>395.8</v>
      </c>
      <c r="C889" s="4">
        <v>398.9</v>
      </c>
      <c r="D889" s="4">
        <v>406</v>
      </c>
      <c r="E889" s="4">
        <v>394.6</v>
      </c>
      <c r="F889" s="4" t="str">
        <v>4.96M</v>
      </c>
      <c r="G889" s="4" t="str">
        <v>-0.30%</v>
      </c>
      <c r="H889" s="3">
        <v>44062</v>
      </c>
      <c r="I889" s="4">
        <v>400.3</v>
      </c>
      <c r="O889" s="4">
        <v>647</v>
      </c>
    </row>
    <row r="890" spans="1:15" x14ac:dyDescent="0.25">
      <c r="A890" s="3">
        <v>44061</v>
      </c>
      <c r="B890" s="4">
        <v>397</v>
      </c>
      <c r="C890" s="4">
        <v>398</v>
      </c>
      <c r="D890" s="4">
        <v>401</v>
      </c>
      <c r="E890" s="4">
        <v>395.1</v>
      </c>
      <c r="F890" s="4" t="str">
        <v>2.02M</v>
      </c>
      <c r="G890" s="4" t="str">
        <v>-0.13%</v>
      </c>
      <c r="H890" s="3">
        <v>44061</v>
      </c>
      <c r="I890" s="4">
        <v>398.05</v>
      </c>
      <c r="O890" s="4">
        <v>646</v>
      </c>
    </row>
    <row r="891" spans="1:15" x14ac:dyDescent="0.25">
      <c r="A891" s="3">
        <v>44060</v>
      </c>
      <c r="B891" s="4">
        <v>397.5</v>
      </c>
      <c r="C891" s="4">
        <v>399.15</v>
      </c>
      <c r="D891" s="4">
        <v>402.55</v>
      </c>
      <c r="E891" s="4">
        <v>390.85</v>
      </c>
      <c r="F891" s="4" t="str">
        <v>4.31M</v>
      </c>
      <c r="G891" s="4" t="str">
        <v>0.52%</v>
      </c>
      <c r="H891" s="3">
        <v>44060</v>
      </c>
      <c r="I891" s="4">
        <v>396.70000000000005</v>
      </c>
      <c r="O891" s="4">
        <v>645</v>
      </c>
    </row>
    <row r="892" spans="1:15" x14ac:dyDescent="0.25">
      <c r="A892" s="3">
        <v>44057</v>
      </c>
      <c r="B892" s="4">
        <v>395.45</v>
      </c>
      <c r="C892" s="4">
        <v>390</v>
      </c>
      <c r="D892" s="4">
        <v>400.35</v>
      </c>
      <c r="E892" s="4">
        <v>386.05</v>
      </c>
      <c r="F892" s="4" t="str">
        <v>7.43M</v>
      </c>
      <c r="G892" s="4" t="str">
        <v>2.34%</v>
      </c>
      <c r="H892" s="3">
        <v>44057</v>
      </c>
      <c r="I892" s="4">
        <v>393.20000000000005</v>
      </c>
      <c r="O892" s="4">
        <v>644</v>
      </c>
    </row>
    <row r="893" spans="1:15" x14ac:dyDescent="0.25">
      <c r="A893" s="3">
        <v>44056</v>
      </c>
      <c r="B893" s="4">
        <v>386.4</v>
      </c>
      <c r="C893" s="4">
        <v>393.5</v>
      </c>
      <c r="D893" s="4">
        <v>394.55</v>
      </c>
      <c r="E893" s="4">
        <v>385.25</v>
      </c>
      <c r="F893" s="4" t="str">
        <v>5.41M</v>
      </c>
      <c r="G893" s="4" t="str">
        <v>0.31%</v>
      </c>
      <c r="H893" s="3">
        <v>44056</v>
      </c>
      <c r="I893" s="4">
        <v>389.9</v>
      </c>
      <c r="O893" s="4">
        <v>643</v>
      </c>
    </row>
    <row r="894" spans="1:15" x14ac:dyDescent="0.25">
      <c r="A894" s="3">
        <v>44055</v>
      </c>
      <c r="B894" s="4">
        <v>385.2</v>
      </c>
      <c r="C894" s="4">
        <v>395.5</v>
      </c>
      <c r="D894" s="4">
        <v>395.5</v>
      </c>
      <c r="E894" s="4">
        <v>381.25</v>
      </c>
      <c r="F894" s="4" t="str">
        <v>3.99M</v>
      </c>
      <c r="G894" s="4" t="str">
        <v>-2.42%</v>
      </c>
      <c r="H894" s="3">
        <v>44055</v>
      </c>
      <c r="I894" s="4">
        <v>388.375</v>
      </c>
      <c r="O894" s="4">
        <v>642</v>
      </c>
    </row>
    <row r="895" spans="1:15" x14ac:dyDescent="0.25">
      <c r="A895" s="3">
        <v>44054</v>
      </c>
      <c r="B895" s="4">
        <v>394.75</v>
      </c>
      <c r="C895" s="4">
        <v>407.1</v>
      </c>
      <c r="D895" s="4">
        <v>408.6</v>
      </c>
      <c r="E895" s="4">
        <v>393</v>
      </c>
      <c r="F895" s="4" t="str">
        <v>3.35M</v>
      </c>
      <c r="G895" s="4" t="str">
        <v>-2.57%</v>
      </c>
      <c r="H895" s="3">
        <v>44054</v>
      </c>
      <c r="I895" s="4">
        <v>400.8</v>
      </c>
      <c r="O895" s="4">
        <v>641</v>
      </c>
    </row>
    <row r="896" spans="1:15" x14ac:dyDescent="0.25">
      <c r="A896" s="3">
        <v>44053</v>
      </c>
      <c r="B896" s="4">
        <v>405.15</v>
      </c>
      <c r="C896" s="4">
        <v>393.2</v>
      </c>
      <c r="D896" s="4">
        <v>409.8</v>
      </c>
      <c r="E896" s="4">
        <v>392.15</v>
      </c>
      <c r="F896" s="4" t="str">
        <v>7.94M</v>
      </c>
      <c r="G896" s="4" t="str">
        <v>3.65%</v>
      </c>
      <c r="H896" s="3">
        <v>44053</v>
      </c>
      <c r="I896" s="4">
        <v>400.97500000000002</v>
      </c>
      <c r="O896" s="4">
        <v>640</v>
      </c>
    </row>
    <row r="897" spans="1:15" x14ac:dyDescent="0.25">
      <c r="A897" s="3">
        <v>44050</v>
      </c>
      <c r="B897" s="4">
        <v>390.9</v>
      </c>
      <c r="C897" s="4">
        <v>390.3</v>
      </c>
      <c r="D897" s="4">
        <v>395.3</v>
      </c>
      <c r="E897" s="4">
        <v>387.55</v>
      </c>
      <c r="F897" s="4" t="str">
        <v>4.60M</v>
      </c>
      <c r="G897" s="4" t="str">
        <v>0.53%</v>
      </c>
      <c r="H897" s="3">
        <v>44050</v>
      </c>
      <c r="I897" s="4">
        <v>391.42500000000001</v>
      </c>
      <c r="O897" s="4">
        <v>639</v>
      </c>
    </row>
    <row r="898" spans="1:15" x14ac:dyDescent="0.25">
      <c r="A898" s="3">
        <v>44049</v>
      </c>
      <c r="B898" s="4">
        <v>388.85</v>
      </c>
      <c r="C898" s="4">
        <v>396</v>
      </c>
      <c r="D898" s="4">
        <v>401.8</v>
      </c>
      <c r="E898" s="4">
        <v>384.2</v>
      </c>
      <c r="F898" s="4" t="str">
        <v>9.63M</v>
      </c>
      <c r="G898" s="4" t="str">
        <v>-1.82%</v>
      </c>
      <c r="H898" s="3">
        <v>44049</v>
      </c>
      <c r="I898" s="4">
        <v>393</v>
      </c>
      <c r="O898" s="4">
        <v>638</v>
      </c>
    </row>
    <row r="899" spans="1:15" x14ac:dyDescent="0.25">
      <c r="A899" s="3">
        <v>44048</v>
      </c>
      <c r="B899" s="4">
        <v>396.05</v>
      </c>
      <c r="C899" s="4">
        <v>409</v>
      </c>
      <c r="D899" s="4">
        <v>411.5</v>
      </c>
      <c r="E899" s="4">
        <v>392.45</v>
      </c>
      <c r="F899" s="4" t="str">
        <v>19.56M</v>
      </c>
      <c r="G899" s="4" t="str">
        <v>-1.89%</v>
      </c>
      <c r="H899" s="3">
        <v>44048</v>
      </c>
      <c r="I899" s="4">
        <v>401.97500000000002</v>
      </c>
      <c r="O899" s="4">
        <v>637</v>
      </c>
    </row>
    <row r="900" spans="1:15" x14ac:dyDescent="0.25">
      <c r="A900" s="3">
        <v>44047</v>
      </c>
      <c r="B900" s="4">
        <v>403.7</v>
      </c>
      <c r="C900" s="4">
        <v>398</v>
      </c>
      <c r="D900" s="4">
        <v>405.55</v>
      </c>
      <c r="E900" s="4">
        <v>390.45</v>
      </c>
      <c r="F900" s="4" t="str">
        <v>9.41M</v>
      </c>
      <c r="G900" s="4" t="str">
        <v>2.29%</v>
      </c>
      <c r="H900" s="3">
        <v>44047</v>
      </c>
      <c r="I900" s="4">
        <v>398</v>
      </c>
      <c r="O900" s="4">
        <v>636</v>
      </c>
    </row>
    <row r="901" spans="1:15" x14ac:dyDescent="0.25">
      <c r="A901" s="3">
        <v>44046</v>
      </c>
      <c r="B901" s="4">
        <v>394.65</v>
      </c>
      <c r="C901" s="4">
        <v>396</v>
      </c>
      <c r="D901" s="4">
        <v>400.7</v>
      </c>
      <c r="E901" s="4">
        <v>387.05</v>
      </c>
      <c r="F901" s="4" t="str">
        <v>12.20M</v>
      </c>
      <c r="G901" s="4" t="str">
        <v>1.61%</v>
      </c>
      <c r="H901" s="3">
        <v>44046</v>
      </c>
      <c r="I901" s="4">
        <v>393.875</v>
      </c>
      <c r="O901" s="4">
        <v>635</v>
      </c>
    </row>
    <row r="902" spans="1:15" x14ac:dyDescent="0.25">
      <c r="A902" s="3">
        <v>44043</v>
      </c>
      <c r="B902" s="4">
        <v>388.4</v>
      </c>
      <c r="C902" s="4">
        <v>367.45</v>
      </c>
      <c r="D902" s="4">
        <v>396.45</v>
      </c>
      <c r="E902" s="4">
        <v>367.3</v>
      </c>
      <c r="F902" s="4" t="str">
        <v>15.28M</v>
      </c>
      <c r="G902" s="4" t="str">
        <v>6.22%</v>
      </c>
      <c r="H902" s="3">
        <v>44043</v>
      </c>
      <c r="I902" s="4">
        <v>381.875</v>
      </c>
      <c r="O902" s="4">
        <v>634</v>
      </c>
    </row>
    <row r="903" spans="1:15" x14ac:dyDescent="0.25">
      <c r="A903" s="3">
        <v>44042</v>
      </c>
      <c r="B903" s="4">
        <v>365.65</v>
      </c>
      <c r="C903" s="4">
        <v>361.5</v>
      </c>
      <c r="D903" s="4">
        <v>368.5</v>
      </c>
      <c r="E903" s="4">
        <v>361.3</v>
      </c>
      <c r="F903" s="4" t="str">
        <v>3.38M</v>
      </c>
      <c r="G903" s="4" t="str">
        <v>1.36%</v>
      </c>
      <c r="H903" s="3">
        <v>44042</v>
      </c>
      <c r="I903" s="4">
        <v>364.9</v>
      </c>
      <c r="O903" s="4">
        <v>633</v>
      </c>
    </row>
    <row r="904" spans="1:15" x14ac:dyDescent="0.25">
      <c r="A904" s="3">
        <v>44041</v>
      </c>
      <c r="B904" s="4">
        <v>360.75</v>
      </c>
      <c r="C904" s="4">
        <v>357.6</v>
      </c>
      <c r="D904" s="4">
        <v>362.4</v>
      </c>
      <c r="E904" s="4">
        <v>356</v>
      </c>
      <c r="F904" s="4" t="str">
        <v>1.86M</v>
      </c>
      <c r="G904" s="4" t="str">
        <v>1.04%</v>
      </c>
      <c r="H904" s="3">
        <v>44041</v>
      </c>
      <c r="I904" s="4">
        <v>359.2</v>
      </c>
      <c r="O904" s="4">
        <v>632</v>
      </c>
    </row>
    <row r="905" spans="1:15" x14ac:dyDescent="0.25">
      <c r="A905" s="3">
        <v>44040</v>
      </c>
      <c r="B905" s="4">
        <v>357.05</v>
      </c>
      <c r="C905" s="4">
        <v>356</v>
      </c>
      <c r="D905" s="4">
        <v>362</v>
      </c>
      <c r="E905" s="4">
        <v>354.1</v>
      </c>
      <c r="F905" s="4" t="str">
        <v>2.93M</v>
      </c>
      <c r="G905" s="4" t="str">
        <v>0.13%</v>
      </c>
      <c r="H905" s="3">
        <v>44040</v>
      </c>
      <c r="I905" s="4">
        <v>358.05</v>
      </c>
      <c r="O905" s="4">
        <v>631</v>
      </c>
    </row>
    <row r="906" spans="1:15" x14ac:dyDescent="0.25">
      <c r="A906" s="3">
        <v>44039</v>
      </c>
      <c r="B906" s="4">
        <v>356.6</v>
      </c>
      <c r="C906" s="4">
        <v>363.75</v>
      </c>
      <c r="D906" s="4">
        <v>364.25</v>
      </c>
      <c r="E906" s="4">
        <v>350.5</v>
      </c>
      <c r="F906" s="4" t="str">
        <v>2.84M</v>
      </c>
      <c r="G906" s="4" t="str">
        <v>-1.79%</v>
      </c>
      <c r="H906" s="3">
        <v>44039</v>
      </c>
      <c r="I906" s="4">
        <v>357.375</v>
      </c>
      <c r="O906" s="4">
        <v>630</v>
      </c>
    </row>
    <row r="907" spans="1:15" x14ac:dyDescent="0.25">
      <c r="A907" s="3">
        <v>44036</v>
      </c>
      <c r="B907" s="4">
        <v>363.1</v>
      </c>
      <c r="C907" s="4">
        <v>370</v>
      </c>
      <c r="D907" s="4">
        <v>374.9</v>
      </c>
      <c r="E907" s="4">
        <v>361.5</v>
      </c>
      <c r="F907" s="4" t="str">
        <v>4.90M</v>
      </c>
      <c r="G907" s="4" t="str">
        <v>-1.85%</v>
      </c>
      <c r="H907" s="3">
        <v>44036</v>
      </c>
      <c r="I907" s="4">
        <v>368.2</v>
      </c>
      <c r="O907" s="4">
        <v>629</v>
      </c>
    </row>
    <row r="908" spans="1:15" x14ac:dyDescent="0.25">
      <c r="A908" s="3">
        <v>44035</v>
      </c>
      <c r="B908" s="4">
        <v>369.95</v>
      </c>
      <c r="C908" s="4">
        <v>367.1</v>
      </c>
      <c r="D908" s="4">
        <v>371.85</v>
      </c>
      <c r="E908" s="4">
        <v>365.3</v>
      </c>
      <c r="F908" s="4" t="str">
        <v>2.37M</v>
      </c>
      <c r="G908" s="4" t="str">
        <v>0.90%</v>
      </c>
      <c r="H908" s="3">
        <v>44035</v>
      </c>
      <c r="I908" s="4">
        <v>368.57500000000005</v>
      </c>
      <c r="O908" s="4">
        <v>628</v>
      </c>
    </row>
    <row r="909" spans="1:15" x14ac:dyDescent="0.25">
      <c r="A909" s="3">
        <v>44034</v>
      </c>
      <c r="B909" s="4">
        <v>366.65</v>
      </c>
      <c r="C909" s="4">
        <v>366.25</v>
      </c>
      <c r="D909" s="4">
        <v>373.6</v>
      </c>
      <c r="E909" s="4">
        <v>361.5</v>
      </c>
      <c r="F909" s="4" t="str">
        <v>3.47M</v>
      </c>
      <c r="G909" s="4" t="str">
        <v>0.49%</v>
      </c>
      <c r="H909" s="3">
        <v>44034</v>
      </c>
      <c r="I909" s="4">
        <v>367.55</v>
      </c>
      <c r="O909" s="4">
        <v>627</v>
      </c>
    </row>
    <row r="910" spans="1:15" x14ac:dyDescent="0.25">
      <c r="A910" s="3">
        <v>44033</v>
      </c>
      <c r="B910" s="4">
        <v>364.85</v>
      </c>
      <c r="C910" s="4">
        <v>376</v>
      </c>
      <c r="D910" s="4">
        <v>377.6</v>
      </c>
      <c r="E910" s="4">
        <v>363.25</v>
      </c>
      <c r="F910" s="4" t="str">
        <v>3.51M</v>
      </c>
      <c r="G910" s="4" t="str">
        <v>-2.52%</v>
      </c>
      <c r="H910" s="3">
        <v>44033</v>
      </c>
      <c r="I910" s="4">
        <v>370.42500000000001</v>
      </c>
      <c r="O910" s="4">
        <v>626</v>
      </c>
    </row>
    <row r="911" spans="1:15" x14ac:dyDescent="0.25">
      <c r="A911" s="3">
        <v>44032</v>
      </c>
      <c r="B911" s="4">
        <v>374.3</v>
      </c>
      <c r="C911" s="4">
        <v>381</v>
      </c>
      <c r="D911" s="4">
        <v>384.5</v>
      </c>
      <c r="E911" s="4">
        <v>372.55</v>
      </c>
      <c r="F911" s="4" t="str">
        <v>5.95M</v>
      </c>
      <c r="G911" s="4" t="str">
        <v>-0.82%</v>
      </c>
      <c r="H911" s="3">
        <v>44032</v>
      </c>
      <c r="I911" s="4">
        <v>378.52499999999998</v>
      </c>
      <c r="O911" s="4">
        <v>625</v>
      </c>
    </row>
    <row r="912" spans="1:15" x14ac:dyDescent="0.25">
      <c r="A912" s="3">
        <v>44029</v>
      </c>
      <c r="B912" s="4">
        <v>377.4</v>
      </c>
      <c r="C912" s="4">
        <v>362.4</v>
      </c>
      <c r="D912" s="4">
        <v>378.6</v>
      </c>
      <c r="E912" s="4">
        <v>362.2</v>
      </c>
      <c r="F912" s="4" t="str">
        <v>9.21M</v>
      </c>
      <c r="G912" s="4" t="str">
        <v>4.57%</v>
      </c>
      <c r="H912" s="3">
        <v>44029</v>
      </c>
      <c r="I912" s="4">
        <v>370.4</v>
      </c>
      <c r="O912" s="4">
        <v>624</v>
      </c>
    </row>
    <row r="913" spans="1:15" x14ac:dyDescent="0.25">
      <c r="A913" s="3">
        <v>44028</v>
      </c>
      <c r="B913" s="4">
        <v>360.9</v>
      </c>
      <c r="C913" s="4">
        <v>356.2</v>
      </c>
      <c r="D913" s="4">
        <v>362.65</v>
      </c>
      <c r="E913" s="4">
        <v>352.1</v>
      </c>
      <c r="F913" s="4" t="str">
        <v>4.03M</v>
      </c>
      <c r="G913" s="4" t="str">
        <v>1.79%</v>
      </c>
      <c r="H913" s="3">
        <v>44028</v>
      </c>
      <c r="I913" s="4">
        <v>357.375</v>
      </c>
      <c r="O913" s="4">
        <v>623</v>
      </c>
    </row>
    <row r="914" spans="1:15" x14ac:dyDescent="0.25">
      <c r="A914" s="3">
        <v>44027</v>
      </c>
      <c r="B914" s="4">
        <v>354.55</v>
      </c>
      <c r="C914" s="4">
        <v>357.05</v>
      </c>
      <c r="D914" s="4">
        <v>358.15</v>
      </c>
      <c r="E914" s="4">
        <v>353.35</v>
      </c>
      <c r="F914" s="4" t="str">
        <v>2.72M</v>
      </c>
      <c r="G914" s="4" t="str">
        <v>0.21%</v>
      </c>
      <c r="H914" s="3">
        <v>44027</v>
      </c>
      <c r="I914" s="4">
        <v>355.75</v>
      </c>
      <c r="O914" s="4">
        <v>622</v>
      </c>
    </row>
    <row r="915" spans="1:15" x14ac:dyDescent="0.25">
      <c r="A915" s="3">
        <v>44026</v>
      </c>
      <c r="B915" s="4">
        <v>353.8</v>
      </c>
      <c r="C915" s="4">
        <v>357.95</v>
      </c>
      <c r="D915" s="4">
        <v>362</v>
      </c>
      <c r="E915" s="4">
        <v>352.75</v>
      </c>
      <c r="F915" s="4" t="str">
        <v>2.60M</v>
      </c>
      <c r="G915" s="4" t="str">
        <v>-1.20%</v>
      </c>
      <c r="H915" s="3">
        <v>44026</v>
      </c>
      <c r="I915" s="4">
        <v>357.375</v>
      </c>
      <c r="O915" s="4">
        <v>621</v>
      </c>
    </row>
    <row r="916" spans="1:15" x14ac:dyDescent="0.25">
      <c r="A916" s="3">
        <v>44025</v>
      </c>
      <c r="B916" s="4">
        <v>358.1</v>
      </c>
      <c r="C916" s="4">
        <v>357.9</v>
      </c>
      <c r="D916" s="4">
        <v>360.15</v>
      </c>
      <c r="E916" s="4">
        <v>356</v>
      </c>
      <c r="F916" s="4" t="str">
        <v>1.87M</v>
      </c>
      <c r="G916" s="4" t="str">
        <v>0.48%</v>
      </c>
      <c r="H916" s="3">
        <v>44025</v>
      </c>
      <c r="I916" s="4">
        <v>358.07499999999999</v>
      </c>
      <c r="O916" s="4">
        <v>620</v>
      </c>
    </row>
    <row r="917" spans="1:15" x14ac:dyDescent="0.25">
      <c r="A917" s="3">
        <v>44022</v>
      </c>
      <c r="B917" s="4">
        <v>356.4</v>
      </c>
      <c r="C917" s="4">
        <v>357.35</v>
      </c>
      <c r="D917" s="4">
        <v>360.55</v>
      </c>
      <c r="E917" s="4">
        <v>354.5</v>
      </c>
      <c r="F917" s="4" t="str">
        <v>2.48M</v>
      </c>
      <c r="G917" s="4" t="str">
        <v>0.10%</v>
      </c>
      <c r="H917" s="3">
        <v>44022</v>
      </c>
      <c r="I917" s="4">
        <v>357.52499999999998</v>
      </c>
      <c r="O917" s="4">
        <v>619</v>
      </c>
    </row>
    <row r="918" spans="1:15" x14ac:dyDescent="0.25">
      <c r="A918" s="3">
        <v>44021</v>
      </c>
      <c r="B918" s="4">
        <v>356.05</v>
      </c>
      <c r="C918" s="4">
        <v>361.1</v>
      </c>
      <c r="D918" s="4">
        <v>362.95</v>
      </c>
      <c r="E918" s="4">
        <v>355.3</v>
      </c>
      <c r="F918" s="4" t="str">
        <v>2.71M</v>
      </c>
      <c r="G918" s="4" t="str">
        <v>-1.01%</v>
      </c>
      <c r="H918" s="3">
        <v>44021</v>
      </c>
      <c r="I918" s="4">
        <v>359.125</v>
      </c>
      <c r="O918" s="4">
        <v>618</v>
      </c>
    </row>
    <row r="919" spans="1:15" x14ac:dyDescent="0.25">
      <c r="A919" s="3">
        <v>44020</v>
      </c>
      <c r="B919" s="4">
        <v>359.7</v>
      </c>
      <c r="C919" s="4">
        <v>362.2</v>
      </c>
      <c r="D919" s="4">
        <v>366.35</v>
      </c>
      <c r="E919" s="4">
        <v>357.7</v>
      </c>
      <c r="F919" s="4" t="str">
        <v>2.61M</v>
      </c>
      <c r="G919" s="4" t="str">
        <v>-0.59%</v>
      </c>
      <c r="H919" s="3">
        <v>44020</v>
      </c>
      <c r="I919" s="4">
        <v>362.02499999999998</v>
      </c>
      <c r="O919" s="4">
        <v>617</v>
      </c>
    </row>
    <row r="920" spans="1:15" x14ac:dyDescent="0.25">
      <c r="A920" s="3">
        <v>44019</v>
      </c>
      <c r="B920" s="4">
        <v>361.85</v>
      </c>
      <c r="C920" s="4">
        <v>361.5</v>
      </c>
      <c r="D920" s="4">
        <v>370.45</v>
      </c>
      <c r="E920" s="4">
        <v>361.25</v>
      </c>
      <c r="F920" s="4" t="str">
        <v>4.95M</v>
      </c>
      <c r="G920" s="4" t="str">
        <v>-0.29%</v>
      </c>
      <c r="H920" s="3">
        <v>44019</v>
      </c>
      <c r="I920" s="4">
        <v>365.85</v>
      </c>
      <c r="O920" s="4">
        <v>616</v>
      </c>
    </row>
    <row r="921" spans="1:15" x14ac:dyDescent="0.25">
      <c r="A921" s="3">
        <v>44018</v>
      </c>
      <c r="B921" s="4">
        <v>362.9</v>
      </c>
      <c r="C921" s="4">
        <v>374</v>
      </c>
      <c r="D921" s="4">
        <v>374</v>
      </c>
      <c r="E921" s="4">
        <v>360.1</v>
      </c>
      <c r="F921" s="4" t="str">
        <v>3.39M</v>
      </c>
      <c r="G921" s="4" t="str">
        <v>-0.94%</v>
      </c>
      <c r="H921" s="3">
        <v>44018</v>
      </c>
      <c r="I921" s="4">
        <v>367.05</v>
      </c>
      <c r="O921" s="4">
        <v>615</v>
      </c>
    </row>
    <row r="922" spans="1:15" x14ac:dyDescent="0.25">
      <c r="A922" s="3">
        <v>44015</v>
      </c>
      <c r="B922" s="4">
        <v>366.35</v>
      </c>
      <c r="C922" s="4">
        <v>380</v>
      </c>
      <c r="D922" s="4">
        <v>380</v>
      </c>
      <c r="E922" s="4">
        <v>362.5</v>
      </c>
      <c r="F922" s="4" t="str">
        <v>8.83M</v>
      </c>
      <c r="G922" s="4" t="str">
        <v>0.88%</v>
      </c>
      <c r="H922" s="3">
        <v>44015</v>
      </c>
      <c r="I922" s="4">
        <v>371.25</v>
      </c>
      <c r="O922" s="4">
        <v>614</v>
      </c>
    </row>
    <row r="923" spans="1:15" x14ac:dyDescent="0.25">
      <c r="A923" s="3">
        <v>44014</v>
      </c>
      <c r="B923" s="4">
        <v>363.15</v>
      </c>
      <c r="C923" s="4">
        <v>350</v>
      </c>
      <c r="D923" s="4">
        <v>366.9</v>
      </c>
      <c r="E923" s="4">
        <v>350</v>
      </c>
      <c r="F923" s="4" t="str">
        <v>5.43M</v>
      </c>
      <c r="G923" s="4" t="str">
        <v>4.14%</v>
      </c>
      <c r="H923" s="3">
        <v>44014</v>
      </c>
      <c r="I923" s="4">
        <v>358.45</v>
      </c>
      <c r="O923" s="4">
        <v>613</v>
      </c>
    </row>
    <row r="924" spans="1:15" x14ac:dyDescent="0.25">
      <c r="A924" s="3">
        <v>44013</v>
      </c>
      <c r="B924" s="4">
        <v>348.7</v>
      </c>
      <c r="C924" s="4">
        <v>351.5</v>
      </c>
      <c r="D924" s="4">
        <v>353.85</v>
      </c>
      <c r="E924" s="4">
        <v>347.05</v>
      </c>
      <c r="F924" s="4" t="str">
        <v>2.54M</v>
      </c>
      <c r="G924" s="4" t="str">
        <v>-1.25%</v>
      </c>
      <c r="H924" s="3">
        <v>44013</v>
      </c>
      <c r="I924" s="4">
        <v>350.45000000000005</v>
      </c>
      <c r="O924" s="4">
        <v>612</v>
      </c>
    </row>
    <row r="925" spans="1:15" x14ac:dyDescent="0.25">
      <c r="A925" s="3">
        <v>44012</v>
      </c>
      <c r="B925" s="4">
        <v>353.1</v>
      </c>
      <c r="C925" s="4">
        <v>367.75</v>
      </c>
      <c r="D925" s="4">
        <v>369.6</v>
      </c>
      <c r="E925" s="4">
        <v>351.85</v>
      </c>
      <c r="F925" s="4" t="str">
        <v>2.53M</v>
      </c>
      <c r="G925" s="4" t="str">
        <v>-3.71%</v>
      </c>
      <c r="H925" s="3">
        <v>44012</v>
      </c>
      <c r="I925" s="4">
        <v>360.72500000000002</v>
      </c>
      <c r="O925" s="4">
        <v>611</v>
      </c>
    </row>
    <row r="926" spans="1:15" x14ac:dyDescent="0.25">
      <c r="A926" s="3">
        <v>44011</v>
      </c>
      <c r="B926" s="4">
        <v>366.7</v>
      </c>
      <c r="C926" s="4">
        <v>365.2</v>
      </c>
      <c r="D926" s="4">
        <v>370.95</v>
      </c>
      <c r="E926" s="4">
        <v>364.1</v>
      </c>
      <c r="F926" s="4" t="str">
        <v>2.25M</v>
      </c>
      <c r="G926" s="4" t="str">
        <v>0.78%</v>
      </c>
      <c r="H926" s="3">
        <v>44011</v>
      </c>
      <c r="I926" s="4">
        <v>367.52499999999998</v>
      </c>
      <c r="O926" s="4">
        <v>610</v>
      </c>
    </row>
    <row r="927" spans="1:15" x14ac:dyDescent="0.25">
      <c r="A927" s="3">
        <v>44008</v>
      </c>
      <c r="B927" s="4">
        <v>363.85</v>
      </c>
      <c r="C927" s="4">
        <v>364.9</v>
      </c>
      <c r="D927" s="4">
        <v>372.7</v>
      </c>
      <c r="E927" s="4">
        <v>363.05</v>
      </c>
      <c r="F927" s="4" t="str">
        <v>4.31M</v>
      </c>
      <c r="G927" s="4" t="str">
        <v>0.14%</v>
      </c>
      <c r="H927" s="3">
        <v>44008</v>
      </c>
      <c r="I927" s="4">
        <v>367.875</v>
      </c>
      <c r="O927" s="4">
        <v>609</v>
      </c>
    </row>
    <row r="928" spans="1:15" x14ac:dyDescent="0.25">
      <c r="A928" s="3">
        <v>44007</v>
      </c>
      <c r="B928" s="4">
        <v>363.35</v>
      </c>
      <c r="C928" s="4">
        <v>362.8</v>
      </c>
      <c r="D928" s="4">
        <v>367.2</v>
      </c>
      <c r="E928" s="4">
        <v>360</v>
      </c>
      <c r="F928" s="4" t="str">
        <v>1.70M</v>
      </c>
      <c r="G928" s="4" t="str">
        <v>0.15%</v>
      </c>
      <c r="H928" s="3">
        <v>44007</v>
      </c>
      <c r="I928" s="4">
        <v>363.6</v>
      </c>
      <c r="O928" s="4">
        <v>608</v>
      </c>
    </row>
    <row r="929" spans="1:15" x14ac:dyDescent="0.25">
      <c r="A929" s="3">
        <v>44006</v>
      </c>
      <c r="B929" s="4">
        <v>362.8</v>
      </c>
      <c r="C929" s="4">
        <v>368.2</v>
      </c>
      <c r="D929" s="4">
        <v>373.3</v>
      </c>
      <c r="E929" s="4">
        <v>361.55</v>
      </c>
      <c r="F929" s="4" t="str">
        <v>3.09M</v>
      </c>
      <c r="G929" s="4" t="str">
        <v>-1.16%</v>
      </c>
      <c r="H929" s="3">
        <v>44006</v>
      </c>
      <c r="I929" s="4">
        <v>367.42500000000001</v>
      </c>
      <c r="O929" s="4">
        <v>607</v>
      </c>
    </row>
    <row r="930" spans="1:15" x14ac:dyDescent="0.25">
      <c r="A930" s="3">
        <v>44005</v>
      </c>
      <c r="B930" s="4">
        <v>367.05</v>
      </c>
      <c r="C930" s="4">
        <v>362</v>
      </c>
      <c r="D930" s="4">
        <v>368.85</v>
      </c>
      <c r="E930" s="4">
        <v>361</v>
      </c>
      <c r="F930" s="4" t="str">
        <v>2.42M</v>
      </c>
      <c r="G930" s="4" t="str">
        <v>1.77%</v>
      </c>
      <c r="H930" s="3">
        <v>44005</v>
      </c>
      <c r="I930" s="4">
        <v>364.92500000000001</v>
      </c>
      <c r="O930" s="4">
        <v>606</v>
      </c>
    </row>
    <row r="931" spans="1:15" x14ac:dyDescent="0.25">
      <c r="A931" s="3">
        <v>44004</v>
      </c>
      <c r="B931" s="4">
        <v>360.65</v>
      </c>
      <c r="C931" s="4">
        <v>365.95</v>
      </c>
      <c r="D931" s="4">
        <v>368.5</v>
      </c>
      <c r="E931" s="4">
        <v>356.55</v>
      </c>
      <c r="F931" s="4" t="str">
        <v>5.18M</v>
      </c>
      <c r="G931" s="4" t="str">
        <v>-0.39%</v>
      </c>
      <c r="H931" s="3">
        <v>44004</v>
      </c>
      <c r="I931" s="4">
        <v>362.52499999999998</v>
      </c>
      <c r="O931" s="4">
        <v>605</v>
      </c>
    </row>
    <row r="932" spans="1:15" x14ac:dyDescent="0.25">
      <c r="A932" s="3">
        <v>44001</v>
      </c>
      <c r="B932" s="4">
        <v>362.05</v>
      </c>
      <c r="C932" s="4">
        <v>368.7</v>
      </c>
      <c r="D932" s="4">
        <v>369.7</v>
      </c>
      <c r="E932" s="4">
        <v>360.25</v>
      </c>
      <c r="F932" s="4" t="str">
        <v>5.01M</v>
      </c>
      <c r="G932" s="4" t="str">
        <v>-0.98%</v>
      </c>
      <c r="H932" s="3">
        <v>44001</v>
      </c>
      <c r="I932" s="4">
        <v>364.97500000000002</v>
      </c>
      <c r="O932" s="4">
        <v>604</v>
      </c>
    </row>
    <row r="933" spans="1:15" x14ac:dyDescent="0.25">
      <c r="A933" s="3">
        <v>44000</v>
      </c>
      <c r="B933" s="4">
        <v>365.65</v>
      </c>
      <c r="C933" s="4">
        <v>366</v>
      </c>
      <c r="D933" s="4">
        <v>369</v>
      </c>
      <c r="E933" s="4">
        <v>362.25</v>
      </c>
      <c r="F933" s="4" t="str">
        <v>2.28M</v>
      </c>
      <c r="G933" s="4" t="str">
        <v>0.32%</v>
      </c>
      <c r="H933" s="3">
        <v>44000</v>
      </c>
      <c r="I933" s="4">
        <v>365.625</v>
      </c>
      <c r="O933" s="4">
        <v>603</v>
      </c>
    </row>
    <row r="934" spans="1:15" x14ac:dyDescent="0.25">
      <c r="A934" s="3">
        <v>43999</v>
      </c>
      <c r="B934" s="4">
        <v>364.5</v>
      </c>
      <c r="C934" s="4">
        <v>370</v>
      </c>
      <c r="D934" s="4">
        <v>371.8</v>
      </c>
      <c r="E934" s="4">
        <v>362.65</v>
      </c>
      <c r="F934" s="4" t="str">
        <v>6.06M</v>
      </c>
      <c r="G934" s="4" t="str">
        <v>1.03%</v>
      </c>
      <c r="H934" s="3">
        <v>43999</v>
      </c>
      <c r="I934" s="4">
        <v>367.22500000000002</v>
      </c>
      <c r="O934" s="4">
        <v>602</v>
      </c>
    </row>
    <row r="935" spans="1:15" x14ac:dyDescent="0.25">
      <c r="A935" s="3">
        <v>43998</v>
      </c>
      <c r="B935" s="4">
        <v>360.8</v>
      </c>
      <c r="C935" s="4">
        <v>366</v>
      </c>
      <c r="D935" s="4">
        <v>374.75</v>
      </c>
      <c r="E935" s="4">
        <v>356.35</v>
      </c>
      <c r="F935" s="4" t="str">
        <v>7.05M</v>
      </c>
      <c r="G935" s="4" t="str">
        <v>-2.71%</v>
      </c>
      <c r="H935" s="3">
        <v>43998</v>
      </c>
      <c r="I935" s="4">
        <v>365.55</v>
      </c>
      <c r="O935" s="4">
        <v>601</v>
      </c>
    </row>
    <row r="936" spans="1:15" x14ac:dyDescent="0.25">
      <c r="A936" s="3">
        <v>43997</v>
      </c>
      <c r="B936" s="4">
        <v>370.85</v>
      </c>
      <c r="C936" s="4">
        <v>380</v>
      </c>
      <c r="D936" s="4">
        <v>383.6</v>
      </c>
      <c r="E936" s="4">
        <v>369.15</v>
      </c>
      <c r="F936" s="4" t="str">
        <v>6.63M</v>
      </c>
      <c r="G936" s="4" t="str">
        <v>-0.92%</v>
      </c>
      <c r="H936" s="3">
        <v>43997</v>
      </c>
      <c r="I936" s="4">
        <v>376.375</v>
      </c>
      <c r="O936" s="4">
        <v>600</v>
      </c>
    </row>
    <row r="937" spans="1:15" x14ac:dyDescent="0.25">
      <c r="A937" s="3">
        <v>43994</v>
      </c>
      <c r="B937" s="4">
        <v>374.3</v>
      </c>
      <c r="C937" s="4">
        <v>361.95</v>
      </c>
      <c r="D937" s="4">
        <v>376.4</v>
      </c>
      <c r="E937" s="4">
        <v>359.7</v>
      </c>
      <c r="F937" s="4" t="str">
        <v>4.64M</v>
      </c>
      <c r="G937" s="4" t="str">
        <v>1.30%</v>
      </c>
      <c r="H937" s="3">
        <v>43994</v>
      </c>
      <c r="I937" s="4">
        <v>368.04999999999995</v>
      </c>
      <c r="O937" s="4">
        <v>599</v>
      </c>
    </row>
    <row r="938" spans="1:15" x14ac:dyDescent="0.25">
      <c r="A938" s="3">
        <v>43993</v>
      </c>
      <c r="B938" s="4">
        <v>369.5</v>
      </c>
      <c r="C938" s="4">
        <v>369.8</v>
      </c>
      <c r="D938" s="4">
        <v>378.25</v>
      </c>
      <c r="E938" s="4">
        <v>366.15</v>
      </c>
      <c r="F938" s="4" t="str">
        <v>6.62M</v>
      </c>
      <c r="G938" s="4" t="str">
        <v>0.08%</v>
      </c>
      <c r="H938" s="3">
        <v>43993</v>
      </c>
      <c r="I938" s="4">
        <v>372.2</v>
      </c>
      <c r="O938" s="4">
        <v>598</v>
      </c>
    </row>
    <row r="939" spans="1:15" x14ac:dyDescent="0.25">
      <c r="A939" s="3">
        <v>43992</v>
      </c>
      <c r="B939" s="4">
        <v>369.2</v>
      </c>
      <c r="C939" s="4">
        <v>360.5</v>
      </c>
      <c r="D939" s="4">
        <v>371.3</v>
      </c>
      <c r="E939" s="4">
        <v>358.65</v>
      </c>
      <c r="F939" s="4" t="str">
        <v>5.02M</v>
      </c>
      <c r="G939" s="4" t="str">
        <v>2.50%</v>
      </c>
      <c r="H939" s="3">
        <v>43992</v>
      </c>
      <c r="I939" s="4">
        <v>364.97500000000002</v>
      </c>
      <c r="O939" s="4">
        <v>597</v>
      </c>
    </row>
    <row r="940" spans="1:15" x14ac:dyDescent="0.25">
      <c r="A940" s="3">
        <v>43991</v>
      </c>
      <c r="B940" s="4">
        <v>360.2</v>
      </c>
      <c r="C940" s="4">
        <v>354</v>
      </c>
      <c r="D940" s="4">
        <v>369</v>
      </c>
      <c r="E940" s="4">
        <v>352</v>
      </c>
      <c r="F940" s="4" t="str">
        <v>5.53M</v>
      </c>
      <c r="G940" s="4" t="str">
        <v>1.98%</v>
      </c>
      <c r="H940" s="3">
        <v>43991</v>
      </c>
      <c r="I940" s="4">
        <v>360.5</v>
      </c>
      <c r="O940" s="4">
        <v>596</v>
      </c>
    </row>
    <row r="941" spans="1:15" x14ac:dyDescent="0.25">
      <c r="A941" s="3">
        <v>43990</v>
      </c>
      <c r="B941" s="4">
        <v>353.2</v>
      </c>
      <c r="C941" s="4">
        <v>360</v>
      </c>
      <c r="D941" s="4">
        <v>360.5</v>
      </c>
      <c r="E941" s="4">
        <v>351.2</v>
      </c>
      <c r="F941" s="4" t="str">
        <v>2.96M</v>
      </c>
      <c r="G941" s="4" t="str">
        <v>-1.81%</v>
      </c>
      <c r="H941" s="3">
        <v>43990</v>
      </c>
      <c r="I941" s="4">
        <v>355.85</v>
      </c>
      <c r="O941" s="4">
        <v>595</v>
      </c>
    </row>
    <row r="942" spans="1:15" x14ac:dyDescent="0.25">
      <c r="A942" s="3">
        <v>43987</v>
      </c>
      <c r="B942" s="4">
        <v>359.7</v>
      </c>
      <c r="C942" s="4">
        <v>364.85</v>
      </c>
      <c r="D942" s="4">
        <v>367.55</v>
      </c>
      <c r="E942" s="4">
        <v>357.7</v>
      </c>
      <c r="F942" s="4" t="str">
        <v>4.17M</v>
      </c>
      <c r="G942" s="4" t="str">
        <v>-0.83%</v>
      </c>
      <c r="H942" s="3">
        <v>43987</v>
      </c>
      <c r="I942" s="4">
        <v>362.625</v>
      </c>
      <c r="O942" s="4">
        <v>594</v>
      </c>
    </row>
    <row r="943" spans="1:15" x14ac:dyDescent="0.25">
      <c r="A943" s="3">
        <v>43986</v>
      </c>
      <c r="B943" s="4">
        <v>362.7</v>
      </c>
      <c r="C943" s="4">
        <v>358</v>
      </c>
      <c r="D943" s="4">
        <v>364.05</v>
      </c>
      <c r="E943" s="4">
        <v>353.35</v>
      </c>
      <c r="F943" s="4" t="str">
        <v>5.91M</v>
      </c>
      <c r="G943" s="4" t="str">
        <v>2.52%</v>
      </c>
      <c r="H943" s="3">
        <v>43986</v>
      </c>
      <c r="I943" s="4">
        <v>358.70000000000005</v>
      </c>
      <c r="O943" s="4">
        <v>593</v>
      </c>
    </row>
    <row r="944" spans="1:15" x14ac:dyDescent="0.25">
      <c r="A944" s="3">
        <v>43985</v>
      </c>
      <c r="B944" s="4">
        <v>353.8</v>
      </c>
      <c r="C944" s="4">
        <v>355.55</v>
      </c>
      <c r="D944" s="4">
        <v>359.4</v>
      </c>
      <c r="E944" s="4">
        <v>351.75</v>
      </c>
      <c r="F944" s="4" t="str">
        <v>3.51M</v>
      </c>
      <c r="G944" s="4" t="str">
        <v>0.21%</v>
      </c>
      <c r="H944" s="3">
        <v>43985</v>
      </c>
      <c r="I944" s="4">
        <v>355.57499999999999</v>
      </c>
      <c r="O944" s="4">
        <v>592</v>
      </c>
    </row>
    <row r="945" spans="1:15" x14ac:dyDescent="0.25">
      <c r="A945" s="3">
        <v>43984</v>
      </c>
      <c r="B945" s="4">
        <v>353.05</v>
      </c>
      <c r="C945" s="4">
        <v>350.9</v>
      </c>
      <c r="D945" s="4">
        <v>364.5</v>
      </c>
      <c r="E945" s="4">
        <v>350.45</v>
      </c>
      <c r="F945" s="4" t="str">
        <v>8.21M</v>
      </c>
      <c r="G945" s="4" t="str">
        <v>1.00%</v>
      </c>
      <c r="H945" s="3">
        <v>43984</v>
      </c>
      <c r="I945" s="4">
        <v>357.47500000000002</v>
      </c>
      <c r="O945" s="4">
        <v>591</v>
      </c>
    </row>
    <row r="946" spans="1:15" x14ac:dyDescent="0.25">
      <c r="A946" s="3">
        <v>43983</v>
      </c>
      <c r="B946" s="4">
        <v>349.55</v>
      </c>
      <c r="C946" s="4">
        <v>345.9</v>
      </c>
      <c r="D946" s="4">
        <v>352.85</v>
      </c>
      <c r="E946" s="4">
        <v>342.65</v>
      </c>
      <c r="F946" s="4" t="str">
        <v>4.75M</v>
      </c>
      <c r="G946" s="4" t="str">
        <v>1.44%</v>
      </c>
      <c r="H946" s="3">
        <v>43983</v>
      </c>
      <c r="I946" s="4">
        <v>347.75</v>
      </c>
      <c r="O946" s="4">
        <v>590</v>
      </c>
    </row>
    <row r="947" spans="1:15" x14ac:dyDescent="0.25">
      <c r="A947" s="3">
        <v>43980</v>
      </c>
      <c r="B947" s="4">
        <v>344.6</v>
      </c>
      <c r="C947" s="4">
        <v>341.95</v>
      </c>
      <c r="D947" s="4">
        <v>352.5</v>
      </c>
      <c r="E947" s="4">
        <v>341.3</v>
      </c>
      <c r="F947" s="4" t="str">
        <v>6.50M</v>
      </c>
      <c r="G947" s="4" t="str">
        <v>1.92%</v>
      </c>
      <c r="H947" s="3">
        <v>43980</v>
      </c>
      <c r="I947" s="4">
        <v>346.9</v>
      </c>
      <c r="O947" s="4">
        <v>589</v>
      </c>
    </row>
    <row r="948" spans="1:15" x14ac:dyDescent="0.25">
      <c r="A948" s="3">
        <v>43979</v>
      </c>
      <c r="B948" s="4">
        <v>338.1</v>
      </c>
      <c r="C948" s="4">
        <v>336.6</v>
      </c>
      <c r="D948" s="4">
        <v>342.9</v>
      </c>
      <c r="E948" s="4">
        <v>333.35</v>
      </c>
      <c r="F948" s="4" t="str">
        <v>2.38M</v>
      </c>
      <c r="G948" s="4" t="str">
        <v>0.15%</v>
      </c>
      <c r="H948" s="3">
        <v>43979</v>
      </c>
      <c r="I948" s="4">
        <v>338.125</v>
      </c>
      <c r="O948" s="4">
        <v>588</v>
      </c>
    </row>
    <row r="949" spans="1:15" x14ac:dyDescent="0.25">
      <c r="A949" s="3">
        <v>43978</v>
      </c>
      <c r="B949" s="4">
        <v>337.6</v>
      </c>
      <c r="C949" s="4">
        <v>339.8</v>
      </c>
      <c r="D949" s="4">
        <v>340.7</v>
      </c>
      <c r="E949" s="4">
        <v>333</v>
      </c>
      <c r="F949" s="4" t="str">
        <v>2.90M</v>
      </c>
      <c r="G949" s="4" t="str">
        <v>-0.21%</v>
      </c>
      <c r="H949" s="3">
        <v>43978</v>
      </c>
      <c r="I949" s="4">
        <v>336.85</v>
      </c>
      <c r="O949" s="4">
        <v>587</v>
      </c>
    </row>
    <row r="950" spans="1:15" x14ac:dyDescent="0.25">
      <c r="A950" s="3">
        <v>43977</v>
      </c>
      <c r="B950" s="4">
        <v>338.3</v>
      </c>
      <c r="C950" s="4">
        <v>348</v>
      </c>
      <c r="D950" s="4">
        <v>351.85</v>
      </c>
      <c r="E950" s="4">
        <v>334.25</v>
      </c>
      <c r="F950" s="4" t="str">
        <v>4.06M</v>
      </c>
      <c r="G950" s="4" t="str">
        <v>-2.42%</v>
      </c>
      <c r="H950" s="3">
        <v>43977</v>
      </c>
      <c r="I950" s="4">
        <v>343.05</v>
      </c>
      <c r="O950" s="4">
        <v>586</v>
      </c>
    </row>
    <row r="951" spans="1:15" x14ac:dyDescent="0.25">
      <c r="A951" s="3">
        <v>43973</v>
      </c>
      <c r="B951" s="4">
        <v>346.7</v>
      </c>
      <c r="C951" s="4">
        <v>346</v>
      </c>
      <c r="D951" s="4">
        <v>350.5</v>
      </c>
      <c r="E951" s="4">
        <v>343</v>
      </c>
      <c r="F951" s="4" t="str">
        <v>4.85M</v>
      </c>
      <c r="G951" s="4" t="str">
        <v>0.68%</v>
      </c>
      <c r="H951" s="3">
        <v>43973</v>
      </c>
      <c r="I951" s="4">
        <v>346.75</v>
      </c>
      <c r="O951" s="4">
        <v>585</v>
      </c>
    </row>
    <row r="952" spans="1:15" x14ac:dyDescent="0.25">
      <c r="A952" s="3">
        <v>43972</v>
      </c>
      <c r="B952" s="4">
        <v>344.35</v>
      </c>
      <c r="C952" s="4">
        <v>339.5</v>
      </c>
      <c r="D952" s="4">
        <v>353</v>
      </c>
      <c r="E952" s="4">
        <v>339.4</v>
      </c>
      <c r="F952" s="4" t="str">
        <v>10.20M</v>
      </c>
      <c r="G952" s="4" t="str">
        <v>1.94%</v>
      </c>
      <c r="H952" s="3">
        <v>43972</v>
      </c>
      <c r="I952" s="4">
        <v>346.2</v>
      </c>
      <c r="O952" s="4">
        <v>584</v>
      </c>
    </row>
    <row r="953" spans="1:15" x14ac:dyDescent="0.25">
      <c r="A953" s="3">
        <v>43971</v>
      </c>
      <c r="B953" s="4">
        <v>337.8</v>
      </c>
      <c r="C953" s="4">
        <v>326.8</v>
      </c>
      <c r="D953" s="4">
        <v>339</v>
      </c>
      <c r="E953" s="4">
        <v>325.10000000000002</v>
      </c>
      <c r="F953" s="4" t="str">
        <v>3.30M</v>
      </c>
      <c r="G953" s="4" t="str">
        <v>3.65%</v>
      </c>
      <c r="H953" s="3">
        <v>43971</v>
      </c>
      <c r="I953" s="4">
        <v>332.05</v>
      </c>
      <c r="O953" s="4">
        <v>583</v>
      </c>
    </row>
    <row r="954" spans="1:15" x14ac:dyDescent="0.25">
      <c r="A954" s="3">
        <v>43970</v>
      </c>
      <c r="B954" s="4">
        <v>325.89999999999998</v>
      </c>
      <c r="C954" s="4">
        <v>326.05</v>
      </c>
      <c r="D954" s="4">
        <v>330.95</v>
      </c>
      <c r="E954" s="4">
        <v>321.35000000000002</v>
      </c>
      <c r="F954" s="4" t="str">
        <v>2.77M</v>
      </c>
      <c r="G954" s="4" t="str">
        <v>0.60%</v>
      </c>
      <c r="H954" s="3">
        <v>43970</v>
      </c>
      <c r="I954" s="4">
        <v>326.14999999999998</v>
      </c>
      <c r="O954" s="4">
        <v>582</v>
      </c>
    </row>
    <row r="955" spans="1:15" x14ac:dyDescent="0.25">
      <c r="A955" s="3">
        <v>43969</v>
      </c>
      <c r="B955" s="4">
        <v>323.95</v>
      </c>
      <c r="C955" s="4">
        <v>332.5</v>
      </c>
      <c r="D955" s="4">
        <v>335.65</v>
      </c>
      <c r="E955" s="4">
        <v>323.14999999999998</v>
      </c>
      <c r="F955" s="4" t="str">
        <v>3.09M</v>
      </c>
      <c r="G955" s="4" t="str">
        <v>-2.48%</v>
      </c>
      <c r="H955" s="3">
        <v>43969</v>
      </c>
      <c r="I955" s="4">
        <v>329.4</v>
      </c>
      <c r="O955" s="4">
        <v>581</v>
      </c>
    </row>
    <row r="956" spans="1:15" x14ac:dyDescent="0.25">
      <c r="A956" s="3">
        <v>43966</v>
      </c>
      <c r="B956" s="4">
        <v>332.2</v>
      </c>
      <c r="C956" s="4">
        <v>340</v>
      </c>
      <c r="D956" s="4">
        <v>343</v>
      </c>
      <c r="E956" s="4">
        <v>330</v>
      </c>
      <c r="F956" s="4" t="str">
        <v>5.09M</v>
      </c>
      <c r="G956" s="4" t="str">
        <v>-1.38%</v>
      </c>
      <c r="H956" s="3">
        <v>43966</v>
      </c>
      <c r="I956" s="4">
        <v>336.5</v>
      </c>
      <c r="O956" s="4">
        <v>580</v>
      </c>
    </row>
    <row r="957" spans="1:15" x14ac:dyDescent="0.25">
      <c r="A957" s="3">
        <v>43965</v>
      </c>
      <c r="B957" s="4">
        <v>336.85</v>
      </c>
      <c r="C957" s="4">
        <v>323.10000000000002</v>
      </c>
      <c r="D957" s="4">
        <v>341.75</v>
      </c>
      <c r="E957" s="4">
        <v>322.60000000000002</v>
      </c>
      <c r="F957" s="4" t="str">
        <v>10.95M</v>
      </c>
      <c r="G957" s="4" t="str">
        <v>3.66%</v>
      </c>
      <c r="H957" s="3">
        <v>43965</v>
      </c>
      <c r="I957" s="4">
        <v>332.17500000000001</v>
      </c>
      <c r="O957" s="4">
        <v>579</v>
      </c>
    </row>
    <row r="958" spans="1:15" x14ac:dyDescent="0.25">
      <c r="A958" s="3">
        <v>43964</v>
      </c>
      <c r="B958" s="4">
        <v>324.95</v>
      </c>
      <c r="C958" s="4">
        <v>326.75</v>
      </c>
      <c r="D958" s="4">
        <v>328.75</v>
      </c>
      <c r="E958" s="4">
        <v>321.10000000000002</v>
      </c>
      <c r="F958" s="4" t="str">
        <v>2.80M</v>
      </c>
      <c r="G958" s="4" t="str">
        <v>0.39%</v>
      </c>
      <c r="H958" s="3">
        <v>43964</v>
      </c>
      <c r="I958" s="4">
        <v>324.92500000000001</v>
      </c>
      <c r="O958" s="4">
        <v>578</v>
      </c>
    </row>
    <row r="959" spans="1:15" x14ac:dyDescent="0.25">
      <c r="A959" s="3">
        <v>43963</v>
      </c>
      <c r="B959" s="4">
        <v>323.7</v>
      </c>
      <c r="C959" s="4">
        <v>325.95</v>
      </c>
      <c r="D959" s="4">
        <v>330.2</v>
      </c>
      <c r="E959" s="4">
        <v>322.3</v>
      </c>
      <c r="F959" s="4" t="str">
        <v>2.55M</v>
      </c>
      <c r="G959" s="4" t="str">
        <v>-1.43%</v>
      </c>
      <c r="H959" s="3">
        <v>43963</v>
      </c>
      <c r="I959" s="4">
        <v>326.25</v>
      </c>
      <c r="O959" s="4">
        <v>577</v>
      </c>
    </row>
    <row r="960" spans="1:15" x14ac:dyDescent="0.25">
      <c r="A960" s="3">
        <v>43962</v>
      </c>
      <c r="B960" s="4">
        <v>328.4</v>
      </c>
      <c r="C960" s="4">
        <v>332.8</v>
      </c>
      <c r="D960" s="4">
        <v>333</v>
      </c>
      <c r="E960" s="4">
        <v>325.2</v>
      </c>
      <c r="F960" s="4" t="str">
        <v>5.37M</v>
      </c>
      <c r="G960" s="4" t="str">
        <v>2.23%</v>
      </c>
      <c r="H960" s="3">
        <v>43962</v>
      </c>
      <c r="I960" s="4">
        <v>329.1</v>
      </c>
      <c r="O960" s="4">
        <v>576</v>
      </c>
    </row>
    <row r="961" spans="1:15" x14ac:dyDescent="0.25">
      <c r="A961" s="3">
        <v>43959</v>
      </c>
      <c r="B961" s="4">
        <v>321.25</v>
      </c>
      <c r="C961" s="4">
        <v>323.5</v>
      </c>
      <c r="D961" s="4">
        <v>327.45</v>
      </c>
      <c r="E961" s="4">
        <v>318</v>
      </c>
      <c r="F961" s="4" t="str">
        <v>5.41M</v>
      </c>
      <c r="G961" s="4" t="str">
        <v>0.02%</v>
      </c>
      <c r="H961" s="3">
        <v>43959</v>
      </c>
      <c r="I961" s="4">
        <v>322.72500000000002</v>
      </c>
      <c r="O961" s="4">
        <v>575</v>
      </c>
    </row>
    <row r="962" spans="1:15" x14ac:dyDescent="0.25">
      <c r="A962" s="3">
        <v>43958</v>
      </c>
      <c r="B962" s="4">
        <v>321.2</v>
      </c>
      <c r="C962" s="4">
        <v>328.15</v>
      </c>
      <c r="D962" s="4">
        <v>332.55</v>
      </c>
      <c r="E962" s="4">
        <v>320.3</v>
      </c>
      <c r="F962" s="4" t="str">
        <v>4.52M</v>
      </c>
      <c r="G962" s="4" t="str">
        <v>-1.74%</v>
      </c>
      <c r="H962" s="3">
        <v>43958</v>
      </c>
      <c r="I962" s="4">
        <v>326.42500000000001</v>
      </c>
      <c r="O962" s="4">
        <v>574</v>
      </c>
    </row>
    <row r="963" spans="1:15" x14ac:dyDescent="0.25">
      <c r="A963" s="3">
        <v>43957</v>
      </c>
      <c r="B963" s="4">
        <v>326.89999999999998</v>
      </c>
      <c r="C963" s="4">
        <v>328.95</v>
      </c>
      <c r="D963" s="4">
        <v>330.7</v>
      </c>
      <c r="E963" s="4">
        <v>323.60000000000002</v>
      </c>
      <c r="F963" s="4" t="str">
        <v>3.45M</v>
      </c>
      <c r="G963" s="4" t="str">
        <v>0.25%</v>
      </c>
      <c r="H963" s="3">
        <v>43957</v>
      </c>
      <c r="I963" s="4">
        <v>327.14999999999998</v>
      </c>
      <c r="O963" s="4">
        <v>573</v>
      </c>
    </row>
    <row r="964" spans="1:15" x14ac:dyDescent="0.25">
      <c r="A964" s="3">
        <v>43956</v>
      </c>
      <c r="B964" s="4">
        <v>326.10000000000002</v>
      </c>
      <c r="C964" s="4">
        <v>336</v>
      </c>
      <c r="D964" s="4">
        <v>342.5</v>
      </c>
      <c r="E964" s="4">
        <v>324.3</v>
      </c>
      <c r="F964" s="4" t="str">
        <v>8.08M</v>
      </c>
      <c r="G964" s="4" t="str">
        <v>-1.24%</v>
      </c>
      <c r="H964" s="3">
        <v>43956</v>
      </c>
      <c r="I964" s="4">
        <v>333.4</v>
      </c>
      <c r="O964" s="4">
        <v>572</v>
      </c>
    </row>
    <row r="965" spans="1:15" x14ac:dyDescent="0.25">
      <c r="A965" s="3">
        <v>43955</v>
      </c>
      <c r="B965" s="4">
        <v>330.2</v>
      </c>
      <c r="C965" s="4">
        <v>323.95</v>
      </c>
      <c r="D965" s="4">
        <v>337.25</v>
      </c>
      <c r="E965" s="4">
        <v>320.2</v>
      </c>
      <c r="F965" s="4" t="str">
        <v>10.07M</v>
      </c>
      <c r="G965" s="4" t="str">
        <v>1.93%</v>
      </c>
      <c r="H965" s="3">
        <v>43955</v>
      </c>
      <c r="I965" s="4">
        <v>328.72500000000002</v>
      </c>
      <c r="O965" s="4">
        <v>571</v>
      </c>
    </row>
    <row r="966" spans="1:15" x14ac:dyDescent="0.25">
      <c r="A966" s="3">
        <v>43951</v>
      </c>
      <c r="B966" s="4">
        <v>323.95</v>
      </c>
      <c r="C966" s="4">
        <v>330.5</v>
      </c>
      <c r="D966" s="4">
        <v>332</v>
      </c>
      <c r="E966" s="4">
        <v>321.3</v>
      </c>
      <c r="F966" s="4" t="str">
        <v>5.08M</v>
      </c>
      <c r="G966" s="4" t="str">
        <v>-0.84%</v>
      </c>
      <c r="H966" s="3">
        <v>43951</v>
      </c>
      <c r="I966" s="4">
        <v>326.64999999999998</v>
      </c>
      <c r="O966" s="4">
        <v>570</v>
      </c>
    </row>
    <row r="967" spans="1:15" x14ac:dyDescent="0.25">
      <c r="A967" s="3">
        <v>43950</v>
      </c>
      <c r="B967" s="4">
        <v>326.7</v>
      </c>
      <c r="C967" s="4">
        <v>325</v>
      </c>
      <c r="D967" s="4">
        <v>330.7</v>
      </c>
      <c r="E967" s="4">
        <v>320.5</v>
      </c>
      <c r="F967" s="4" t="str">
        <v>5.45M</v>
      </c>
      <c r="G967" s="4" t="str">
        <v>0.23%</v>
      </c>
      <c r="H967" s="3">
        <v>43950</v>
      </c>
      <c r="I967" s="4">
        <v>325.60000000000002</v>
      </c>
      <c r="O967" s="4">
        <v>569</v>
      </c>
    </row>
    <row r="968" spans="1:15" x14ac:dyDescent="0.25">
      <c r="A968" s="3">
        <v>43949</v>
      </c>
      <c r="B968" s="4">
        <v>325.95</v>
      </c>
      <c r="C968" s="4">
        <v>335.1</v>
      </c>
      <c r="D968" s="4">
        <v>339.55</v>
      </c>
      <c r="E968" s="4">
        <v>324</v>
      </c>
      <c r="F968" s="4" t="str">
        <v>4.88M</v>
      </c>
      <c r="G968" s="4" t="str">
        <v>-2.37%</v>
      </c>
      <c r="H968" s="3">
        <v>43949</v>
      </c>
      <c r="I968" s="4">
        <v>331.77499999999998</v>
      </c>
      <c r="O968" s="4">
        <v>568</v>
      </c>
    </row>
    <row r="969" spans="1:15" x14ac:dyDescent="0.25">
      <c r="A969" s="3">
        <v>43948</v>
      </c>
      <c r="B969" s="4">
        <v>333.85</v>
      </c>
      <c r="C969" s="4">
        <v>330.3</v>
      </c>
      <c r="D969" s="4">
        <v>342.55</v>
      </c>
      <c r="E969" s="4">
        <v>325.64999999999998</v>
      </c>
      <c r="F969" s="4" t="str">
        <v>9.37M</v>
      </c>
      <c r="G969" s="4" t="str">
        <v>-0.92%</v>
      </c>
      <c r="H969" s="3">
        <v>43948</v>
      </c>
      <c r="I969" s="4">
        <v>334.1</v>
      </c>
      <c r="O969" s="4">
        <v>567</v>
      </c>
    </row>
    <row r="970" spans="1:15" x14ac:dyDescent="0.25">
      <c r="A970" s="3">
        <v>43945</v>
      </c>
      <c r="B970" s="4">
        <v>336.95</v>
      </c>
      <c r="C970" s="4">
        <v>333.25</v>
      </c>
      <c r="D970" s="4">
        <v>344</v>
      </c>
      <c r="E970" s="4">
        <v>330.9</v>
      </c>
      <c r="F970" s="4" t="str">
        <v>8.62M</v>
      </c>
      <c r="G970" s="4" t="str">
        <v>1.66%</v>
      </c>
      <c r="H970" s="3">
        <v>43945</v>
      </c>
      <c r="I970" s="4">
        <v>337.45</v>
      </c>
      <c r="O970" s="4">
        <v>566</v>
      </c>
    </row>
    <row r="971" spans="1:15" x14ac:dyDescent="0.25">
      <c r="A971" s="3">
        <v>43944</v>
      </c>
      <c r="B971" s="4">
        <v>331.45</v>
      </c>
      <c r="C971" s="4">
        <v>332.2</v>
      </c>
      <c r="D971" s="4">
        <v>342.6</v>
      </c>
      <c r="E971" s="4">
        <v>330.05</v>
      </c>
      <c r="F971" s="4" t="str">
        <v>7.29M</v>
      </c>
      <c r="G971" s="4" t="str">
        <v>0.02%</v>
      </c>
      <c r="H971" s="3">
        <v>43944</v>
      </c>
      <c r="I971" s="4">
        <v>336.32500000000005</v>
      </c>
      <c r="O971" s="4">
        <v>565</v>
      </c>
    </row>
    <row r="972" spans="1:15" x14ac:dyDescent="0.25">
      <c r="A972" s="3">
        <v>43943</v>
      </c>
      <c r="B972" s="4">
        <v>331.4</v>
      </c>
      <c r="C972" s="4">
        <v>340</v>
      </c>
      <c r="D972" s="4">
        <v>340.9</v>
      </c>
      <c r="E972" s="4">
        <v>327.39999999999998</v>
      </c>
      <c r="F972" s="4" t="str">
        <v>8.46M</v>
      </c>
      <c r="G972" s="4" t="str">
        <v>-3.72%</v>
      </c>
      <c r="H972" s="3">
        <v>43943</v>
      </c>
      <c r="I972" s="4">
        <v>334.15</v>
      </c>
      <c r="O972" s="4">
        <v>564</v>
      </c>
    </row>
    <row r="973" spans="1:15" x14ac:dyDescent="0.25">
      <c r="A973" s="3">
        <v>43942</v>
      </c>
      <c r="B973" s="4">
        <v>344.2</v>
      </c>
      <c r="C973" s="4">
        <v>329.75</v>
      </c>
      <c r="D973" s="4">
        <v>349.9</v>
      </c>
      <c r="E973" s="4">
        <v>326.35000000000002</v>
      </c>
      <c r="F973" s="4" t="str">
        <v>12.65M</v>
      </c>
      <c r="G973" s="4" t="str">
        <v>3.30%</v>
      </c>
      <c r="H973" s="3">
        <v>43942</v>
      </c>
      <c r="I973" s="4">
        <v>338.125</v>
      </c>
      <c r="O973" s="4">
        <v>563</v>
      </c>
    </row>
    <row r="974" spans="1:15" x14ac:dyDescent="0.25">
      <c r="A974" s="3">
        <v>43941</v>
      </c>
      <c r="B974" s="4">
        <v>333.2</v>
      </c>
      <c r="C974" s="4">
        <v>340</v>
      </c>
      <c r="D974" s="4">
        <v>340.9</v>
      </c>
      <c r="E974" s="4">
        <v>330.2</v>
      </c>
      <c r="F974" s="4" t="str">
        <v>9.73M</v>
      </c>
      <c r="G974" s="4" t="str">
        <v>-0.18%</v>
      </c>
      <c r="H974" s="3">
        <v>43941</v>
      </c>
      <c r="I974" s="4">
        <v>335.54999999999995</v>
      </c>
      <c r="O974" s="4">
        <v>562</v>
      </c>
    </row>
    <row r="975" spans="1:15" x14ac:dyDescent="0.25">
      <c r="A975" s="3">
        <v>43938</v>
      </c>
      <c r="B975" s="4">
        <v>333.8</v>
      </c>
      <c r="C975" s="4">
        <v>349</v>
      </c>
      <c r="D975" s="4">
        <v>352</v>
      </c>
      <c r="E975" s="4">
        <v>332</v>
      </c>
      <c r="F975" s="4" t="str">
        <v>7.84M</v>
      </c>
      <c r="G975" s="4" t="str">
        <v>-2.84%</v>
      </c>
      <c r="H975" s="3">
        <v>43938</v>
      </c>
      <c r="I975" s="4">
        <v>342</v>
      </c>
      <c r="O975" s="4">
        <v>561</v>
      </c>
    </row>
    <row r="976" spans="1:15" x14ac:dyDescent="0.25">
      <c r="A976" s="3">
        <v>43937</v>
      </c>
      <c r="B976" s="4">
        <v>343.55</v>
      </c>
      <c r="C976" s="4">
        <v>336</v>
      </c>
      <c r="D976" s="4">
        <v>346.2</v>
      </c>
      <c r="E976" s="4">
        <v>329.15</v>
      </c>
      <c r="F976" s="4" t="str">
        <v>7.47M</v>
      </c>
      <c r="G976" s="4" t="str">
        <v>1.31%</v>
      </c>
      <c r="H976" s="3">
        <v>43937</v>
      </c>
      <c r="I976" s="4">
        <v>337.67499999999995</v>
      </c>
      <c r="O976" s="4">
        <v>560</v>
      </c>
    </row>
    <row r="977" spans="1:15" x14ac:dyDescent="0.25">
      <c r="A977" s="3">
        <v>43936</v>
      </c>
      <c r="B977" s="4">
        <v>339.1</v>
      </c>
      <c r="C977" s="4">
        <v>354.5</v>
      </c>
      <c r="D977" s="4">
        <v>358</v>
      </c>
      <c r="E977" s="4">
        <v>330.85</v>
      </c>
      <c r="F977" s="4" t="str">
        <v>11.48M</v>
      </c>
      <c r="G977" s="4" t="str">
        <v>-4.14%</v>
      </c>
      <c r="H977" s="3">
        <v>43936</v>
      </c>
      <c r="I977" s="4">
        <v>344.42500000000001</v>
      </c>
      <c r="O977" s="4">
        <v>559</v>
      </c>
    </row>
    <row r="978" spans="1:15" x14ac:dyDescent="0.25">
      <c r="A978" s="3">
        <v>43934</v>
      </c>
      <c r="B978" s="4">
        <v>353.75</v>
      </c>
      <c r="C978" s="4">
        <v>364.9</v>
      </c>
      <c r="D978" s="4">
        <v>364.9</v>
      </c>
      <c r="E978" s="4">
        <v>351.75</v>
      </c>
      <c r="F978" s="4" t="str">
        <v>14.95M</v>
      </c>
      <c r="G978" s="4" t="str">
        <v>0.75%</v>
      </c>
      <c r="H978" s="3">
        <v>43934</v>
      </c>
      <c r="I978" s="4">
        <v>358.32499999999999</v>
      </c>
      <c r="O978" s="4">
        <v>558</v>
      </c>
    </row>
    <row r="979" spans="1:15" x14ac:dyDescent="0.25">
      <c r="A979" s="3">
        <v>43930</v>
      </c>
      <c r="B979" s="4">
        <v>351.1</v>
      </c>
      <c r="C979" s="4">
        <v>373</v>
      </c>
      <c r="D979" s="4">
        <v>374</v>
      </c>
      <c r="E979" s="4">
        <v>348</v>
      </c>
      <c r="F979" s="4" t="str">
        <v>21.20M</v>
      </c>
      <c r="G979" s="4" t="str">
        <v>0.36%</v>
      </c>
      <c r="H979" s="3">
        <v>43930</v>
      </c>
      <c r="I979" s="4">
        <v>361</v>
      </c>
      <c r="O979" s="4">
        <v>557</v>
      </c>
    </row>
    <row r="980" spans="1:15" x14ac:dyDescent="0.25">
      <c r="A980" s="3">
        <v>43929</v>
      </c>
      <c r="B980" s="4">
        <v>349.85</v>
      </c>
      <c r="C980" s="4">
        <v>334</v>
      </c>
      <c r="D980" s="4">
        <v>366.7</v>
      </c>
      <c r="E980" s="4">
        <v>330</v>
      </c>
      <c r="F980" s="4" t="str">
        <v>34.94M</v>
      </c>
      <c r="G980" s="4" t="str">
        <v>12.01%</v>
      </c>
      <c r="H980" s="3">
        <v>43929</v>
      </c>
      <c r="I980" s="4">
        <v>348.35</v>
      </c>
      <c r="O980" s="4">
        <v>556</v>
      </c>
    </row>
    <row r="981" spans="1:15" x14ac:dyDescent="0.25">
      <c r="A981" s="3">
        <v>43928</v>
      </c>
      <c r="B981" s="4">
        <v>312.35000000000002</v>
      </c>
      <c r="C981" s="4">
        <v>302.05</v>
      </c>
      <c r="D981" s="4">
        <v>318.89999999999998</v>
      </c>
      <c r="E981" s="4">
        <v>290</v>
      </c>
      <c r="F981" s="4" t="str">
        <v>12.85M</v>
      </c>
      <c r="G981" s="4" t="str">
        <v>13.75%</v>
      </c>
      <c r="H981" s="3">
        <v>43928</v>
      </c>
      <c r="I981" s="4">
        <v>304.45</v>
      </c>
      <c r="O981" s="4">
        <v>555</v>
      </c>
    </row>
    <row r="982" spans="1:15" x14ac:dyDescent="0.25">
      <c r="A982" s="3">
        <v>43924</v>
      </c>
      <c r="B982" s="4">
        <v>274.60000000000002</v>
      </c>
      <c r="C982" s="4">
        <v>263.85000000000002</v>
      </c>
      <c r="D982" s="4">
        <v>279.5</v>
      </c>
      <c r="E982" s="4">
        <v>258.3</v>
      </c>
      <c r="F982" s="4" t="str">
        <v>4.37M</v>
      </c>
      <c r="G982" s="4" t="str">
        <v>4.07%</v>
      </c>
      <c r="H982" s="3">
        <v>43924</v>
      </c>
      <c r="I982" s="4">
        <v>268.89999999999998</v>
      </c>
      <c r="O982" s="4">
        <v>554</v>
      </c>
    </row>
    <row r="983" spans="1:15" x14ac:dyDescent="0.25">
      <c r="A983" s="3">
        <v>43922</v>
      </c>
      <c r="B983" s="4">
        <v>263.85000000000002</v>
      </c>
      <c r="C983" s="4">
        <v>270</v>
      </c>
      <c r="D983" s="4">
        <v>273.3</v>
      </c>
      <c r="E983" s="4">
        <v>261.14999999999998</v>
      </c>
      <c r="F983" s="4" t="str">
        <v>3.04M</v>
      </c>
      <c r="G983" s="4" t="str">
        <v>-1.27%</v>
      </c>
      <c r="H983" s="3">
        <v>43922</v>
      </c>
      <c r="I983" s="4">
        <v>267.22500000000002</v>
      </c>
      <c r="O983" s="4">
        <v>553</v>
      </c>
    </row>
    <row r="984" spans="1:15" x14ac:dyDescent="0.25">
      <c r="A984" s="3">
        <v>43921</v>
      </c>
      <c r="B984" s="4">
        <v>267.25</v>
      </c>
      <c r="C984" s="4">
        <v>258</v>
      </c>
      <c r="D984" s="4">
        <v>271.14999999999998</v>
      </c>
      <c r="E984" s="4">
        <v>255.1</v>
      </c>
      <c r="F984" s="4" t="str">
        <v>1.92M</v>
      </c>
      <c r="G984" s="4" t="str">
        <v>5.99%</v>
      </c>
      <c r="H984" s="3">
        <v>43921</v>
      </c>
      <c r="I984" s="4">
        <v>263.125</v>
      </c>
      <c r="O984" s="4">
        <v>552</v>
      </c>
    </row>
    <row r="985" spans="1:15" x14ac:dyDescent="0.25">
      <c r="A985" s="3">
        <v>43920</v>
      </c>
      <c r="B985" s="4">
        <v>252.15</v>
      </c>
      <c r="C985" s="4">
        <v>252</v>
      </c>
      <c r="D985" s="4">
        <v>258.39999999999998</v>
      </c>
      <c r="E985" s="4">
        <v>247.65</v>
      </c>
      <c r="F985" s="4" t="str">
        <v>2.23M</v>
      </c>
      <c r="G985" s="4" t="str">
        <v>-0.22%</v>
      </c>
      <c r="H985" s="3">
        <v>43920</v>
      </c>
      <c r="I985" s="4">
        <v>253.02499999999998</v>
      </c>
      <c r="O985" s="4">
        <v>551</v>
      </c>
    </row>
    <row r="986" spans="1:15" x14ac:dyDescent="0.25">
      <c r="A986" s="3">
        <v>43917</v>
      </c>
      <c r="B986" s="4">
        <v>252.7</v>
      </c>
      <c r="C986" s="4">
        <v>261</v>
      </c>
      <c r="D986" s="4">
        <v>264.75</v>
      </c>
      <c r="E986" s="4">
        <v>248.65</v>
      </c>
      <c r="F986" s="4" t="str">
        <v>1.87M</v>
      </c>
      <c r="G986" s="4" t="str">
        <v>-1.62%</v>
      </c>
      <c r="H986" s="3">
        <v>43917</v>
      </c>
      <c r="I986" s="4">
        <v>256.7</v>
      </c>
      <c r="O986" s="4">
        <v>550</v>
      </c>
    </row>
    <row r="987" spans="1:15" x14ac:dyDescent="0.25">
      <c r="A987" s="3">
        <v>43916</v>
      </c>
      <c r="B987" s="4">
        <v>256.85000000000002</v>
      </c>
      <c r="C987" s="4">
        <v>267.10000000000002</v>
      </c>
      <c r="D987" s="4">
        <v>271</v>
      </c>
      <c r="E987" s="4">
        <v>252.8</v>
      </c>
      <c r="F987" s="4" t="str">
        <v>2.58M</v>
      </c>
      <c r="G987" s="4" t="str">
        <v>-2.60%</v>
      </c>
      <c r="H987" s="3">
        <v>43916</v>
      </c>
      <c r="I987" s="4">
        <v>261.89999999999998</v>
      </c>
      <c r="O987" s="4">
        <v>549</v>
      </c>
    </row>
    <row r="988" spans="1:15" x14ac:dyDescent="0.25">
      <c r="A988" s="3">
        <v>43915</v>
      </c>
      <c r="B988" s="4">
        <v>263.7</v>
      </c>
      <c r="C988" s="4">
        <v>270</v>
      </c>
      <c r="D988" s="4">
        <v>281</v>
      </c>
      <c r="E988" s="4">
        <v>257.14999999999998</v>
      </c>
      <c r="F988" s="4" t="str">
        <v>2.93M</v>
      </c>
      <c r="G988" s="4" t="str">
        <v>-5.30%</v>
      </c>
      <c r="H988" s="3">
        <v>43915</v>
      </c>
      <c r="I988" s="4">
        <v>269.07499999999999</v>
      </c>
      <c r="O988" s="4">
        <v>548</v>
      </c>
    </row>
    <row r="989" spans="1:15" x14ac:dyDescent="0.25">
      <c r="A989" s="3">
        <v>43914</v>
      </c>
      <c r="B989" s="4">
        <v>278.45</v>
      </c>
      <c r="C989" s="4">
        <v>297</v>
      </c>
      <c r="D989" s="4">
        <v>299.5</v>
      </c>
      <c r="E989" s="4">
        <v>273.3</v>
      </c>
      <c r="F989" s="4" t="str">
        <v>2.61M</v>
      </c>
      <c r="G989" s="4" t="str">
        <v>-0.68%</v>
      </c>
      <c r="H989" s="3">
        <v>43914</v>
      </c>
      <c r="I989" s="4">
        <v>286.39999999999998</v>
      </c>
      <c r="O989" s="4">
        <v>547</v>
      </c>
    </row>
    <row r="990" spans="1:15" x14ac:dyDescent="0.25">
      <c r="A990" s="3">
        <v>43913</v>
      </c>
      <c r="B990" s="4">
        <v>280.35000000000002</v>
      </c>
      <c r="C990" s="4">
        <v>288.05</v>
      </c>
      <c r="D990" s="4">
        <v>305.89999999999998</v>
      </c>
      <c r="E990" s="4">
        <v>274.5</v>
      </c>
      <c r="F990" s="4" t="str">
        <v>6.35M</v>
      </c>
      <c r="G990" s="4" t="str">
        <v>-1.91%</v>
      </c>
      <c r="H990" s="3">
        <v>43913</v>
      </c>
      <c r="I990" s="4">
        <v>290.2</v>
      </c>
      <c r="O990" s="4">
        <v>546</v>
      </c>
    </row>
    <row r="991" spans="1:15" x14ac:dyDescent="0.25">
      <c r="A991" s="3">
        <v>43910</v>
      </c>
      <c r="B991" s="4">
        <v>285.8</v>
      </c>
      <c r="C991" s="4">
        <v>252</v>
      </c>
      <c r="D991" s="4">
        <v>290</v>
      </c>
      <c r="E991" s="4">
        <v>252</v>
      </c>
      <c r="F991" s="4" t="str">
        <v>7.51M</v>
      </c>
      <c r="G991" s="4" t="str">
        <v>16.25%</v>
      </c>
      <c r="H991" s="3">
        <v>43910</v>
      </c>
      <c r="I991" s="4">
        <v>271</v>
      </c>
      <c r="O991" s="4">
        <v>545</v>
      </c>
    </row>
    <row r="992" spans="1:15" x14ac:dyDescent="0.25">
      <c r="A992" s="3">
        <v>43909</v>
      </c>
      <c r="B992" s="4">
        <v>245.85</v>
      </c>
      <c r="C992" s="4">
        <v>245</v>
      </c>
      <c r="D992" s="4">
        <v>255.95</v>
      </c>
      <c r="E992" s="4">
        <v>235</v>
      </c>
      <c r="F992" s="4" t="str">
        <v>1.52M</v>
      </c>
      <c r="G992" s="4" t="str">
        <v>-4.75%</v>
      </c>
      <c r="H992" s="3">
        <v>43909</v>
      </c>
      <c r="I992" s="4">
        <v>245.47499999999999</v>
      </c>
      <c r="O992" s="4">
        <v>544</v>
      </c>
    </row>
    <row r="993" spans="1:15" x14ac:dyDescent="0.25">
      <c r="A993" s="3">
        <v>43908</v>
      </c>
      <c r="B993" s="4">
        <v>258.10000000000002</v>
      </c>
      <c r="C993" s="4">
        <v>265</v>
      </c>
      <c r="D993" s="4">
        <v>267.64999999999998</v>
      </c>
      <c r="E993" s="4">
        <v>251.05</v>
      </c>
      <c r="F993" s="4" t="str">
        <v>2.09M</v>
      </c>
      <c r="G993" s="4" t="str">
        <v>-1.75%</v>
      </c>
      <c r="H993" s="3">
        <v>43908</v>
      </c>
      <c r="I993" s="4">
        <v>259.35000000000002</v>
      </c>
      <c r="O993" s="4">
        <v>543</v>
      </c>
    </row>
    <row r="994" spans="1:15" x14ac:dyDescent="0.25">
      <c r="A994" s="3">
        <v>43907</v>
      </c>
      <c r="B994" s="4">
        <v>262.7</v>
      </c>
      <c r="C994" s="4">
        <v>249.3</v>
      </c>
      <c r="D994" s="4">
        <v>268.35000000000002</v>
      </c>
      <c r="E994" s="4">
        <v>247.1</v>
      </c>
      <c r="F994" s="4" t="str">
        <v>2.40M</v>
      </c>
      <c r="G994" s="4" t="str">
        <v>5.35%</v>
      </c>
      <c r="H994" s="3">
        <v>43907</v>
      </c>
      <c r="I994" s="4">
        <v>257.72500000000002</v>
      </c>
      <c r="O994" s="4">
        <v>542</v>
      </c>
    </row>
    <row r="995" spans="1:15" x14ac:dyDescent="0.25">
      <c r="A995" s="3">
        <v>43906</v>
      </c>
      <c r="B995" s="4">
        <v>249.35</v>
      </c>
      <c r="C995" s="4">
        <v>247</v>
      </c>
      <c r="D995" s="4">
        <v>261.8</v>
      </c>
      <c r="E995" s="4">
        <v>236.25</v>
      </c>
      <c r="F995" s="4" t="str">
        <v>2.97M</v>
      </c>
      <c r="G995" s="4" t="str">
        <v>-0.87%</v>
      </c>
      <c r="H995" s="3">
        <v>43906</v>
      </c>
      <c r="I995" s="4">
        <v>249.02500000000001</v>
      </c>
      <c r="O995" s="4">
        <v>541</v>
      </c>
    </row>
    <row r="996" spans="1:15" x14ac:dyDescent="0.25">
      <c r="A996" s="3">
        <v>43903</v>
      </c>
      <c r="B996" s="4">
        <v>251.55</v>
      </c>
      <c r="C996" s="4">
        <v>219</v>
      </c>
      <c r="D996" s="4">
        <v>255</v>
      </c>
      <c r="E996" s="4">
        <v>202</v>
      </c>
      <c r="F996" s="4" t="str">
        <v>1.80M</v>
      </c>
      <c r="G996" s="4" t="str">
        <v>6.18%</v>
      </c>
      <c r="H996" s="3">
        <v>43903</v>
      </c>
      <c r="I996" s="4">
        <v>228.5</v>
      </c>
      <c r="O996" s="4">
        <v>540</v>
      </c>
    </row>
    <row r="997" spans="1:15" x14ac:dyDescent="0.25">
      <c r="A997" s="3">
        <v>43902</v>
      </c>
      <c r="B997" s="4">
        <v>236.9</v>
      </c>
      <c r="C997" s="4">
        <v>250.8</v>
      </c>
      <c r="D997" s="4">
        <v>252.6</v>
      </c>
      <c r="E997" s="4">
        <v>234.5</v>
      </c>
      <c r="F997" s="4" t="str">
        <v>2.13M</v>
      </c>
      <c r="G997" s="4" t="str">
        <v>-8.21%</v>
      </c>
      <c r="H997" s="3">
        <v>43902</v>
      </c>
      <c r="I997" s="4">
        <v>243.55</v>
      </c>
      <c r="O997" s="4">
        <v>539</v>
      </c>
    </row>
    <row r="998" spans="1:15" x14ac:dyDescent="0.25">
      <c r="A998" s="3">
        <v>43901</v>
      </c>
      <c r="B998" s="4">
        <v>258.10000000000002</v>
      </c>
      <c r="C998" s="4">
        <v>258.55</v>
      </c>
      <c r="D998" s="4">
        <v>264.3</v>
      </c>
      <c r="E998" s="4">
        <v>254.2</v>
      </c>
      <c r="F998" s="4" t="str">
        <v>2.94M</v>
      </c>
      <c r="G998" s="4" t="str">
        <v>0.74%</v>
      </c>
      <c r="H998" s="3">
        <v>43901</v>
      </c>
      <c r="I998" s="4">
        <v>259.25</v>
      </c>
      <c r="O998" s="4">
        <v>538</v>
      </c>
    </row>
    <row r="999" spans="1:15" x14ac:dyDescent="0.25">
      <c r="A999" s="3">
        <v>43899</v>
      </c>
      <c r="B999" s="4">
        <v>256.2</v>
      </c>
      <c r="C999" s="4">
        <v>264.89999999999998</v>
      </c>
      <c r="D999" s="4">
        <v>267.25</v>
      </c>
      <c r="E999" s="4">
        <v>248.8</v>
      </c>
      <c r="F999" s="4" t="str">
        <v>2.32M</v>
      </c>
      <c r="G999" s="4" t="str">
        <v>-3.72%</v>
      </c>
      <c r="H999" s="3">
        <v>43899</v>
      </c>
      <c r="I999" s="4">
        <v>258.02499999999998</v>
      </c>
      <c r="O999" s="4">
        <v>537</v>
      </c>
    </row>
    <row r="1000" spans="1:15" x14ac:dyDescent="0.25">
      <c r="A1000" s="3">
        <v>43896</v>
      </c>
      <c r="B1000" s="4">
        <v>266.10000000000002</v>
      </c>
      <c r="C1000" s="4">
        <v>259.95</v>
      </c>
      <c r="D1000" s="4">
        <v>268.64999999999998</v>
      </c>
      <c r="E1000" s="4">
        <v>254.6</v>
      </c>
      <c r="F1000" s="4" t="str">
        <v>2.57M</v>
      </c>
      <c r="G1000" s="4" t="str">
        <v>0.78%</v>
      </c>
      <c r="H1000" s="3">
        <v>43896</v>
      </c>
      <c r="I1000" s="4">
        <v>261.625</v>
      </c>
      <c r="O1000" s="4">
        <v>536</v>
      </c>
    </row>
    <row r="1001" spans="1:15" x14ac:dyDescent="0.25">
      <c r="A1001" s="3">
        <v>43895</v>
      </c>
      <c r="B1001" s="4">
        <v>264.05</v>
      </c>
      <c r="C1001" s="4">
        <v>256.8</v>
      </c>
      <c r="D1001" s="4">
        <v>272.75</v>
      </c>
      <c r="E1001" s="4">
        <v>256.8</v>
      </c>
      <c r="F1001" s="4" t="str">
        <v>5.57M</v>
      </c>
      <c r="G1001" s="4" t="str">
        <v>3.23%</v>
      </c>
      <c r="H1001" s="3">
        <v>43895</v>
      </c>
      <c r="I1001" s="4">
        <v>264.77499999999998</v>
      </c>
      <c r="O1001" s="4">
        <v>535</v>
      </c>
    </row>
    <row r="1002" spans="1:15" x14ac:dyDescent="0.25">
      <c r="A1002" s="3">
        <v>43894</v>
      </c>
      <c r="B1002" s="4">
        <v>255.8</v>
      </c>
      <c r="C1002" s="4">
        <v>262</v>
      </c>
      <c r="D1002" s="4">
        <v>263.39999999999998</v>
      </c>
      <c r="E1002" s="4">
        <v>252.1</v>
      </c>
      <c r="F1002" s="4" t="str">
        <v>2.01M</v>
      </c>
      <c r="G1002" s="4" t="str">
        <v>-1.75%</v>
      </c>
      <c r="H1002" s="3">
        <v>43894</v>
      </c>
      <c r="I1002" s="4">
        <v>257.75</v>
      </c>
      <c r="O1002" s="4">
        <v>534</v>
      </c>
    </row>
    <row r="1003" spans="1:15" x14ac:dyDescent="0.25">
      <c r="A1003" s="3">
        <v>43893</v>
      </c>
      <c r="B1003" s="4">
        <v>260.35000000000002</v>
      </c>
      <c r="C1003" s="4">
        <v>249.3</v>
      </c>
      <c r="D1003" s="4">
        <v>263.45</v>
      </c>
      <c r="E1003" s="4">
        <v>240.5</v>
      </c>
      <c r="F1003" s="4" t="str">
        <v>2.45M</v>
      </c>
      <c r="G1003" s="4" t="str">
        <v>4.08%</v>
      </c>
      <c r="H1003" s="3">
        <v>43893</v>
      </c>
      <c r="I1003" s="4">
        <v>251.97499999999999</v>
      </c>
      <c r="O1003" s="4">
        <v>533</v>
      </c>
    </row>
    <row r="1004" spans="1:15" x14ac:dyDescent="0.25">
      <c r="A1004" s="3">
        <v>43892</v>
      </c>
      <c r="B1004" s="4">
        <v>250.15</v>
      </c>
      <c r="C1004" s="4">
        <v>260.05</v>
      </c>
      <c r="D1004" s="4">
        <v>263.55</v>
      </c>
      <c r="E1004" s="4">
        <v>247.3</v>
      </c>
      <c r="F1004" s="4" t="str">
        <v>2.16M</v>
      </c>
      <c r="G1004" s="4" t="str">
        <v>-3.81%</v>
      </c>
      <c r="H1004" s="3">
        <v>43892</v>
      </c>
      <c r="I1004" s="4">
        <v>255.42500000000001</v>
      </c>
      <c r="O1004" s="4">
        <v>532</v>
      </c>
    </row>
    <row r="1005" spans="1:15" x14ac:dyDescent="0.25">
      <c r="A1005" s="3">
        <v>43889</v>
      </c>
      <c r="B1005" s="4">
        <v>260.05</v>
      </c>
      <c r="C1005" s="4">
        <v>258.45</v>
      </c>
      <c r="D1005" s="4">
        <v>265.75</v>
      </c>
      <c r="E1005" s="4">
        <v>254.25</v>
      </c>
      <c r="F1005" s="4" t="str">
        <v>2.35M</v>
      </c>
      <c r="G1005" s="4" t="str">
        <v>-0.54%</v>
      </c>
      <c r="H1005" s="3">
        <v>43889</v>
      </c>
      <c r="I1005" s="4">
        <v>260</v>
      </c>
      <c r="O1005" s="4">
        <v>531</v>
      </c>
    </row>
    <row r="1006" spans="1:15" x14ac:dyDescent="0.25">
      <c r="A1006" s="3">
        <v>43888</v>
      </c>
      <c r="B1006" s="4">
        <v>261.45</v>
      </c>
      <c r="C1006" s="4">
        <v>261.8</v>
      </c>
      <c r="D1006" s="4">
        <v>264.25</v>
      </c>
      <c r="E1006" s="4">
        <v>256</v>
      </c>
      <c r="F1006" s="4" t="str">
        <v>1.08M</v>
      </c>
      <c r="G1006" s="4" t="str">
        <v>-0.53%</v>
      </c>
      <c r="H1006" s="3">
        <v>43888</v>
      </c>
      <c r="I1006" s="4">
        <v>260.125</v>
      </c>
      <c r="O1006" s="4">
        <v>530</v>
      </c>
    </row>
    <row r="1007" spans="1:15" x14ac:dyDescent="0.25">
      <c r="A1007" s="3">
        <v>43887</v>
      </c>
      <c r="B1007" s="4">
        <v>262.85000000000002</v>
      </c>
      <c r="C1007" s="4">
        <v>270.2</v>
      </c>
      <c r="D1007" s="4">
        <v>271.60000000000002</v>
      </c>
      <c r="E1007" s="4">
        <v>262</v>
      </c>
      <c r="F1007" s="4" t="str">
        <v>1.17M</v>
      </c>
      <c r="G1007" s="4" t="str">
        <v>-3.43%</v>
      </c>
      <c r="H1007" s="3">
        <v>43887</v>
      </c>
      <c r="I1007" s="4">
        <v>266.8</v>
      </c>
      <c r="O1007" s="4">
        <v>529</v>
      </c>
    </row>
    <row r="1008" spans="1:15" x14ac:dyDescent="0.25">
      <c r="A1008" s="3">
        <v>43886</v>
      </c>
      <c r="B1008" s="4">
        <v>272.2</v>
      </c>
      <c r="C1008" s="4">
        <v>276</v>
      </c>
      <c r="D1008" s="4">
        <v>277.95</v>
      </c>
      <c r="E1008" s="4">
        <v>270.64999999999998</v>
      </c>
      <c r="F1008" s="4" t="str">
        <v>1.03M</v>
      </c>
      <c r="G1008" s="4" t="str">
        <v>-0.98%</v>
      </c>
      <c r="H1008" s="3">
        <v>43886</v>
      </c>
      <c r="I1008" s="4">
        <v>274.29999999999995</v>
      </c>
      <c r="O1008" s="4">
        <v>528</v>
      </c>
    </row>
    <row r="1009" spans="1:15" x14ac:dyDescent="0.25">
      <c r="A1009" s="3">
        <v>43885</v>
      </c>
      <c r="B1009" s="4">
        <v>274.89999999999998</v>
      </c>
      <c r="C1009" s="4">
        <v>277</v>
      </c>
      <c r="D1009" s="4">
        <v>280.45</v>
      </c>
      <c r="E1009" s="4">
        <v>272.55</v>
      </c>
      <c r="F1009" s="4" t="str">
        <v>1.58M</v>
      </c>
      <c r="G1009" s="4" t="str">
        <v>-1.56%</v>
      </c>
      <c r="H1009" s="3">
        <v>43885</v>
      </c>
      <c r="I1009" s="4">
        <v>276.5</v>
      </c>
      <c r="O1009" s="4">
        <v>527</v>
      </c>
    </row>
    <row r="1010" spans="1:15" x14ac:dyDescent="0.25">
      <c r="A1010" s="3">
        <v>43881</v>
      </c>
      <c r="B1010" s="4">
        <v>279.25</v>
      </c>
      <c r="C1010" s="4">
        <v>276</v>
      </c>
      <c r="D1010" s="4">
        <v>281.7</v>
      </c>
      <c r="E1010" s="4">
        <v>275</v>
      </c>
      <c r="F1010" s="4" t="str">
        <v>1.64M</v>
      </c>
      <c r="G1010" s="4" t="str">
        <v>1.21%</v>
      </c>
      <c r="H1010" s="3">
        <v>43881</v>
      </c>
      <c r="I1010" s="4">
        <v>278.35000000000002</v>
      </c>
      <c r="O1010" s="4">
        <v>526</v>
      </c>
    </row>
    <row r="1011" spans="1:15" x14ac:dyDescent="0.25">
      <c r="A1011" s="3">
        <v>43880</v>
      </c>
      <c r="B1011" s="4">
        <v>275.89999999999998</v>
      </c>
      <c r="C1011" s="4">
        <v>268.25</v>
      </c>
      <c r="D1011" s="4">
        <v>277.5</v>
      </c>
      <c r="E1011" s="4">
        <v>268</v>
      </c>
      <c r="F1011" s="4" t="str">
        <v>1.41M</v>
      </c>
      <c r="G1011" s="4" t="str">
        <v>2.95%</v>
      </c>
      <c r="H1011" s="3">
        <v>43880</v>
      </c>
      <c r="I1011" s="4">
        <v>272.75</v>
      </c>
      <c r="O1011" s="4">
        <v>525</v>
      </c>
    </row>
    <row r="1012" spans="1:15" x14ac:dyDescent="0.25">
      <c r="A1012" s="3">
        <v>43879</v>
      </c>
      <c r="B1012" s="4">
        <v>268</v>
      </c>
      <c r="C1012" s="4">
        <v>266.60000000000002</v>
      </c>
      <c r="D1012" s="4">
        <v>269.5</v>
      </c>
      <c r="E1012" s="4">
        <v>261.10000000000002</v>
      </c>
      <c r="F1012" s="4" t="str">
        <v>1.31M</v>
      </c>
      <c r="G1012" s="4" t="str">
        <v>0.62%</v>
      </c>
      <c r="H1012" s="3">
        <v>43879</v>
      </c>
      <c r="I1012" s="4">
        <v>265.3</v>
      </c>
      <c r="O1012" s="4">
        <v>524</v>
      </c>
    </row>
    <row r="1013" spans="1:15" x14ac:dyDescent="0.25">
      <c r="A1013" s="3">
        <v>43878</v>
      </c>
      <c r="B1013" s="4">
        <v>266.35000000000002</v>
      </c>
      <c r="C1013" s="4">
        <v>271.3</v>
      </c>
      <c r="D1013" s="4">
        <v>276.8</v>
      </c>
      <c r="E1013" s="4">
        <v>263.14999999999998</v>
      </c>
      <c r="F1013" s="4" t="str">
        <v>2.36M</v>
      </c>
      <c r="G1013" s="4" t="str">
        <v>-1.35%</v>
      </c>
      <c r="H1013" s="3">
        <v>43878</v>
      </c>
      <c r="I1013" s="4">
        <v>269.97500000000002</v>
      </c>
      <c r="O1013" s="4">
        <v>523</v>
      </c>
    </row>
    <row r="1014" spans="1:15" x14ac:dyDescent="0.25">
      <c r="A1014" s="3">
        <v>43875</v>
      </c>
      <c r="B1014" s="4">
        <v>270</v>
      </c>
      <c r="C1014" s="4">
        <v>270.3</v>
      </c>
      <c r="D1014" s="4">
        <v>271.5</v>
      </c>
      <c r="E1014" s="4">
        <v>265.85000000000002</v>
      </c>
      <c r="F1014" s="4" t="str">
        <v>727.35K</v>
      </c>
      <c r="G1014" s="4" t="str">
        <v>0.45%</v>
      </c>
      <c r="H1014" s="3">
        <v>43875</v>
      </c>
      <c r="I1014" s="4">
        <v>268.67500000000001</v>
      </c>
      <c r="O1014" s="4">
        <v>522</v>
      </c>
    </row>
    <row r="1015" spans="1:15" x14ac:dyDescent="0.25">
      <c r="A1015" s="3">
        <v>43874</v>
      </c>
      <c r="B1015" s="4">
        <v>268.8</v>
      </c>
      <c r="C1015" s="4">
        <v>270.39999999999998</v>
      </c>
      <c r="D1015" s="4">
        <v>272</v>
      </c>
      <c r="E1015" s="4">
        <v>267</v>
      </c>
      <c r="F1015" s="4" t="str">
        <v>1.12M</v>
      </c>
      <c r="G1015" s="4" t="str">
        <v>-1.10%</v>
      </c>
      <c r="H1015" s="3">
        <v>43874</v>
      </c>
      <c r="I1015" s="4">
        <v>269.5</v>
      </c>
      <c r="O1015" s="4">
        <v>521</v>
      </c>
    </row>
    <row r="1016" spans="1:15" x14ac:dyDescent="0.25">
      <c r="A1016" s="3">
        <v>43873</v>
      </c>
      <c r="B1016" s="4">
        <v>271.8</v>
      </c>
      <c r="C1016" s="4">
        <v>276.05</v>
      </c>
      <c r="D1016" s="4">
        <v>276.10000000000002</v>
      </c>
      <c r="E1016" s="4">
        <v>270.2</v>
      </c>
      <c r="F1016" s="4" t="str">
        <v>948.17K</v>
      </c>
      <c r="G1016" s="4" t="str">
        <v>-1.02%</v>
      </c>
      <c r="H1016" s="3">
        <v>43873</v>
      </c>
      <c r="I1016" s="4">
        <v>273.14999999999998</v>
      </c>
      <c r="O1016" s="4">
        <v>520</v>
      </c>
    </row>
    <row r="1017" spans="1:15" x14ac:dyDescent="0.25">
      <c r="A1017" s="3">
        <v>43872</v>
      </c>
      <c r="B1017" s="4">
        <v>274.60000000000002</v>
      </c>
      <c r="C1017" s="4">
        <v>279</v>
      </c>
      <c r="D1017" s="4">
        <v>279</v>
      </c>
      <c r="E1017" s="4">
        <v>273</v>
      </c>
      <c r="F1017" s="4" t="str">
        <v>1.25M</v>
      </c>
      <c r="G1017" s="4" t="str">
        <v>-1.47%</v>
      </c>
      <c r="H1017" s="3">
        <v>43872</v>
      </c>
      <c r="I1017" s="4">
        <v>276</v>
      </c>
      <c r="O1017" s="4">
        <v>519</v>
      </c>
    </row>
    <row r="1018" spans="1:15" x14ac:dyDescent="0.25">
      <c r="A1018" s="3">
        <v>43871</v>
      </c>
      <c r="B1018" s="4">
        <v>278.7</v>
      </c>
      <c r="C1018" s="4">
        <v>275.5</v>
      </c>
      <c r="D1018" s="4">
        <v>282.89999999999998</v>
      </c>
      <c r="E1018" s="4">
        <v>271.5</v>
      </c>
      <c r="F1018" s="4" t="str">
        <v>1.71M</v>
      </c>
      <c r="G1018" s="4" t="str">
        <v>1.27%</v>
      </c>
      <c r="H1018" s="3">
        <v>43871</v>
      </c>
      <c r="I1018" s="4">
        <v>277.2</v>
      </c>
      <c r="O1018" s="4">
        <v>518</v>
      </c>
    </row>
    <row r="1019" spans="1:15" x14ac:dyDescent="0.25">
      <c r="A1019" s="3">
        <v>43868</v>
      </c>
      <c r="B1019" s="4">
        <v>275.2</v>
      </c>
      <c r="C1019" s="4">
        <v>274</v>
      </c>
      <c r="D1019" s="4">
        <v>279</v>
      </c>
      <c r="E1019" s="4">
        <v>270.55</v>
      </c>
      <c r="F1019" s="4" t="str">
        <v>2.06M</v>
      </c>
      <c r="G1019" s="4" t="str">
        <v>0.77%</v>
      </c>
      <c r="H1019" s="3">
        <v>43868</v>
      </c>
      <c r="I1019" s="4">
        <v>274.77499999999998</v>
      </c>
      <c r="O1019" s="4">
        <v>517</v>
      </c>
    </row>
    <row r="1020" spans="1:15" x14ac:dyDescent="0.25">
      <c r="A1020" s="3">
        <v>43867</v>
      </c>
      <c r="B1020" s="4">
        <v>273.10000000000002</v>
      </c>
      <c r="C1020" s="4">
        <v>274.2</v>
      </c>
      <c r="D1020" s="4">
        <v>288.60000000000002</v>
      </c>
      <c r="E1020" s="4">
        <v>270.39999999999998</v>
      </c>
      <c r="F1020" s="4" t="str">
        <v>8.10M</v>
      </c>
      <c r="G1020" s="4" t="str">
        <v>0.53%</v>
      </c>
      <c r="H1020" s="3">
        <v>43867</v>
      </c>
      <c r="I1020" s="4">
        <v>279.5</v>
      </c>
      <c r="O1020" s="4">
        <v>516</v>
      </c>
    </row>
    <row r="1021" spans="1:15" x14ac:dyDescent="0.25">
      <c r="A1021" s="3">
        <v>43866</v>
      </c>
      <c r="B1021" s="4">
        <v>271.64999999999998</v>
      </c>
      <c r="C1021" s="4">
        <v>266.39999999999998</v>
      </c>
      <c r="D1021" s="4">
        <v>274.5</v>
      </c>
      <c r="E1021" s="4">
        <v>265</v>
      </c>
      <c r="F1021" s="4" t="str">
        <v>2.40M</v>
      </c>
      <c r="G1021" s="4" t="str">
        <v>2.84%</v>
      </c>
      <c r="H1021" s="3">
        <v>43866</v>
      </c>
      <c r="I1021" s="4">
        <v>269.75</v>
      </c>
      <c r="O1021" s="4">
        <v>515</v>
      </c>
    </row>
    <row r="1022" spans="1:15" x14ac:dyDescent="0.25">
      <c r="A1022" s="3">
        <v>43865</v>
      </c>
      <c r="B1022" s="4">
        <v>264.14999999999998</v>
      </c>
      <c r="C1022" s="4">
        <v>260.60000000000002</v>
      </c>
      <c r="D1022" s="4">
        <v>267</v>
      </c>
      <c r="E1022" s="4">
        <v>259</v>
      </c>
      <c r="F1022" s="4" t="str">
        <v>662.76K</v>
      </c>
      <c r="G1022" s="4" t="str">
        <v>1.44%</v>
      </c>
      <c r="H1022" s="3">
        <v>43865</v>
      </c>
      <c r="I1022" s="4">
        <v>263</v>
      </c>
      <c r="O1022" s="4">
        <v>514</v>
      </c>
    </row>
    <row r="1023" spans="1:15" x14ac:dyDescent="0.25">
      <c r="A1023" s="3">
        <v>43864</v>
      </c>
      <c r="B1023" s="4">
        <v>260.39999999999998</v>
      </c>
      <c r="C1023" s="4">
        <v>258.8</v>
      </c>
      <c r="D1023" s="4">
        <v>263.2</v>
      </c>
      <c r="E1023" s="4">
        <v>254.25</v>
      </c>
      <c r="F1023" s="4" t="str">
        <v>1.07M</v>
      </c>
      <c r="G1023" s="4" t="str">
        <v>0.02%</v>
      </c>
      <c r="H1023" s="3">
        <v>43864</v>
      </c>
      <c r="I1023" s="4">
        <v>258.72500000000002</v>
      </c>
      <c r="O1023" s="4">
        <v>513</v>
      </c>
    </row>
    <row r="1024" spans="1:15" x14ac:dyDescent="0.25">
      <c r="A1024" s="3">
        <v>43862</v>
      </c>
      <c r="B1024" s="4">
        <v>260.35000000000002</v>
      </c>
      <c r="C1024" s="4">
        <v>265.89999999999998</v>
      </c>
      <c r="D1024" s="4">
        <v>267.8</v>
      </c>
      <c r="E1024" s="4">
        <v>258.25</v>
      </c>
      <c r="F1024" s="4" t="str">
        <v>526.32K</v>
      </c>
      <c r="G1024" s="4" t="str">
        <v>-1.96%</v>
      </c>
      <c r="H1024" s="3">
        <v>43862</v>
      </c>
      <c r="I1024" s="4">
        <v>263.02499999999998</v>
      </c>
      <c r="O1024" s="4" t="e">
        <v>#N/A</v>
      </c>
    </row>
    <row r="1025" spans="1:15" x14ac:dyDescent="0.25">
      <c r="A1025" s="3">
        <v>43861</v>
      </c>
      <c r="B1025" s="4">
        <v>265.55</v>
      </c>
      <c r="C1025" s="4">
        <v>268.2</v>
      </c>
      <c r="D1025" s="4">
        <v>272</v>
      </c>
      <c r="E1025" s="4">
        <v>263</v>
      </c>
      <c r="F1025" s="4" t="str">
        <v>1.10M</v>
      </c>
      <c r="G1025" s="4" t="str">
        <v>-1.06%</v>
      </c>
      <c r="H1025" s="3">
        <v>43861</v>
      </c>
      <c r="I1025" s="4">
        <v>267.5</v>
      </c>
      <c r="O1025" s="4">
        <v>512</v>
      </c>
    </row>
    <row r="1026" spans="1:15" x14ac:dyDescent="0.25">
      <c r="A1026" s="3">
        <v>43860</v>
      </c>
      <c r="B1026" s="4">
        <v>268.39999999999998</v>
      </c>
      <c r="C1026" s="4">
        <v>274</v>
      </c>
      <c r="D1026" s="4">
        <v>274.5</v>
      </c>
      <c r="E1026" s="4">
        <v>266.39999999999998</v>
      </c>
      <c r="F1026" s="4" t="str">
        <v>1.60M</v>
      </c>
      <c r="G1026" s="4" t="str">
        <v>-1.86%</v>
      </c>
      <c r="H1026" s="3">
        <v>43860</v>
      </c>
      <c r="I1026" s="4">
        <v>270.45</v>
      </c>
      <c r="O1026" s="4">
        <v>511</v>
      </c>
    </row>
    <row r="1027" spans="1:15" x14ac:dyDescent="0.25">
      <c r="A1027" s="3">
        <v>43859</v>
      </c>
      <c r="B1027" s="4">
        <v>273.5</v>
      </c>
      <c r="C1027" s="4">
        <v>273</v>
      </c>
      <c r="D1027" s="4">
        <v>275.85000000000002</v>
      </c>
      <c r="E1027" s="4">
        <v>271</v>
      </c>
      <c r="F1027" s="4" t="str">
        <v>1.30M</v>
      </c>
      <c r="G1027" s="4" t="str">
        <v>0.40%</v>
      </c>
      <c r="H1027" s="3">
        <v>43859</v>
      </c>
      <c r="I1027" s="4">
        <v>273.42500000000001</v>
      </c>
      <c r="O1027" s="4">
        <v>510</v>
      </c>
    </row>
    <row r="1028" spans="1:15" x14ac:dyDescent="0.25">
      <c r="A1028" s="3">
        <v>43858</v>
      </c>
      <c r="B1028" s="4">
        <v>272.39999999999998</v>
      </c>
      <c r="C1028" s="4">
        <v>274.75</v>
      </c>
      <c r="D1028" s="4">
        <v>279</v>
      </c>
      <c r="E1028" s="4">
        <v>271.3</v>
      </c>
      <c r="F1028" s="4" t="str">
        <v>2.62M</v>
      </c>
      <c r="G1028" s="4" t="str">
        <v>-0.35%</v>
      </c>
      <c r="H1028" s="3">
        <v>43858</v>
      </c>
      <c r="I1028" s="4">
        <v>275.14999999999998</v>
      </c>
      <c r="O1028" s="4">
        <v>509</v>
      </c>
    </row>
    <row r="1029" spans="1:15" x14ac:dyDescent="0.25">
      <c r="A1029" s="3">
        <v>43857</v>
      </c>
      <c r="B1029" s="4">
        <v>273.35000000000002</v>
      </c>
      <c r="C1029" s="4">
        <v>270.10000000000002</v>
      </c>
      <c r="D1029" s="4">
        <v>275.60000000000002</v>
      </c>
      <c r="E1029" s="4">
        <v>269.2</v>
      </c>
      <c r="F1029" s="4" t="str">
        <v>2.91M</v>
      </c>
      <c r="G1029" s="4" t="str">
        <v>0.44%</v>
      </c>
      <c r="H1029" s="3">
        <v>43857</v>
      </c>
      <c r="I1029" s="4">
        <v>272.39999999999998</v>
      </c>
      <c r="O1029" s="4">
        <v>508</v>
      </c>
    </row>
    <row r="1030" spans="1:15" x14ac:dyDescent="0.25">
      <c r="A1030" s="3">
        <v>43854</v>
      </c>
      <c r="B1030" s="4">
        <v>272.14999999999998</v>
      </c>
      <c r="C1030" s="4">
        <v>269.5</v>
      </c>
      <c r="D1030" s="4">
        <v>274.2</v>
      </c>
      <c r="E1030" s="4">
        <v>269.5</v>
      </c>
      <c r="F1030" s="4" t="str">
        <v>1.40M</v>
      </c>
      <c r="G1030" s="4" t="str">
        <v>1.00%</v>
      </c>
      <c r="H1030" s="3">
        <v>43854</v>
      </c>
      <c r="I1030" s="4">
        <v>271.85000000000002</v>
      </c>
      <c r="O1030" s="4">
        <v>507</v>
      </c>
    </row>
    <row r="1031" spans="1:15" x14ac:dyDescent="0.25">
      <c r="A1031" s="3">
        <v>43853</v>
      </c>
      <c r="B1031" s="4">
        <v>269.45</v>
      </c>
      <c r="C1031" s="4">
        <v>269.2</v>
      </c>
      <c r="D1031" s="4">
        <v>272</v>
      </c>
      <c r="E1031" s="4">
        <v>268.60000000000002</v>
      </c>
      <c r="F1031" s="4" t="str">
        <v>1.20M</v>
      </c>
      <c r="G1031" s="4" t="str">
        <v>0.09%</v>
      </c>
      <c r="H1031" s="3">
        <v>43853</v>
      </c>
      <c r="I1031" s="4">
        <v>270.3</v>
      </c>
      <c r="O1031" s="4">
        <v>506</v>
      </c>
    </row>
    <row r="1032" spans="1:15" x14ac:dyDescent="0.25">
      <c r="A1032" s="3">
        <v>43852</v>
      </c>
      <c r="B1032" s="4">
        <v>269.2</v>
      </c>
      <c r="C1032" s="4">
        <v>268.5</v>
      </c>
      <c r="D1032" s="4">
        <v>276.5</v>
      </c>
      <c r="E1032" s="4">
        <v>267.75</v>
      </c>
      <c r="F1032" s="4" t="str">
        <v>4.55M</v>
      </c>
      <c r="G1032" s="4" t="str">
        <v>0.32%</v>
      </c>
      <c r="H1032" s="3">
        <v>43852</v>
      </c>
      <c r="I1032" s="4">
        <v>272.125</v>
      </c>
      <c r="O1032" s="4">
        <v>505</v>
      </c>
    </row>
    <row r="1033" spans="1:15" x14ac:dyDescent="0.25">
      <c r="A1033" s="3">
        <v>43851</v>
      </c>
      <c r="B1033" s="4">
        <v>268.35000000000002</v>
      </c>
      <c r="C1033" s="4">
        <v>266</v>
      </c>
      <c r="D1033" s="4">
        <v>270.5</v>
      </c>
      <c r="E1033" s="4">
        <v>266</v>
      </c>
      <c r="F1033" s="4" t="str">
        <v>975.83K</v>
      </c>
      <c r="G1033" s="4" t="str">
        <v>0.52%</v>
      </c>
      <c r="H1033" s="3">
        <v>43851</v>
      </c>
      <c r="I1033" s="4">
        <v>268.25</v>
      </c>
      <c r="O1033" s="4">
        <v>504</v>
      </c>
    </row>
    <row r="1034" spans="1:15" x14ac:dyDescent="0.25">
      <c r="A1034" s="3">
        <v>43850</v>
      </c>
      <c r="B1034" s="4">
        <v>266.95</v>
      </c>
      <c r="C1034" s="4">
        <v>269.10000000000002</v>
      </c>
      <c r="D1034" s="4">
        <v>272.85000000000002</v>
      </c>
      <c r="E1034" s="4">
        <v>264.60000000000002</v>
      </c>
      <c r="F1034" s="4" t="str">
        <v>1.45M</v>
      </c>
      <c r="G1034" s="4" t="str">
        <v>-0.82%</v>
      </c>
      <c r="H1034" s="3">
        <v>43850</v>
      </c>
      <c r="I1034" s="4">
        <v>268.72500000000002</v>
      </c>
      <c r="O1034" s="4">
        <v>503</v>
      </c>
    </row>
    <row r="1035" spans="1:15" x14ac:dyDescent="0.25">
      <c r="A1035" s="3">
        <v>43847</v>
      </c>
      <c r="B1035" s="4">
        <v>269.14999999999998</v>
      </c>
      <c r="C1035" s="4">
        <v>271.89999999999998</v>
      </c>
      <c r="D1035" s="4">
        <v>272.8</v>
      </c>
      <c r="E1035" s="4">
        <v>266.7</v>
      </c>
      <c r="F1035" s="4" t="str">
        <v>3.41M</v>
      </c>
      <c r="G1035" s="4" t="str">
        <v>-0.39%</v>
      </c>
      <c r="H1035" s="3">
        <v>43847</v>
      </c>
      <c r="I1035" s="4">
        <v>269.75</v>
      </c>
      <c r="O1035" s="4">
        <v>502</v>
      </c>
    </row>
    <row r="1036" spans="1:15" x14ac:dyDescent="0.25">
      <c r="A1036" s="3">
        <v>43846</v>
      </c>
      <c r="B1036" s="4">
        <v>270.2</v>
      </c>
      <c r="C1036" s="4">
        <v>262.8</v>
      </c>
      <c r="D1036" s="4">
        <v>271.7</v>
      </c>
      <c r="E1036" s="4">
        <v>262.10000000000002</v>
      </c>
      <c r="F1036" s="4" t="str">
        <v>2.75M</v>
      </c>
      <c r="G1036" s="4" t="str">
        <v>2.84%</v>
      </c>
      <c r="H1036" s="3">
        <v>43846</v>
      </c>
      <c r="I1036" s="4">
        <v>266.89999999999998</v>
      </c>
      <c r="O1036" s="4">
        <v>501</v>
      </c>
    </row>
    <row r="1037" spans="1:15" x14ac:dyDescent="0.25">
      <c r="A1037" s="3">
        <v>43845</v>
      </c>
      <c r="B1037" s="4">
        <v>262.75</v>
      </c>
      <c r="C1037" s="4">
        <v>257.05</v>
      </c>
      <c r="D1037" s="4">
        <v>263.85000000000002</v>
      </c>
      <c r="E1037" s="4">
        <v>255.8</v>
      </c>
      <c r="F1037" s="4" t="str">
        <v>909.69K</v>
      </c>
      <c r="G1037" s="4" t="str">
        <v>2.22%</v>
      </c>
      <c r="H1037" s="3">
        <v>43845</v>
      </c>
      <c r="I1037" s="4">
        <v>259.82500000000005</v>
      </c>
      <c r="O1037" s="4">
        <v>500</v>
      </c>
    </row>
    <row r="1038" spans="1:15" x14ac:dyDescent="0.25">
      <c r="A1038" s="3">
        <v>43844</v>
      </c>
      <c r="B1038" s="4">
        <v>257.05</v>
      </c>
      <c r="C1038" s="4">
        <v>256.55</v>
      </c>
      <c r="D1038" s="4">
        <v>258.5</v>
      </c>
      <c r="E1038" s="4">
        <v>255</v>
      </c>
      <c r="F1038" s="4" t="str">
        <v>568.91K</v>
      </c>
      <c r="G1038" s="4" t="str">
        <v>0.19%</v>
      </c>
      <c r="H1038" s="3">
        <v>43844</v>
      </c>
      <c r="I1038" s="4">
        <v>256.75</v>
      </c>
      <c r="O1038" s="4">
        <v>499</v>
      </c>
    </row>
    <row r="1039" spans="1:15" x14ac:dyDescent="0.25">
      <c r="A1039" s="3">
        <v>43843</v>
      </c>
      <c r="B1039" s="4">
        <v>256.55</v>
      </c>
      <c r="C1039" s="4">
        <v>258</v>
      </c>
      <c r="D1039" s="4">
        <v>259.5</v>
      </c>
      <c r="E1039" s="4">
        <v>255.8</v>
      </c>
      <c r="F1039" s="4" t="str">
        <v>1.05M</v>
      </c>
      <c r="G1039" s="4" t="str">
        <v>-0.62%</v>
      </c>
      <c r="H1039" s="3">
        <v>43843</v>
      </c>
      <c r="I1039" s="4">
        <v>257.64999999999998</v>
      </c>
      <c r="O1039" s="4">
        <v>498</v>
      </c>
    </row>
    <row r="1040" spans="1:15" x14ac:dyDescent="0.25">
      <c r="A1040" s="3">
        <v>43840</v>
      </c>
      <c r="B1040" s="4">
        <v>258.14999999999998</v>
      </c>
      <c r="C1040" s="4">
        <v>258.89999999999998</v>
      </c>
      <c r="D1040" s="4">
        <v>264.3</v>
      </c>
      <c r="E1040" s="4">
        <v>257.25</v>
      </c>
      <c r="F1040" s="4" t="str">
        <v>871.27K</v>
      </c>
      <c r="G1040" s="4" t="str">
        <v>-0.12%</v>
      </c>
      <c r="H1040" s="3">
        <v>43840</v>
      </c>
      <c r="I1040" s="4">
        <v>260.77499999999998</v>
      </c>
      <c r="O1040" s="4">
        <v>497</v>
      </c>
    </row>
    <row r="1041" spans="1:15" x14ac:dyDescent="0.25">
      <c r="A1041" s="3">
        <v>43839</v>
      </c>
      <c r="B1041" s="4">
        <v>258.45</v>
      </c>
      <c r="C1041" s="4">
        <v>260</v>
      </c>
      <c r="D1041" s="4">
        <v>262.25</v>
      </c>
      <c r="E1041" s="4">
        <v>257</v>
      </c>
      <c r="F1041" s="4" t="str">
        <v>608.73K</v>
      </c>
      <c r="G1041" s="4" t="str">
        <v>0.00%</v>
      </c>
      <c r="H1041" s="3">
        <v>43839</v>
      </c>
      <c r="I1041" s="4">
        <v>259.625</v>
      </c>
      <c r="O1041" s="4">
        <v>496</v>
      </c>
    </row>
    <row r="1042" spans="1:15" x14ac:dyDescent="0.25">
      <c r="A1042" s="3">
        <v>43838</v>
      </c>
      <c r="B1042" s="4">
        <v>258.45</v>
      </c>
      <c r="C1042" s="4">
        <v>256.60000000000002</v>
      </c>
      <c r="D1042" s="4">
        <v>259.60000000000002</v>
      </c>
      <c r="E1042" s="4">
        <v>253.05</v>
      </c>
      <c r="F1042" s="4" t="str">
        <v>874.46K</v>
      </c>
      <c r="G1042" s="4" t="str">
        <v>0.54%</v>
      </c>
      <c r="H1042" s="3">
        <v>43838</v>
      </c>
      <c r="I1042" s="4">
        <v>256.32500000000005</v>
      </c>
      <c r="O1042" s="4">
        <v>495</v>
      </c>
    </row>
    <row r="1043" spans="1:15" x14ac:dyDescent="0.25">
      <c r="A1043" s="3">
        <v>43837</v>
      </c>
      <c r="B1043" s="4">
        <v>257.05</v>
      </c>
      <c r="C1043" s="4">
        <v>256.3</v>
      </c>
      <c r="D1043" s="4">
        <v>260</v>
      </c>
      <c r="E1043" s="4">
        <v>253.05</v>
      </c>
      <c r="F1043" s="4" t="str">
        <v>606.48K</v>
      </c>
      <c r="G1043" s="4" t="str">
        <v>0.80%</v>
      </c>
      <c r="H1043" s="3">
        <v>43837</v>
      </c>
      <c r="I1043" s="4">
        <v>256.52499999999998</v>
      </c>
      <c r="O1043" s="4">
        <v>494</v>
      </c>
    </row>
    <row r="1044" spans="1:15" x14ac:dyDescent="0.25">
      <c r="A1044" s="3">
        <v>43836</v>
      </c>
      <c r="B1044" s="4">
        <v>255</v>
      </c>
      <c r="C1044" s="4">
        <v>259.5</v>
      </c>
      <c r="D1044" s="4">
        <v>259.95</v>
      </c>
      <c r="E1044" s="4">
        <v>253.9</v>
      </c>
      <c r="F1044" s="4" t="str">
        <v>966.86K</v>
      </c>
      <c r="G1044" s="4" t="str">
        <v>-1.92%</v>
      </c>
      <c r="H1044" s="3">
        <v>43836</v>
      </c>
      <c r="I1044" s="4">
        <v>256.92500000000001</v>
      </c>
      <c r="O1044" s="4">
        <v>493</v>
      </c>
    </row>
    <row r="1045" spans="1:15" x14ac:dyDescent="0.25">
      <c r="A1045" s="3">
        <v>43833</v>
      </c>
      <c r="B1045" s="4">
        <v>260</v>
      </c>
      <c r="C1045" s="4">
        <v>257</v>
      </c>
      <c r="D1045" s="4">
        <v>264</v>
      </c>
      <c r="E1045" s="4">
        <v>255.95</v>
      </c>
      <c r="F1045" s="4" t="str">
        <v>1.48M</v>
      </c>
      <c r="G1045" s="4" t="str">
        <v>1.42%</v>
      </c>
      <c r="H1045" s="3">
        <v>43833</v>
      </c>
      <c r="I1045" s="4">
        <v>259.97500000000002</v>
      </c>
      <c r="O1045" s="4">
        <v>492</v>
      </c>
    </row>
    <row r="1046" spans="1:15" x14ac:dyDescent="0.25">
      <c r="A1046" s="3">
        <v>43832</v>
      </c>
      <c r="B1046" s="4">
        <v>256.35000000000002</v>
      </c>
      <c r="C1046" s="4">
        <v>255.4</v>
      </c>
      <c r="D1046" s="4">
        <v>257.5</v>
      </c>
      <c r="E1046" s="4">
        <v>253.55</v>
      </c>
      <c r="F1046" s="4" t="str">
        <v>540.66K</v>
      </c>
      <c r="G1046" s="4" t="str">
        <v>0.83%</v>
      </c>
      <c r="H1046" s="3">
        <v>43832</v>
      </c>
      <c r="I1046" s="4">
        <v>255.52500000000001</v>
      </c>
      <c r="O1046" s="4">
        <v>491</v>
      </c>
    </row>
    <row r="1047" spans="1:15" x14ac:dyDescent="0.25">
      <c r="A1047" s="3">
        <v>43831</v>
      </c>
      <c r="B1047" s="4">
        <v>254.25</v>
      </c>
      <c r="C1047" s="4">
        <v>254.95</v>
      </c>
      <c r="D1047" s="4">
        <v>256.64999999999998</v>
      </c>
      <c r="E1047" s="4">
        <v>253.1</v>
      </c>
      <c r="F1047" s="4" t="str">
        <v>437.88K</v>
      </c>
      <c r="G1047" s="4" t="str">
        <v>-0.02%</v>
      </c>
      <c r="H1047" s="3">
        <v>43831</v>
      </c>
      <c r="I1047" s="4">
        <v>254.875</v>
      </c>
      <c r="O1047" s="4">
        <v>490</v>
      </c>
    </row>
    <row r="1048" spans="1:15" x14ac:dyDescent="0.25">
      <c r="A1048" s="3">
        <v>43830</v>
      </c>
      <c r="B1048" s="4">
        <v>254.3</v>
      </c>
      <c r="C1048" s="4">
        <v>256</v>
      </c>
      <c r="D1048" s="4">
        <v>258</v>
      </c>
      <c r="E1048" s="4">
        <v>253.5</v>
      </c>
      <c r="F1048" s="4" t="str">
        <v>462.75K</v>
      </c>
      <c r="G1048" s="4" t="str">
        <v>-0.41%</v>
      </c>
      <c r="H1048" s="3">
        <v>43830</v>
      </c>
      <c r="I1048" s="4">
        <v>255.75</v>
      </c>
      <c r="O1048" s="4">
        <v>489</v>
      </c>
    </row>
    <row r="1049" spans="1:15" x14ac:dyDescent="0.25">
      <c r="A1049" s="3">
        <v>43829</v>
      </c>
      <c r="B1049" s="4">
        <v>255.35</v>
      </c>
      <c r="C1049" s="4">
        <v>255.7</v>
      </c>
      <c r="D1049" s="4">
        <v>256.35000000000002</v>
      </c>
      <c r="E1049" s="4">
        <v>252.25</v>
      </c>
      <c r="F1049" s="4" t="str">
        <v>988.27K</v>
      </c>
      <c r="G1049" s="4" t="str">
        <v>-0.18%</v>
      </c>
      <c r="H1049" s="3">
        <v>43829</v>
      </c>
      <c r="I1049" s="4">
        <v>254.3</v>
      </c>
      <c r="O1049" s="4">
        <v>488</v>
      </c>
    </row>
    <row r="1050" spans="1:15" x14ac:dyDescent="0.25">
      <c r="A1050" s="3">
        <v>43826</v>
      </c>
      <c r="B1050" s="4">
        <v>255.8</v>
      </c>
      <c r="C1050" s="4">
        <v>259.10000000000002</v>
      </c>
      <c r="D1050" s="4">
        <v>261.39999999999998</v>
      </c>
      <c r="E1050" s="4">
        <v>255.15</v>
      </c>
      <c r="F1050" s="4" t="str">
        <v>1.25M</v>
      </c>
      <c r="G1050" s="4" t="str">
        <v>-0.52%</v>
      </c>
      <c r="H1050" s="3">
        <v>43826</v>
      </c>
      <c r="I1050" s="4">
        <v>258.27499999999998</v>
      </c>
      <c r="O1050" s="4">
        <v>487</v>
      </c>
    </row>
    <row r="1051" spans="1:15" x14ac:dyDescent="0.25">
      <c r="A1051" s="3">
        <v>43825</v>
      </c>
      <c r="B1051" s="4">
        <v>257.14999999999998</v>
      </c>
      <c r="C1051" s="4">
        <v>259.35000000000002</v>
      </c>
      <c r="D1051" s="4">
        <v>260.60000000000002</v>
      </c>
      <c r="E1051" s="4">
        <v>256.3</v>
      </c>
      <c r="F1051" s="4" t="str">
        <v>828.45K</v>
      </c>
      <c r="G1051" s="4" t="str">
        <v>-0.50%</v>
      </c>
      <c r="H1051" s="3">
        <v>43825</v>
      </c>
      <c r="I1051" s="4">
        <v>258.45000000000005</v>
      </c>
      <c r="O1051" s="4">
        <v>486</v>
      </c>
    </row>
    <row r="1052" spans="1:15" x14ac:dyDescent="0.25">
      <c r="A1052" s="3">
        <v>43823</v>
      </c>
      <c r="B1052" s="4">
        <v>258.45</v>
      </c>
      <c r="C1052" s="4">
        <v>262</v>
      </c>
      <c r="D1052" s="4">
        <v>262.7</v>
      </c>
      <c r="E1052" s="4">
        <v>257.7</v>
      </c>
      <c r="F1052" s="4" t="str">
        <v>975.05K</v>
      </c>
      <c r="G1052" s="4" t="str">
        <v>-1.30%</v>
      </c>
      <c r="H1052" s="3">
        <v>43823</v>
      </c>
      <c r="I1052" s="4">
        <v>260.2</v>
      </c>
      <c r="O1052" s="4">
        <v>485</v>
      </c>
    </row>
    <row r="1053" spans="1:15" x14ac:dyDescent="0.25">
      <c r="A1053" s="3">
        <v>43822</v>
      </c>
      <c r="B1053" s="4">
        <v>261.85000000000002</v>
      </c>
      <c r="C1053" s="4">
        <v>268.8</v>
      </c>
      <c r="D1053" s="4">
        <v>271</v>
      </c>
      <c r="E1053" s="4">
        <v>260.60000000000002</v>
      </c>
      <c r="F1053" s="4" t="str">
        <v>2.77M</v>
      </c>
      <c r="G1053" s="4" t="str">
        <v>-1.62%</v>
      </c>
      <c r="H1053" s="3">
        <v>43822</v>
      </c>
      <c r="I1053" s="4">
        <v>265.8</v>
      </c>
      <c r="O1053" s="4">
        <v>484</v>
      </c>
    </row>
    <row r="1054" spans="1:15" x14ac:dyDescent="0.25">
      <c r="A1054" s="3">
        <v>43819</v>
      </c>
      <c r="B1054" s="4">
        <v>266.14999999999998</v>
      </c>
      <c r="C1054" s="4">
        <v>261.7</v>
      </c>
      <c r="D1054" s="4">
        <v>268.2</v>
      </c>
      <c r="E1054" s="4">
        <v>260</v>
      </c>
      <c r="F1054" s="4" t="str">
        <v>2.19M</v>
      </c>
      <c r="G1054" s="4" t="str">
        <v>1.70%</v>
      </c>
      <c r="H1054" s="3">
        <v>43819</v>
      </c>
      <c r="I1054" s="4">
        <v>264.10000000000002</v>
      </c>
      <c r="O1054" s="4">
        <v>483</v>
      </c>
    </row>
    <row r="1055" spans="1:15" x14ac:dyDescent="0.25">
      <c r="A1055" s="3">
        <v>43818</v>
      </c>
      <c r="B1055" s="4">
        <v>261.7</v>
      </c>
      <c r="C1055" s="4">
        <v>259</v>
      </c>
      <c r="D1055" s="4">
        <v>263.35000000000002</v>
      </c>
      <c r="E1055" s="4">
        <v>258.64999999999998</v>
      </c>
      <c r="F1055" s="4" t="str">
        <v>629.44K</v>
      </c>
      <c r="G1055" s="4" t="str">
        <v>1.08%</v>
      </c>
      <c r="H1055" s="3">
        <v>43818</v>
      </c>
      <c r="I1055" s="4">
        <v>261</v>
      </c>
      <c r="O1055" s="4">
        <v>482</v>
      </c>
    </row>
    <row r="1056" spans="1:15" x14ac:dyDescent="0.25">
      <c r="A1056" s="3">
        <v>43817</v>
      </c>
      <c r="B1056" s="4">
        <v>258.89999999999998</v>
      </c>
      <c r="C1056" s="4">
        <v>260</v>
      </c>
      <c r="D1056" s="4">
        <v>261.35000000000002</v>
      </c>
      <c r="E1056" s="4">
        <v>257.3</v>
      </c>
      <c r="F1056" s="4" t="str">
        <v>747.29K</v>
      </c>
      <c r="G1056" s="4" t="str">
        <v>-0.17%</v>
      </c>
      <c r="H1056" s="3">
        <v>43817</v>
      </c>
      <c r="I1056" s="4">
        <v>259.32500000000005</v>
      </c>
      <c r="O1056" s="4">
        <v>481</v>
      </c>
    </row>
    <row r="1057" spans="1:15" x14ac:dyDescent="0.25">
      <c r="A1057" s="3">
        <v>43816</v>
      </c>
      <c r="B1057" s="4">
        <v>259.35000000000002</v>
      </c>
      <c r="C1057" s="4">
        <v>261.5</v>
      </c>
      <c r="D1057" s="4">
        <v>262.5</v>
      </c>
      <c r="E1057" s="4">
        <v>258.14999999999998</v>
      </c>
      <c r="F1057" s="4" t="str">
        <v>731.43K</v>
      </c>
      <c r="G1057" s="4" t="str">
        <v>-0.78%</v>
      </c>
      <c r="H1057" s="3">
        <v>43816</v>
      </c>
      <c r="I1057" s="4">
        <v>260.32499999999999</v>
      </c>
      <c r="O1057" s="4">
        <v>480</v>
      </c>
    </row>
    <row r="1058" spans="1:15" x14ac:dyDescent="0.25">
      <c r="A1058" s="3">
        <v>43815</v>
      </c>
      <c r="B1058" s="4">
        <v>261.39999999999998</v>
      </c>
      <c r="C1058" s="4">
        <v>261.05</v>
      </c>
      <c r="D1058" s="4">
        <v>265.60000000000002</v>
      </c>
      <c r="E1058" s="4">
        <v>260.25</v>
      </c>
      <c r="F1058" s="4" t="str">
        <v>1.27M</v>
      </c>
      <c r="G1058" s="4" t="str">
        <v>0.15%</v>
      </c>
      <c r="H1058" s="3">
        <v>43815</v>
      </c>
      <c r="I1058" s="4">
        <v>262.92500000000001</v>
      </c>
      <c r="O1058" s="4">
        <v>479</v>
      </c>
    </row>
    <row r="1059" spans="1:15" x14ac:dyDescent="0.25">
      <c r="A1059" s="3">
        <v>43812</v>
      </c>
      <c r="B1059" s="4">
        <v>261</v>
      </c>
      <c r="C1059" s="4">
        <v>264</v>
      </c>
      <c r="D1059" s="4">
        <v>264</v>
      </c>
      <c r="E1059" s="4">
        <v>259</v>
      </c>
      <c r="F1059" s="4" t="str">
        <v>863.94K</v>
      </c>
      <c r="G1059" s="4" t="str">
        <v>-1.14%</v>
      </c>
      <c r="H1059" s="3">
        <v>43812</v>
      </c>
      <c r="I1059" s="4">
        <v>261.5</v>
      </c>
      <c r="O1059" s="4">
        <v>478</v>
      </c>
    </row>
    <row r="1060" spans="1:15" x14ac:dyDescent="0.25">
      <c r="A1060" s="3">
        <v>43811</v>
      </c>
      <c r="B1060" s="4">
        <v>264</v>
      </c>
      <c r="C1060" s="4">
        <v>263.7</v>
      </c>
      <c r="D1060" s="4">
        <v>267.5</v>
      </c>
      <c r="E1060" s="4">
        <v>262.55</v>
      </c>
      <c r="F1060" s="4" t="str">
        <v>2.11M</v>
      </c>
      <c r="G1060" s="4" t="str">
        <v>0.61%</v>
      </c>
      <c r="H1060" s="3">
        <v>43811</v>
      </c>
      <c r="I1060" s="4">
        <v>265.02499999999998</v>
      </c>
      <c r="O1060" s="4">
        <v>477</v>
      </c>
    </row>
    <row r="1061" spans="1:15" x14ac:dyDescent="0.25">
      <c r="A1061" s="3">
        <v>43810</v>
      </c>
      <c r="B1061" s="4">
        <v>262.39999999999998</v>
      </c>
      <c r="C1061" s="4">
        <v>260.89999999999998</v>
      </c>
      <c r="D1061" s="4">
        <v>265</v>
      </c>
      <c r="E1061" s="4">
        <v>257.8</v>
      </c>
      <c r="F1061" s="4" t="str">
        <v>3.26M</v>
      </c>
      <c r="G1061" s="4" t="str">
        <v>0.56%</v>
      </c>
      <c r="H1061" s="3">
        <v>43810</v>
      </c>
      <c r="I1061" s="4">
        <v>261.39999999999998</v>
      </c>
      <c r="O1061" s="4">
        <v>476</v>
      </c>
    </row>
    <row r="1062" spans="1:15" x14ac:dyDescent="0.25">
      <c r="A1062" s="3">
        <v>43809</v>
      </c>
      <c r="B1062" s="4">
        <v>260.95</v>
      </c>
      <c r="C1062" s="4">
        <v>259.45</v>
      </c>
      <c r="D1062" s="4">
        <v>262.14999999999998</v>
      </c>
      <c r="E1062" s="4">
        <v>256.2</v>
      </c>
      <c r="F1062" s="4" t="str">
        <v>2.66M</v>
      </c>
      <c r="G1062" s="4" t="str">
        <v>0.58%</v>
      </c>
      <c r="H1062" s="3">
        <v>43809</v>
      </c>
      <c r="I1062" s="4">
        <v>259.17499999999995</v>
      </c>
      <c r="O1062" s="4">
        <v>475</v>
      </c>
    </row>
    <row r="1063" spans="1:15" x14ac:dyDescent="0.25">
      <c r="A1063" s="3">
        <v>43808</v>
      </c>
      <c r="B1063" s="4">
        <v>259.45</v>
      </c>
      <c r="C1063" s="4">
        <v>255.6</v>
      </c>
      <c r="D1063" s="4">
        <v>260.25</v>
      </c>
      <c r="E1063" s="4">
        <v>253.55</v>
      </c>
      <c r="F1063" s="4" t="str">
        <v>892.75K</v>
      </c>
      <c r="G1063" s="4" t="str">
        <v>1.63%</v>
      </c>
      <c r="H1063" s="3">
        <v>43808</v>
      </c>
      <c r="I1063" s="4">
        <v>256.89999999999998</v>
      </c>
      <c r="O1063" s="4">
        <v>474</v>
      </c>
    </row>
    <row r="1064" spans="1:15" x14ac:dyDescent="0.25">
      <c r="A1064" s="3">
        <v>43805</v>
      </c>
      <c r="B1064" s="4">
        <v>255.3</v>
      </c>
      <c r="C1064" s="4">
        <v>258</v>
      </c>
      <c r="D1064" s="4">
        <v>260.95</v>
      </c>
      <c r="E1064" s="4">
        <v>253</v>
      </c>
      <c r="F1064" s="4" t="str">
        <v>1.25M</v>
      </c>
      <c r="G1064" s="4" t="str">
        <v>-0.91%</v>
      </c>
      <c r="H1064" s="3">
        <v>43805</v>
      </c>
      <c r="I1064" s="4">
        <v>256.97500000000002</v>
      </c>
      <c r="O1064" s="4">
        <v>473</v>
      </c>
    </row>
    <row r="1065" spans="1:15" x14ac:dyDescent="0.25">
      <c r="A1065" s="3">
        <v>43804</v>
      </c>
      <c r="B1065" s="4">
        <v>257.64999999999998</v>
      </c>
      <c r="C1065" s="4">
        <v>263.7</v>
      </c>
      <c r="D1065" s="4">
        <v>264.60000000000002</v>
      </c>
      <c r="E1065" s="4">
        <v>256.2</v>
      </c>
      <c r="F1065" s="4" t="str">
        <v>893.27K</v>
      </c>
      <c r="G1065" s="4" t="str">
        <v>-2.20%</v>
      </c>
      <c r="H1065" s="3">
        <v>43804</v>
      </c>
      <c r="I1065" s="4">
        <v>260.39999999999998</v>
      </c>
      <c r="O1065" s="4">
        <v>472</v>
      </c>
    </row>
    <row r="1066" spans="1:15" x14ac:dyDescent="0.25">
      <c r="A1066" s="3">
        <v>43803</v>
      </c>
      <c r="B1066" s="4">
        <v>263.45</v>
      </c>
      <c r="C1066" s="4">
        <v>260.05</v>
      </c>
      <c r="D1066" s="4">
        <v>264.10000000000002</v>
      </c>
      <c r="E1066" s="4">
        <v>258.39999999999998</v>
      </c>
      <c r="F1066" s="4" t="str">
        <v>3.37M</v>
      </c>
      <c r="G1066" s="4" t="str">
        <v>1.23%</v>
      </c>
      <c r="H1066" s="3">
        <v>43803</v>
      </c>
      <c r="I1066" s="4">
        <v>261.25</v>
      </c>
      <c r="O1066" s="4">
        <v>471</v>
      </c>
    </row>
    <row r="1067" spans="1:15" x14ac:dyDescent="0.25">
      <c r="A1067" s="3">
        <v>43802</v>
      </c>
      <c r="B1067" s="4">
        <v>260.25</v>
      </c>
      <c r="C1067" s="4">
        <v>256.85000000000002</v>
      </c>
      <c r="D1067" s="4">
        <v>262.3</v>
      </c>
      <c r="E1067" s="4">
        <v>254.4</v>
      </c>
      <c r="F1067" s="4" t="str">
        <v>4.70M</v>
      </c>
      <c r="G1067" s="4" t="str">
        <v>0.79%</v>
      </c>
      <c r="H1067" s="3">
        <v>43802</v>
      </c>
      <c r="I1067" s="4">
        <v>258.35000000000002</v>
      </c>
      <c r="O1067" s="4">
        <v>470</v>
      </c>
    </row>
    <row r="1068" spans="1:15" x14ac:dyDescent="0.25">
      <c r="A1068" s="3">
        <v>43801</v>
      </c>
      <c r="B1068" s="4">
        <v>258.2</v>
      </c>
      <c r="C1068" s="4">
        <v>254</v>
      </c>
      <c r="D1068" s="4">
        <v>259.25</v>
      </c>
      <c r="E1068" s="4">
        <v>251.75</v>
      </c>
      <c r="F1068" s="4" t="str">
        <v>2.79M</v>
      </c>
      <c r="G1068" s="4" t="str">
        <v>1.59%</v>
      </c>
      <c r="H1068" s="3">
        <v>43801</v>
      </c>
      <c r="I1068" s="4">
        <v>255.5</v>
      </c>
      <c r="O1068" s="4">
        <v>469</v>
      </c>
    </row>
    <row r="1069" spans="1:15" x14ac:dyDescent="0.25">
      <c r="A1069" s="3">
        <v>43798</v>
      </c>
      <c r="B1069" s="4">
        <v>254.15</v>
      </c>
      <c r="C1069" s="4">
        <v>259.05</v>
      </c>
      <c r="D1069" s="4">
        <v>265.60000000000002</v>
      </c>
      <c r="E1069" s="4">
        <v>252.05</v>
      </c>
      <c r="F1069" s="4" t="str">
        <v>2.75M</v>
      </c>
      <c r="G1069" s="4" t="str">
        <v>-1.80%</v>
      </c>
      <c r="H1069" s="3">
        <v>43798</v>
      </c>
      <c r="I1069" s="4">
        <v>258.82500000000005</v>
      </c>
      <c r="O1069" s="4">
        <v>468</v>
      </c>
    </row>
    <row r="1070" spans="1:15" x14ac:dyDescent="0.25">
      <c r="A1070" s="3">
        <v>43797</v>
      </c>
      <c r="B1070" s="4">
        <v>258.8</v>
      </c>
      <c r="C1070" s="4">
        <v>254.95</v>
      </c>
      <c r="D1070" s="4">
        <v>259.89999999999998</v>
      </c>
      <c r="E1070" s="4">
        <v>253.6</v>
      </c>
      <c r="F1070" s="4" t="str">
        <v>1.53M</v>
      </c>
      <c r="G1070" s="4" t="str">
        <v>1.51%</v>
      </c>
      <c r="H1070" s="3">
        <v>43797</v>
      </c>
      <c r="I1070" s="4">
        <v>256.75</v>
      </c>
      <c r="O1070" s="4">
        <v>467</v>
      </c>
    </row>
    <row r="1071" spans="1:15" x14ac:dyDescent="0.25">
      <c r="A1071" s="3">
        <v>43796</v>
      </c>
      <c r="B1071" s="4">
        <v>254.95</v>
      </c>
      <c r="C1071" s="4">
        <v>255.8</v>
      </c>
      <c r="D1071" s="4">
        <v>258.95</v>
      </c>
      <c r="E1071" s="4">
        <v>252.6</v>
      </c>
      <c r="F1071" s="4" t="str">
        <v>2.11M</v>
      </c>
      <c r="G1071" s="4" t="str">
        <v>-0.33%</v>
      </c>
      <c r="H1071" s="3">
        <v>43796</v>
      </c>
      <c r="I1071" s="4">
        <v>255.77499999999998</v>
      </c>
      <c r="O1071" s="4">
        <v>466</v>
      </c>
    </row>
    <row r="1072" spans="1:15" x14ac:dyDescent="0.25">
      <c r="A1072" s="3">
        <v>43795</v>
      </c>
      <c r="B1072" s="4">
        <v>255.8</v>
      </c>
      <c r="C1072" s="4">
        <v>256.95</v>
      </c>
      <c r="D1072" s="4">
        <v>259.8</v>
      </c>
      <c r="E1072" s="4">
        <v>253.5</v>
      </c>
      <c r="F1072" s="4" t="str">
        <v>1.21M</v>
      </c>
      <c r="G1072" s="4" t="str">
        <v>-0.35%</v>
      </c>
      <c r="H1072" s="3">
        <v>43795</v>
      </c>
      <c r="I1072" s="4">
        <v>256.64999999999998</v>
      </c>
      <c r="O1072" s="4">
        <v>465</v>
      </c>
    </row>
    <row r="1073" spans="1:15" x14ac:dyDescent="0.25">
      <c r="A1073" s="3">
        <v>43794</v>
      </c>
      <c r="B1073" s="4">
        <v>256.7</v>
      </c>
      <c r="C1073" s="4">
        <v>252.2</v>
      </c>
      <c r="D1073" s="4">
        <v>259.89999999999998</v>
      </c>
      <c r="E1073" s="4">
        <v>250.35</v>
      </c>
      <c r="F1073" s="4" t="str">
        <v>1.58M</v>
      </c>
      <c r="G1073" s="4" t="str">
        <v>2.23%</v>
      </c>
      <c r="H1073" s="3">
        <v>43794</v>
      </c>
      <c r="I1073" s="4">
        <v>255.125</v>
      </c>
      <c r="O1073" s="4">
        <v>464</v>
      </c>
    </row>
    <row r="1074" spans="1:15" x14ac:dyDescent="0.25">
      <c r="A1074" s="3">
        <v>43791</v>
      </c>
      <c r="B1074" s="4">
        <v>251.1</v>
      </c>
      <c r="C1074" s="4">
        <v>254.35</v>
      </c>
      <c r="D1074" s="4">
        <v>256.35000000000002</v>
      </c>
      <c r="E1074" s="4">
        <v>247.55</v>
      </c>
      <c r="F1074" s="4" t="str">
        <v>1.37M</v>
      </c>
      <c r="G1074" s="4" t="str">
        <v>-1.30%</v>
      </c>
      <c r="H1074" s="3">
        <v>43791</v>
      </c>
      <c r="I1074" s="4">
        <v>251.95000000000002</v>
      </c>
      <c r="O1074" s="4">
        <v>463</v>
      </c>
    </row>
    <row r="1075" spans="1:15" x14ac:dyDescent="0.25">
      <c r="A1075" s="3">
        <v>43790</v>
      </c>
      <c r="B1075" s="4">
        <v>254.4</v>
      </c>
      <c r="C1075" s="4">
        <v>249</v>
      </c>
      <c r="D1075" s="4">
        <v>255.9</v>
      </c>
      <c r="E1075" s="4">
        <v>247.7</v>
      </c>
      <c r="F1075" s="4" t="str">
        <v>2.44M</v>
      </c>
      <c r="G1075" s="4" t="str">
        <v>1.98%</v>
      </c>
      <c r="H1075" s="3">
        <v>43790</v>
      </c>
      <c r="I1075" s="4">
        <v>251.8</v>
      </c>
      <c r="O1075" s="4">
        <v>462</v>
      </c>
    </row>
    <row r="1076" spans="1:15" x14ac:dyDescent="0.25">
      <c r="A1076" s="3">
        <v>43789</v>
      </c>
      <c r="B1076" s="4">
        <v>249.45</v>
      </c>
      <c r="C1076" s="4">
        <v>243.5</v>
      </c>
      <c r="D1076" s="4">
        <v>251.95</v>
      </c>
      <c r="E1076" s="4">
        <v>241.5</v>
      </c>
      <c r="F1076" s="4" t="str">
        <v>2.58M</v>
      </c>
      <c r="G1076" s="4" t="str">
        <v>2.36%</v>
      </c>
      <c r="H1076" s="3">
        <v>43789</v>
      </c>
      <c r="I1076" s="4">
        <v>246.72499999999999</v>
      </c>
      <c r="O1076" s="4">
        <v>461</v>
      </c>
    </row>
    <row r="1077" spans="1:15" x14ac:dyDescent="0.25">
      <c r="A1077" s="3">
        <v>43788</v>
      </c>
      <c r="B1077" s="4">
        <v>243.7</v>
      </c>
      <c r="C1077" s="4">
        <v>242</v>
      </c>
      <c r="D1077" s="4">
        <v>246.95</v>
      </c>
      <c r="E1077" s="4">
        <v>239.25</v>
      </c>
      <c r="F1077" s="4" t="str">
        <v>1.76M</v>
      </c>
      <c r="G1077" s="4" t="str">
        <v>0.91%</v>
      </c>
      <c r="H1077" s="3">
        <v>43788</v>
      </c>
      <c r="I1077" s="4">
        <v>243.1</v>
      </c>
      <c r="O1077" s="4">
        <v>460</v>
      </c>
    </row>
    <row r="1078" spans="1:15" x14ac:dyDescent="0.25">
      <c r="A1078" s="3">
        <v>43787</v>
      </c>
      <c r="B1078" s="4">
        <v>241.5</v>
      </c>
      <c r="C1078" s="4">
        <v>236.5</v>
      </c>
      <c r="D1078" s="4">
        <v>246.8</v>
      </c>
      <c r="E1078" s="4">
        <v>236.25</v>
      </c>
      <c r="F1078" s="4" t="str">
        <v>2.87M</v>
      </c>
      <c r="G1078" s="4" t="str">
        <v>2.99%</v>
      </c>
      <c r="H1078" s="3">
        <v>43787</v>
      </c>
      <c r="I1078" s="4">
        <v>241.52500000000001</v>
      </c>
      <c r="O1078" s="4">
        <v>459</v>
      </c>
    </row>
    <row r="1079" spans="1:15" x14ac:dyDescent="0.25">
      <c r="A1079" s="3">
        <v>43784</v>
      </c>
      <c r="B1079" s="4">
        <v>234.5</v>
      </c>
      <c r="C1079" s="4">
        <v>234.85</v>
      </c>
      <c r="D1079" s="4">
        <v>237.3</v>
      </c>
      <c r="E1079" s="4">
        <v>230.7</v>
      </c>
      <c r="F1079" s="4" t="str">
        <v>947.26K</v>
      </c>
      <c r="G1079" s="4" t="str">
        <v>0.11%</v>
      </c>
      <c r="H1079" s="3">
        <v>43784</v>
      </c>
      <c r="I1079" s="4">
        <v>234</v>
      </c>
      <c r="O1079" s="4">
        <v>458</v>
      </c>
    </row>
    <row r="1080" spans="1:15" x14ac:dyDescent="0.25">
      <c r="A1080" s="3">
        <v>43783</v>
      </c>
      <c r="B1080" s="4">
        <v>234.25</v>
      </c>
      <c r="C1080" s="4">
        <v>222.5</v>
      </c>
      <c r="D1080" s="4">
        <v>235.4</v>
      </c>
      <c r="E1080" s="4">
        <v>220</v>
      </c>
      <c r="F1080" s="4" t="str">
        <v>4.37M</v>
      </c>
      <c r="G1080" s="4" t="str">
        <v>4.23%</v>
      </c>
      <c r="H1080" s="3">
        <v>43783</v>
      </c>
      <c r="I1080" s="4">
        <v>227.7</v>
      </c>
      <c r="O1080" s="4">
        <v>457</v>
      </c>
    </row>
    <row r="1081" spans="1:15" x14ac:dyDescent="0.25">
      <c r="A1081" s="3">
        <v>43782</v>
      </c>
      <c r="B1081" s="4">
        <v>224.75</v>
      </c>
      <c r="C1081" s="4">
        <v>231.85</v>
      </c>
      <c r="D1081" s="4">
        <v>232.55</v>
      </c>
      <c r="E1081" s="4">
        <v>223.15</v>
      </c>
      <c r="F1081" s="4" t="str">
        <v>1.40M</v>
      </c>
      <c r="G1081" s="4" t="str">
        <v>-2.47%</v>
      </c>
      <c r="H1081" s="3">
        <v>43782</v>
      </c>
      <c r="I1081" s="4">
        <v>227.85000000000002</v>
      </c>
      <c r="O1081" s="4">
        <v>456</v>
      </c>
    </row>
    <row r="1082" spans="1:15" x14ac:dyDescent="0.25">
      <c r="A1082" s="3">
        <v>43780</v>
      </c>
      <c r="B1082" s="4">
        <v>230.45</v>
      </c>
      <c r="C1082" s="4">
        <v>232.95</v>
      </c>
      <c r="D1082" s="4">
        <v>234.8</v>
      </c>
      <c r="E1082" s="4">
        <v>229.5</v>
      </c>
      <c r="F1082" s="4" t="str">
        <v>753.82K</v>
      </c>
      <c r="G1082" s="4" t="str">
        <v>-0.84%</v>
      </c>
      <c r="H1082" s="3">
        <v>43780</v>
      </c>
      <c r="I1082" s="4">
        <v>232.15</v>
      </c>
      <c r="O1082" s="4">
        <v>455</v>
      </c>
    </row>
    <row r="1083" spans="1:15" x14ac:dyDescent="0.25">
      <c r="A1083" s="3">
        <v>43777</v>
      </c>
      <c r="B1083" s="4">
        <v>232.4</v>
      </c>
      <c r="C1083" s="4">
        <v>234</v>
      </c>
      <c r="D1083" s="4">
        <v>238.15</v>
      </c>
      <c r="E1083" s="4">
        <v>231.5</v>
      </c>
      <c r="F1083" s="4" t="str">
        <v>771.81K</v>
      </c>
      <c r="G1083" s="4" t="str">
        <v>-1.06%</v>
      </c>
      <c r="H1083" s="3">
        <v>43777</v>
      </c>
      <c r="I1083" s="4">
        <v>234.82499999999999</v>
      </c>
      <c r="O1083" s="4">
        <v>454</v>
      </c>
    </row>
    <row r="1084" spans="1:15" x14ac:dyDescent="0.25">
      <c r="A1084" s="3">
        <v>43776</v>
      </c>
      <c r="B1084" s="4">
        <v>234.9</v>
      </c>
      <c r="C1084" s="4">
        <v>239.85</v>
      </c>
      <c r="D1084" s="4">
        <v>241.5</v>
      </c>
      <c r="E1084" s="4">
        <v>232.1</v>
      </c>
      <c r="F1084" s="4" t="str">
        <v>1.41M</v>
      </c>
      <c r="G1084" s="4" t="str">
        <v>-2.06%</v>
      </c>
      <c r="H1084" s="3">
        <v>43776</v>
      </c>
      <c r="I1084" s="4">
        <v>236.8</v>
      </c>
      <c r="O1084" s="4">
        <v>453</v>
      </c>
    </row>
    <row r="1085" spans="1:15" x14ac:dyDescent="0.25">
      <c r="A1085" s="3">
        <v>43775</v>
      </c>
      <c r="B1085" s="4">
        <v>239.85</v>
      </c>
      <c r="C1085" s="4">
        <v>237.2</v>
      </c>
      <c r="D1085" s="4">
        <v>245.3</v>
      </c>
      <c r="E1085" s="4">
        <v>237.2</v>
      </c>
      <c r="F1085" s="4" t="str">
        <v>776.11K</v>
      </c>
      <c r="G1085" s="4" t="str">
        <v>0.10%</v>
      </c>
      <c r="H1085" s="3">
        <v>43775</v>
      </c>
      <c r="I1085" s="4">
        <v>241.25</v>
      </c>
      <c r="O1085" s="4">
        <v>452</v>
      </c>
    </row>
    <row r="1086" spans="1:15" x14ac:dyDescent="0.25">
      <c r="A1086" s="3">
        <v>43774</v>
      </c>
      <c r="B1086" s="4">
        <v>239.6</v>
      </c>
      <c r="C1086" s="4">
        <v>241.5</v>
      </c>
      <c r="D1086" s="4">
        <v>244.5</v>
      </c>
      <c r="E1086" s="4">
        <v>238.5</v>
      </c>
      <c r="F1086" s="4" t="str">
        <v>1.36M</v>
      </c>
      <c r="G1086" s="4" t="str">
        <v>-0.85%</v>
      </c>
      <c r="H1086" s="3">
        <v>43774</v>
      </c>
      <c r="I1086" s="4">
        <v>241.5</v>
      </c>
      <c r="O1086" s="4">
        <v>451</v>
      </c>
    </row>
    <row r="1087" spans="1:15" x14ac:dyDescent="0.25">
      <c r="A1087" s="3">
        <v>43773</v>
      </c>
      <c r="B1087" s="4">
        <v>241.65</v>
      </c>
      <c r="C1087" s="4">
        <v>256.89999999999998</v>
      </c>
      <c r="D1087" s="4">
        <v>260.89999999999998</v>
      </c>
      <c r="E1087" s="4">
        <v>233.5</v>
      </c>
      <c r="F1087" s="4" t="str">
        <v>5.23M</v>
      </c>
      <c r="G1087" s="4" t="str">
        <v>-5.42%</v>
      </c>
      <c r="H1087" s="3">
        <v>43773</v>
      </c>
      <c r="I1087" s="4">
        <v>247.2</v>
      </c>
      <c r="O1087" s="4">
        <v>450</v>
      </c>
    </row>
    <row r="1088" spans="1:15" x14ac:dyDescent="0.25">
      <c r="A1088" s="3">
        <v>43770</v>
      </c>
      <c r="B1088" s="4">
        <v>255.5</v>
      </c>
      <c r="C1088" s="4">
        <v>251.95</v>
      </c>
      <c r="D1088" s="4">
        <v>257.89999999999998</v>
      </c>
      <c r="E1088" s="4">
        <v>248.5</v>
      </c>
      <c r="F1088" s="4" t="str">
        <v>672.16K</v>
      </c>
      <c r="G1088" s="4" t="str">
        <v>1.49%</v>
      </c>
      <c r="H1088" s="3">
        <v>43770</v>
      </c>
      <c r="I1088" s="4">
        <v>253.2</v>
      </c>
      <c r="O1088" s="4">
        <v>449</v>
      </c>
    </row>
    <row r="1089" spans="1:15" x14ac:dyDescent="0.25">
      <c r="A1089" s="3">
        <v>43769</v>
      </c>
      <c r="B1089" s="4">
        <v>251.75</v>
      </c>
      <c r="C1089" s="4">
        <v>250.05</v>
      </c>
      <c r="D1089" s="4">
        <v>261.7</v>
      </c>
      <c r="E1089" s="4">
        <v>249.3</v>
      </c>
      <c r="F1089" s="4" t="str">
        <v>1.87M</v>
      </c>
      <c r="G1089" s="4" t="str">
        <v>0.68%</v>
      </c>
      <c r="H1089" s="3">
        <v>43769</v>
      </c>
      <c r="I1089" s="4">
        <v>255.5</v>
      </c>
      <c r="O1089" s="4">
        <v>448</v>
      </c>
    </row>
    <row r="1090" spans="1:15" x14ac:dyDescent="0.25">
      <c r="A1090" s="3">
        <v>43768</v>
      </c>
      <c r="B1090" s="4">
        <v>250.05</v>
      </c>
      <c r="C1090" s="4">
        <v>250.2</v>
      </c>
      <c r="D1090" s="4">
        <v>251.9</v>
      </c>
      <c r="E1090" s="4">
        <v>246.6</v>
      </c>
      <c r="F1090" s="4" t="str">
        <v>591.10K</v>
      </c>
      <c r="G1090" s="4" t="str">
        <v>0.00%</v>
      </c>
      <c r="H1090" s="3">
        <v>43768</v>
      </c>
      <c r="I1090" s="4">
        <v>249.25</v>
      </c>
      <c r="O1090" s="4">
        <v>447</v>
      </c>
    </row>
    <row r="1091" spans="1:15" x14ac:dyDescent="0.25">
      <c r="A1091" s="3">
        <v>43767</v>
      </c>
      <c r="B1091" s="4">
        <v>250.05</v>
      </c>
      <c r="C1091" s="4">
        <v>246</v>
      </c>
      <c r="D1091" s="4">
        <v>251.3</v>
      </c>
      <c r="E1091" s="4">
        <v>244.75</v>
      </c>
      <c r="F1091" s="4" t="str">
        <v>615.38K</v>
      </c>
      <c r="G1091" s="4" t="str">
        <v>1.63%</v>
      </c>
      <c r="H1091" s="3">
        <v>43767</v>
      </c>
      <c r="I1091" s="4">
        <v>248.02500000000001</v>
      </c>
      <c r="O1091" s="4">
        <v>446</v>
      </c>
    </row>
    <row r="1092" spans="1:15" x14ac:dyDescent="0.25">
      <c r="A1092" s="3">
        <v>43765</v>
      </c>
      <c r="B1092" s="4">
        <v>246.05</v>
      </c>
      <c r="C1092" s="4">
        <v>246.05</v>
      </c>
      <c r="D1092" s="4">
        <v>246.05</v>
      </c>
      <c r="E1092" s="4">
        <v>246.05</v>
      </c>
      <c r="F1092" s="4" t="str">
        <v>0</v>
      </c>
      <c r="G1092" s="4" t="str">
        <v>0.55%</v>
      </c>
      <c r="H1092" s="3">
        <v>43765</v>
      </c>
      <c r="I1092" s="4">
        <v>246.05</v>
      </c>
      <c r="O1092" s="4">
        <v>445</v>
      </c>
    </row>
    <row r="1093" spans="1:15" x14ac:dyDescent="0.25">
      <c r="A1093" s="3">
        <v>43763</v>
      </c>
      <c r="B1093" s="4">
        <v>244.7</v>
      </c>
      <c r="C1093" s="4">
        <v>244.5</v>
      </c>
      <c r="D1093" s="4">
        <v>248.4</v>
      </c>
      <c r="E1093" s="4">
        <v>240.7</v>
      </c>
      <c r="F1093" s="4" t="str">
        <v>923.15K</v>
      </c>
      <c r="G1093" s="4" t="str">
        <v>0.08%</v>
      </c>
      <c r="H1093" s="3">
        <v>43763</v>
      </c>
      <c r="I1093" s="4">
        <v>244.55</v>
      </c>
      <c r="O1093" s="4">
        <v>444</v>
      </c>
    </row>
    <row r="1094" spans="1:15" x14ac:dyDescent="0.25">
      <c r="A1094" s="3">
        <v>43762</v>
      </c>
      <c r="B1094" s="4">
        <v>244.5</v>
      </c>
      <c r="C1094" s="4">
        <v>245.9</v>
      </c>
      <c r="D1094" s="4">
        <v>250.35</v>
      </c>
      <c r="E1094" s="4">
        <v>243.5</v>
      </c>
      <c r="F1094" s="4" t="str">
        <v>893.38K</v>
      </c>
      <c r="G1094" s="4" t="str">
        <v>-1.35%</v>
      </c>
      <c r="H1094" s="3">
        <v>43762</v>
      </c>
      <c r="I1094" s="4">
        <v>246.92500000000001</v>
      </c>
      <c r="O1094" s="4">
        <v>443</v>
      </c>
    </row>
    <row r="1095" spans="1:15" x14ac:dyDescent="0.25">
      <c r="A1095" s="3">
        <v>43761</v>
      </c>
      <c r="B1095" s="4">
        <v>247.85</v>
      </c>
      <c r="C1095" s="4">
        <v>246</v>
      </c>
      <c r="D1095" s="4">
        <v>249</v>
      </c>
      <c r="E1095" s="4">
        <v>243.25</v>
      </c>
      <c r="F1095" s="4" t="str">
        <v>626.60K</v>
      </c>
      <c r="G1095" s="4" t="str">
        <v>1.06%</v>
      </c>
      <c r="H1095" s="3">
        <v>43761</v>
      </c>
      <c r="I1095" s="4">
        <v>246.125</v>
      </c>
      <c r="O1095" s="4">
        <v>442</v>
      </c>
    </row>
    <row r="1096" spans="1:15" x14ac:dyDescent="0.25">
      <c r="A1096" s="3">
        <v>43760</v>
      </c>
      <c r="B1096" s="4">
        <v>245.25</v>
      </c>
      <c r="C1096" s="4">
        <v>240.65</v>
      </c>
      <c r="D1096" s="4">
        <v>248.5</v>
      </c>
      <c r="E1096" s="4">
        <v>238.8</v>
      </c>
      <c r="F1096" s="4" t="str">
        <v>1.08M</v>
      </c>
      <c r="G1096" s="4" t="str">
        <v>1.91%</v>
      </c>
      <c r="H1096" s="3">
        <v>43760</v>
      </c>
      <c r="I1096" s="4">
        <v>243.65</v>
      </c>
      <c r="O1096" s="4">
        <v>441</v>
      </c>
    </row>
    <row r="1097" spans="1:15" x14ac:dyDescent="0.25">
      <c r="A1097" s="3">
        <v>43756</v>
      </c>
      <c r="B1097" s="4">
        <v>240.65</v>
      </c>
      <c r="C1097" s="4">
        <v>236.8</v>
      </c>
      <c r="D1097" s="4">
        <v>242.9</v>
      </c>
      <c r="E1097" s="4">
        <v>236.7</v>
      </c>
      <c r="F1097" s="4" t="str">
        <v>805.73K</v>
      </c>
      <c r="G1097" s="4" t="str">
        <v>1.20%</v>
      </c>
      <c r="H1097" s="3">
        <v>43756</v>
      </c>
      <c r="I1097" s="4">
        <v>239.8</v>
      </c>
      <c r="O1097" s="4">
        <v>440</v>
      </c>
    </row>
    <row r="1098" spans="1:15" x14ac:dyDescent="0.25">
      <c r="A1098" s="3">
        <v>43755</v>
      </c>
      <c r="B1098" s="4">
        <v>237.8</v>
      </c>
      <c r="C1098" s="4">
        <v>234.7</v>
      </c>
      <c r="D1098" s="4">
        <v>238.5</v>
      </c>
      <c r="E1098" s="4">
        <v>231.5</v>
      </c>
      <c r="F1098" s="4" t="str">
        <v>471.43K</v>
      </c>
      <c r="G1098" s="4" t="str">
        <v>1.32%</v>
      </c>
      <c r="H1098" s="3">
        <v>43755</v>
      </c>
      <c r="I1098" s="4">
        <v>235</v>
      </c>
      <c r="O1098" s="4">
        <v>439</v>
      </c>
    </row>
    <row r="1099" spans="1:15" x14ac:dyDescent="0.25">
      <c r="A1099" s="3">
        <v>43754</v>
      </c>
      <c r="B1099" s="4">
        <v>234.7</v>
      </c>
      <c r="C1099" s="4">
        <v>235</v>
      </c>
      <c r="D1099" s="4">
        <v>237.6</v>
      </c>
      <c r="E1099" s="4">
        <v>232.2</v>
      </c>
      <c r="F1099" s="4" t="str">
        <v>688.27K</v>
      </c>
      <c r="G1099" s="4" t="str">
        <v>0.11%</v>
      </c>
      <c r="H1099" s="3">
        <v>43754</v>
      </c>
      <c r="I1099" s="4">
        <v>234.89999999999998</v>
      </c>
      <c r="O1099" s="4">
        <v>438</v>
      </c>
    </row>
    <row r="1100" spans="1:15" x14ac:dyDescent="0.25">
      <c r="A1100" s="3">
        <v>43753</v>
      </c>
      <c r="B1100" s="4">
        <v>234.45</v>
      </c>
      <c r="C1100" s="4">
        <v>233</v>
      </c>
      <c r="D1100" s="4">
        <v>234.85</v>
      </c>
      <c r="E1100" s="4">
        <v>232.4</v>
      </c>
      <c r="F1100" s="4" t="str">
        <v>488.53K</v>
      </c>
      <c r="G1100" s="4" t="str">
        <v>0.75%</v>
      </c>
      <c r="H1100" s="3">
        <v>43753</v>
      </c>
      <c r="I1100" s="4">
        <v>233.625</v>
      </c>
      <c r="O1100" s="4">
        <v>437</v>
      </c>
    </row>
    <row r="1101" spans="1:15" x14ac:dyDescent="0.25">
      <c r="A1101" s="3">
        <v>43752</v>
      </c>
      <c r="B1101" s="4">
        <v>232.7</v>
      </c>
      <c r="C1101" s="4">
        <v>232.55</v>
      </c>
      <c r="D1101" s="4">
        <v>235.2</v>
      </c>
      <c r="E1101" s="4">
        <v>229.35</v>
      </c>
      <c r="F1101" s="4" t="str">
        <v>1.63M</v>
      </c>
      <c r="G1101" s="4" t="str">
        <v>1.13%</v>
      </c>
      <c r="H1101" s="3">
        <v>43752</v>
      </c>
      <c r="I1101" s="4">
        <v>232.27499999999998</v>
      </c>
      <c r="O1101" s="4">
        <v>436</v>
      </c>
    </row>
    <row r="1102" spans="1:15" x14ac:dyDescent="0.25">
      <c r="A1102" s="3">
        <v>43749</v>
      </c>
      <c r="B1102" s="4">
        <v>230.1</v>
      </c>
      <c r="C1102" s="4">
        <v>232.2</v>
      </c>
      <c r="D1102" s="4">
        <v>232.7</v>
      </c>
      <c r="E1102" s="4">
        <v>228.2</v>
      </c>
      <c r="F1102" s="4" t="str">
        <v>725.66K</v>
      </c>
      <c r="G1102" s="4" t="str">
        <v>-0.90%</v>
      </c>
      <c r="H1102" s="3">
        <v>43749</v>
      </c>
      <c r="I1102" s="4">
        <v>230.45</v>
      </c>
      <c r="O1102" s="4">
        <v>435</v>
      </c>
    </row>
    <row r="1103" spans="1:15" x14ac:dyDescent="0.25">
      <c r="A1103" s="3">
        <v>43748</v>
      </c>
      <c r="B1103" s="4">
        <v>232.2</v>
      </c>
      <c r="C1103" s="4">
        <v>235.4</v>
      </c>
      <c r="D1103" s="4">
        <v>236.7</v>
      </c>
      <c r="E1103" s="4">
        <v>231.5</v>
      </c>
      <c r="F1103" s="4" t="str">
        <v>458.03K</v>
      </c>
      <c r="G1103" s="4" t="str">
        <v>-1.84%</v>
      </c>
      <c r="H1103" s="3">
        <v>43748</v>
      </c>
      <c r="I1103" s="4">
        <v>234.1</v>
      </c>
      <c r="O1103" s="4">
        <v>434</v>
      </c>
    </row>
    <row r="1104" spans="1:15" x14ac:dyDescent="0.25">
      <c r="A1104" s="3">
        <v>43747</v>
      </c>
      <c r="B1104" s="4">
        <v>236.55</v>
      </c>
      <c r="C1104" s="4">
        <v>226.1</v>
      </c>
      <c r="D1104" s="4">
        <v>238.9</v>
      </c>
      <c r="E1104" s="4">
        <v>225.65</v>
      </c>
      <c r="F1104" s="4" t="str">
        <v>661.68K</v>
      </c>
      <c r="G1104" s="4" t="str">
        <v>3.77%</v>
      </c>
      <c r="H1104" s="3">
        <v>43747</v>
      </c>
      <c r="I1104" s="4">
        <v>232.27500000000001</v>
      </c>
      <c r="O1104" s="4">
        <v>433</v>
      </c>
    </row>
    <row r="1105" spans="1:15" x14ac:dyDescent="0.25">
      <c r="A1105" s="3">
        <v>43745</v>
      </c>
      <c r="B1105" s="4">
        <v>227.95</v>
      </c>
      <c r="C1105" s="4">
        <v>232.25</v>
      </c>
      <c r="D1105" s="4">
        <v>232.25</v>
      </c>
      <c r="E1105" s="4">
        <v>223.95</v>
      </c>
      <c r="F1105" s="4" t="str">
        <v>1.53M</v>
      </c>
      <c r="G1105" s="4" t="str">
        <v>-1.81%</v>
      </c>
      <c r="H1105" s="3">
        <v>43745</v>
      </c>
      <c r="I1105" s="4">
        <v>228.1</v>
      </c>
      <c r="O1105" s="4">
        <v>432</v>
      </c>
    </row>
    <row r="1106" spans="1:15" x14ac:dyDescent="0.25">
      <c r="A1106" s="3">
        <v>43742</v>
      </c>
      <c r="B1106" s="4">
        <v>232.15</v>
      </c>
      <c r="C1106" s="4">
        <v>232.1</v>
      </c>
      <c r="D1106" s="4">
        <v>235.95</v>
      </c>
      <c r="E1106" s="4">
        <v>230.8</v>
      </c>
      <c r="F1106" s="4" t="str">
        <v>916.16K</v>
      </c>
      <c r="G1106" s="4" t="str">
        <v>-0.75%</v>
      </c>
      <c r="H1106" s="3">
        <v>43742</v>
      </c>
      <c r="I1106" s="4">
        <v>233.375</v>
      </c>
      <c r="O1106" s="4">
        <v>431</v>
      </c>
    </row>
    <row r="1107" spans="1:15" x14ac:dyDescent="0.25">
      <c r="A1107" s="3">
        <v>43741</v>
      </c>
      <c r="B1107" s="4">
        <v>233.9</v>
      </c>
      <c r="C1107" s="4">
        <v>233</v>
      </c>
      <c r="D1107" s="4">
        <v>235.35</v>
      </c>
      <c r="E1107" s="4">
        <v>230.05</v>
      </c>
      <c r="F1107" s="4" t="str">
        <v>640.32K</v>
      </c>
      <c r="G1107" s="4" t="str">
        <v>-0.11%</v>
      </c>
      <c r="H1107" s="3">
        <v>43741</v>
      </c>
      <c r="I1107" s="4">
        <v>232.7</v>
      </c>
      <c r="O1107" s="4">
        <v>430</v>
      </c>
    </row>
    <row r="1108" spans="1:15" x14ac:dyDescent="0.25">
      <c r="A1108" s="3">
        <v>43739</v>
      </c>
      <c r="B1108" s="4">
        <v>234.15</v>
      </c>
      <c r="C1108" s="4">
        <v>236.5</v>
      </c>
      <c r="D1108" s="4">
        <v>236.9</v>
      </c>
      <c r="E1108" s="4">
        <v>227.75</v>
      </c>
      <c r="F1108" s="4" t="str">
        <v>1.23M</v>
      </c>
      <c r="G1108" s="4" t="str">
        <v>0.36%</v>
      </c>
      <c r="H1108" s="3">
        <v>43739</v>
      </c>
      <c r="I1108" s="4">
        <v>232.32499999999999</v>
      </c>
      <c r="O1108" s="4">
        <v>429</v>
      </c>
    </row>
    <row r="1109" spans="1:15" x14ac:dyDescent="0.25">
      <c r="A1109" s="3">
        <v>43738</v>
      </c>
      <c r="B1109" s="4">
        <v>233.3</v>
      </c>
      <c r="C1109" s="4">
        <v>241</v>
      </c>
      <c r="D1109" s="4">
        <v>241.4</v>
      </c>
      <c r="E1109" s="4">
        <v>227.4</v>
      </c>
      <c r="F1109" s="4" t="str">
        <v>1.50M</v>
      </c>
      <c r="G1109" s="4" t="str">
        <v>-3.44%</v>
      </c>
      <c r="H1109" s="3">
        <v>43738</v>
      </c>
      <c r="I1109" s="4">
        <v>234.4</v>
      </c>
      <c r="O1109" s="4">
        <v>428</v>
      </c>
    </row>
    <row r="1110" spans="1:15" x14ac:dyDescent="0.25">
      <c r="A1110" s="3">
        <v>43735</v>
      </c>
      <c r="B1110" s="4">
        <v>241.6</v>
      </c>
      <c r="C1110" s="4">
        <v>244.3</v>
      </c>
      <c r="D1110" s="4">
        <v>245.7</v>
      </c>
      <c r="E1110" s="4">
        <v>239.3</v>
      </c>
      <c r="F1110" s="4" t="str">
        <v>785.93K</v>
      </c>
      <c r="G1110" s="4" t="str">
        <v>-1.67%</v>
      </c>
      <c r="H1110" s="3">
        <v>43735</v>
      </c>
      <c r="I1110" s="4">
        <v>242.5</v>
      </c>
      <c r="O1110" s="4">
        <v>427</v>
      </c>
    </row>
    <row r="1111" spans="1:15" x14ac:dyDescent="0.25">
      <c r="A1111" s="3">
        <v>43734</v>
      </c>
      <c r="B1111" s="4">
        <v>245.7</v>
      </c>
      <c r="C1111" s="4">
        <v>249.7</v>
      </c>
      <c r="D1111" s="4">
        <v>251.05</v>
      </c>
      <c r="E1111" s="4">
        <v>245.1</v>
      </c>
      <c r="F1111" s="4" t="str">
        <v>840.87K</v>
      </c>
      <c r="G1111" s="4" t="str">
        <v>-1.36%</v>
      </c>
      <c r="H1111" s="3">
        <v>43734</v>
      </c>
      <c r="I1111" s="4">
        <v>248.07499999999999</v>
      </c>
      <c r="O1111" s="4">
        <v>426</v>
      </c>
    </row>
    <row r="1112" spans="1:15" x14ac:dyDescent="0.25">
      <c r="A1112" s="3">
        <v>43733</v>
      </c>
      <c r="B1112" s="4">
        <v>249.1</v>
      </c>
      <c r="C1112" s="4">
        <v>251.15</v>
      </c>
      <c r="D1112" s="4">
        <v>252.5</v>
      </c>
      <c r="E1112" s="4">
        <v>245.65</v>
      </c>
      <c r="F1112" s="4" t="str">
        <v>1.28M</v>
      </c>
      <c r="G1112" s="4" t="str">
        <v>-1.91%</v>
      </c>
      <c r="H1112" s="3">
        <v>43733</v>
      </c>
      <c r="I1112" s="4">
        <v>249.07499999999999</v>
      </c>
      <c r="O1112" s="4">
        <v>425</v>
      </c>
    </row>
    <row r="1113" spans="1:15" x14ac:dyDescent="0.25">
      <c r="A1113" s="3">
        <v>43732</v>
      </c>
      <c r="B1113" s="4">
        <v>253.95</v>
      </c>
      <c r="C1113" s="4">
        <v>245</v>
      </c>
      <c r="D1113" s="4">
        <v>255.2</v>
      </c>
      <c r="E1113" s="4">
        <v>243.2</v>
      </c>
      <c r="F1113" s="4" t="str">
        <v>1.79M</v>
      </c>
      <c r="G1113" s="4" t="str">
        <v>2.56%</v>
      </c>
      <c r="H1113" s="3">
        <v>43732</v>
      </c>
      <c r="I1113" s="4">
        <v>249.2</v>
      </c>
      <c r="O1113" s="4">
        <v>424</v>
      </c>
    </row>
    <row r="1114" spans="1:15" x14ac:dyDescent="0.25">
      <c r="A1114" s="3">
        <v>43731</v>
      </c>
      <c r="B1114" s="4">
        <v>247.6</v>
      </c>
      <c r="C1114" s="4">
        <v>250</v>
      </c>
      <c r="D1114" s="4">
        <v>253.75</v>
      </c>
      <c r="E1114" s="4">
        <v>242.2</v>
      </c>
      <c r="F1114" s="4" t="str">
        <v>1.21M</v>
      </c>
      <c r="G1114" s="4" t="str">
        <v>0.06%</v>
      </c>
      <c r="H1114" s="3">
        <v>43731</v>
      </c>
      <c r="I1114" s="4">
        <v>247.97499999999999</v>
      </c>
      <c r="O1114" s="4">
        <v>423</v>
      </c>
    </row>
    <row r="1115" spans="1:15" x14ac:dyDescent="0.25">
      <c r="A1115" s="3">
        <v>43728</v>
      </c>
      <c r="B1115" s="4">
        <v>247.45</v>
      </c>
      <c r="C1115" s="4">
        <v>238</v>
      </c>
      <c r="D1115" s="4">
        <v>249.55</v>
      </c>
      <c r="E1115" s="4">
        <v>234.65</v>
      </c>
      <c r="F1115" s="4" t="str">
        <v>1.63M</v>
      </c>
      <c r="G1115" s="4" t="str">
        <v>3.95%</v>
      </c>
      <c r="H1115" s="3">
        <v>43728</v>
      </c>
      <c r="I1115" s="4">
        <v>242.10000000000002</v>
      </c>
      <c r="O1115" s="4">
        <v>422</v>
      </c>
    </row>
    <row r="1116" spans="1:15" x14ac:dyDescent="0.25">
      <c r="A1116" s="3">
        <v>43727</v>
      </c>
      <c r="B1116" s="4">
        <v>238.05</v>
      </c>
      <c r="C1116" s="4">
        <v>242</v>
      </c>
      <c r="D1116" s="4">
        <v>242.45</v>
      </c>
      <c r="E1116" s="4">
        <v>234.7</v>
      </c>
      <c r="F1116" s="4" t="str">
        <v>867.11K</v>
      </c>
      <c r="G1116" s="4" t="str">
        <v>-1.33%</v>
      </c>
      <c r="H1116" s="3">
        <v>43727</v>
      </c>
      <c r="I1116" s="4">
        <v>238.57499999999999</v>
      </c>
      <c r="O1116" s="4">
        <v>421</v>
      </c>
    </row>
    <row r="1117" spans="1:15" x14ac:dyDescent="0.25">
      <c r="A1117" s="3">
        <v>43726</v>
      </c>
      <c r="B1117" s="4">
        <v>241.25</v>
      </c>
      <c r="C1117" s="4">
        <v>240</v>
      </c>
      <c r="D1117" s="4">
        <v>242.3</v>
      </c>
      <c r="E1117" s="4">
        <v>236.05</v>
      </c>
      <c r="F1117" s="4" t="str">
        <v>842.49K</v>
      </c>
      <c r="G1117" s="4" t="str">
        <v>0.96%</v>
      </c>
      <c r="H1117" s="3">
        <v>43726</v>
      </c>
      <c r="I1117" s="4">
        <v>239.17500000000001</v>
      </c>
      <c r="O1117" s="4">
        <v>420</v>
      </c>
    </row>
    <row r="1118" spans="1:15" x14ac:dyDescent="0.25">
      <c r="A1118" s="3">
        <v>43725</v>
      </c>
      <c r="B1118" s="4">
        <v>238.95</v>
      </c>
      <c r="C1118" s="4">
        <v>242</v>
      </c>
      <c r="D1118" s="4">
        <v>243.35</v>
      </c>
      <c r="E1118" s="4">
        <v>237.1</v>
      </c>
      <c r="F1118" s="4" t="str">
        <v>1.30M</v>
      </c>
      <c r="G1118" s="4" t="str">
        <v>-1.38%</v>
      </c>
      <c r="H1118" s="3">
        <v>43725</v>
      </c>
      <c r="I1118" s="4">
        <v>240.22499999999999</v>
      </c>
      <c r="O1118" s="4">
        <v>419</v>
      </c>
    </row>
    <row r="1119" spans="1:15" x14ac:dyDescent="0.25">
      <c r="A1119" s="3">
        <v>43724</v>
      </c>
      <c r="B1119" s="4">
        <v>242.3</v>
      </c>
      <c r="C1119" s="4">
        <v>240.1</v>
      </c>
      <c r="D1119" s="4">
        <v>248</v>
      </c>
      <c r="E1119" s="4">
        <v>239.55</v>
      </c>
      <c r="F1119" s="4" t="str">
        <v>1.35M</v>
      </c>
      <c r="G1119" s="4" t="str">
        <v>0.17%</v>
      </c>
      <c r="H1119" s="3">
        <v>43724</v>
      </c>
      <c r="I1119" s="4">
        <v>243.77500000000001</v>
      </c>
      <c r="O1119" s="4">
        <v>418</v>
      </c>
    </row>
    <row r="1120" spans="1:15" x14ac:dyDescent="0.25">
      <c r="A1120" s="3">
        <v>43721</v>
      </c>
      <c r="B1120" s="4">
        <v>241.9</v>
      </c>
      <c r="C1120" s="4">
        <v>240</v>
      </c>
      <c r="D1120" s="4">
        <v>242.75</v>
      </c>
      <c r="E1120" s="4">
        <v>235.65</v>
      </c>
      <c r="F1120" s="4" t="str">
        <v>1.05M</v>
      </c>
      <c r="G1120" s="4" t="str">
        <v>1.07%</v>
      </c>
      <c r="H1120" s="3">
        <v>43721</v>
      </c>
      <c r="I1120" s="4">
        <v>239.2</v>
      </c>
      <c r="O1120" s="4">
        <v>417</v>
      </c>
    </row>
    <row r="1121" spans="1:15" x14ac:dyDescent="0.25">
      <c r="A1121" s="3">
        <v>43720</v>
      </c>
      <c r="B1121" s="4">
        <v>239.35</v>
      </c>
      <c r="C1121" s="4">
        <v>241.5</v>
      </c>
      <c r="D1121" s="4">
        <v>243.8</v>
      </c>
      <c r="E1121" s="4">
        <v>236.9</v>
      </c>
      <c r="F1121" s="4" t="str">
        <v>2.00M</v>
      </c>
      <c r="G1121" s="4" t="str">
        <v>-0.10%</v>
      </c>
      <c r="H1121" s="3">
        <v>43720</v>
      </c>
      <c r="I1121" s="4">
        <v>240.35000000000002</v>
      </c>
      <c r="O1121" s="4">
        <v>416</v>
      </c>
    </row>
    <row r="1122" spans="1:15" x14ac:dyDescent="0.25">
      <c r="A1122" s="3">
        <v>43719</v>
      </c>
      <c r="B1122" s="4">
        <v>239.6</v>
      </c>
      <c r="C1122" s="4">
        <v>236.75</v>
      </c>
      <c r="D1122" s="4">
        <v>242.5</v>
      </c>
      <c r="E1122" s="4">
        <v>236.75</v>
      </c>
      <c r="F1122" s="4" t="str">
        <v>1.46M</v>
      </c>
      <c r="G1122" s="4" t="str">
        <v>1.40%</v>
      </c>
      <c r="H1122" s="3">
        <v>43719</v>
      </c>
      <c r="I1122" s="4">
        <v>239.625</v>
      </c>
      <c r="O1122" s="4">
        <v>415</v>
      </c>
    </row>
    <row r="1123" spans="1:15" x14ac:dyDescent="0.25">
      <c r="A1123" s="3">
        <v>43717</v>
      </c>
      <c r="B1123" s="4">
        <v>236.3</v>
      </c>
      <c r="C1123" s="4">
        <v>235.65</v>
      </c>
      <c r="D1123" s="4">
        <v>240.25</v>
      </c>
      <c r="E1123" s="4">
        <v>234.55</v>
      </c>
      <c r="F1123" s="4" t="str">
        <v>1.76M</v>
      </c>
      <c r="G1123" s="4" t="str">
        <v>-1.05%</v>
      </c>
      <c r="H1123" s="3">
        <v>43717</v>
      </c>
      <c r="I1123" s="4">
        <v>237.4</v>
      </c>
      <c r="O1123" s="4">
        <v>414</v>
      </c>
    </row>
    <row r="1124" spans="1:15" x14ac:dyDescent="0.25">
      <c r="A1124" s="3">
        <v>43714</v>
      </c>
      <c r="B1124" s="4">
        <v>238.8</v>
      </c>
      <c r="C1124" s="4">
        <v>236</v>
      </c>
      <c r="D1124" s="4">
        <v>240.8</v>
      </c>
      <c r="E1124" s="4">
        <v>233.1</v>
      </c>
      <c r="F1124" s="4" t="str">
        <v>1.68M</v>
      </c>
      <c r="G1124" s="4" t="str">
        <v>1.17%</v>
      </c>
      <c r="H1124" s="3">
        <v>43714</v>
      </c>
      <c r="I1124" s="4">
        <v>236.95</v>
      </c>
      <c r="O1124" s="4">
        <v>413</v>
      </c>
    </row>
    <row r="1125" spans="1:15" x14ac:dyDescent="0.25">
      <c r="A1125" s="3">
        <v>43713</v>
      </c>
      <c r="B1125" s="4">
        <v>236.05</v>
      </c>
      <c r="C1125" s="4">
        <v>232</v>
      </c>
      <c r="D1125" s="4">
        <v>237.7</v>
      </c>
      <c r="E1125" s="4">
        <v>231.05</v>
      </c>
      <c r="F1125" s="4" t="str">
        <v>1.73M</v>
      </c>
      <c r="G1125" s="4" t="str">
        <v>2.52%</v>
      </c>
      <c r="H1125" s="3">
        <v>43713</v>
      </c>
      <c r="I1125" s="4">
        <v>234.375</v>
      </c>
      <c r="O1125" s="4">
        <v>412</v>
      </c>
    </row>
    <row r="1126" spans="1:15" x14ac:dyDescent="0.25">
      <c r="A1126" s="3">
        <v>43712</v>
      </c>
      <c r="B1126" s="4">
        <v>230.25</v>
      </c>
      <c r="C1126" s="4">
        <v>229.2</v>
      </c>
      <c r="D1126" s="4">
        <v>231.15</v>
      </c>
      <c r="E1126" s="4">
        <v>223.2</v>
      </c>
      <c r="F1126" s="4" t="str">
        <v>1.61M</v>
      </c>
      <c r="G1126" s="4" t="str">
        <v>0.57%</v>
      </c>
      <c r="H1126" s="3">
        <v>43712</v>
      </c>
      <c r="I1126" s="4">
        <v>227.17500000000001</v>
      </c>
      <c r="O1126" s="4">
        <v>411</v>
      </c>
    </row>
    <row r="1127" spans="1:15" x14ac:dyDescent="0.25">
      <c r="A1127" s="3">
        <v>43711</v>
      </c>
      <c r="B1127" s="4">
        <v>228.95</v>
      </c>
      <c r="C1127" s="4">
        <v>224.8</v>
      </c>
      <c r="D1127" s="4">
        <v>230.85</v>
      </c>
      <c r="E1127" s="4">
        <v>223.05</v>
      </c>
      <c r="F1127" s="4" t="str">
        <v>2.16M</v>
      </c>
      <c r="G1127" s="4" t="str">
        <v>1.64%</v>
      </c>
      <c r="H1127" s="3">
        <v>43711</v>
      </c>
      <c r="I1127" s="4">
        <v>226.95</v>
      </c>
      <c r="O1127" s="4">
        <v>410</v>
      </c>
    </row>
    <row r="1128" spans="1:15" x14ac:dyDescent="0.25">
      <c r="A1128" s="3">
        <v>43707</v>
      </c>
      <c r="B1128" s="4">
        <v>225.25</v>
      </c>
      <c r="C1128" s="4">
        <v>220.8</v>
      </c>
      <c r="D1128" s="4">
        <v>226.4</v>
      </c>
      <c r="E1128" s="4">
        <v>219</v>
      </c>
      <c r="F1128" s="4" t="str">
        <v>1.20M</v>
      </c>
      <c r="G1128" s="4" t="str">
        <v>2.48%</v>
      </c>
      <c r="H1128" s="3">
        <v>43707</v>
      </c>
      <c r="I1128" s="4">
        <v>222.7</v>
      </c>
      <c r="O1128" s="4">
        <v>409</v>
      </c>
    </row>
    <row r="1129" spans="1:15" x14ac:dyDescent="0.25">
      <c r="A1129" s="3">
        <v>43706</v>
      </c>
      <c r="B1129" s="4">
        <v>219.8</v>
      </c>
      <c r="C1129" s="4">
        <v>221.9</v>
      </c>
      <c r="D1129" s="4">
        <v>222.55</v>
      </c>
      <c r="E1129" s="4">
        <v>216.95</v>
      </c>
      <c r="F1129" s="4" t="str">
        <v>1.31M</v>
      </c>
      <c r="G1129" s="4" t="str">
        <v>-1.55%</v>
      </c>
      <c r="H1129" s="3">
        <v>43706</v>
      </c>
      <c r="I1129" s="4">
        <v>219.75</v>
      </c>
      <c r="O1129" s="4">
        <v>408</v>
      </c>
    </row>
    <row r="1130" spans="1:15" x14ac:dyDescent="0.25">
      <c r="A1130" s="3">
        <v>43705</v>
      </c>
      <c r="B1130" s="4">
        <v>223.25</v>
      </c>
      <c r="C1130" s="4">
        <v>218</v>
      </c>
      <c r="D1130" s="4">
        <v>224.7</v>
      </c>
      <c r="E1130" s="4">
        <v>216.55</v>
      </c>
      <c r="F1130" s="4" t="str">
        <v>2.58M</v>
      </c>
      <c r="G1130" s="4" t="str">
        <v>2.34%</v>
      </c>
      <c r="H1130" s="3">
        <v>43705</v>
      </c>
      <c r="I1130" s="4">
        <v>220.625</v>
      </c>
      <c r="O1130" s="4">
        <v>407</v>
      </c>
    </row>
    <row r="1131" spans="1:15" x14ac:dyDescent="0.25">
      <c r="A1131" s="3">
        <v>43704</v>
      </c>
      <c r="B1131" s="4">
        <v>218.15</v>
      </c>
      <c r="C1131" s="4">
        <v>218</v>
      </c>
      <c r="D1131" s="4">
        <v>220.75</v>
      </c>
      <c r="E1131" s="4">
        <v>216.1</v>
      </c>
      <c r="F1131" s="4" t="str">
        <v>2.02M</v>
      </c>
      <c r="G1131" s="4" t="str">
        <v>-0.59%</v>
      </c>
      <c r="H1131" s="3">
        <v>43704</v>
      </c>
      <c r="I1131" s="4">
        <v>218.42500000000001</v>
      </c>
      <c r="O1131" s="4">
        <v>406</v>
      </c>
    </row>
    <row r="1132" spans="1:15" x14ac:dyDescent="0.25">
      <c r="A1132" s="3">
        <v>43703</v>
      </c>
      <c r="B1132" s="4">
        <v>219.45</v>
      </c>
      <c r="C1132" s="4">
        <v>222</v>
      </c>
      <c r="D1132" s="4">
        <v>223.65</v>
      </c>
      <c r="E1132" s="4">
        <v>214.8</v>
      </c>
      <c r="F1132" s="4" t="str">
        <v>1.65M</v>
      </c>
      <c r="G1132" s="4" t="str">
        <v>-0.43%</v>
      </c>
      <c r="H1132" s="3">
        <v>43703</v>
      </c>
      <c r="I1132" s="4">
        <v>219.22500000000002</v>
      </c>
      <c r="O1132" s="4">
        <v>405</v>
      </c>
    </row>
    <row r="1133" spans="1:15" x14ac:dyDescent="0.25">
      <c r="A1133" s="3">
        <v>43700</v>
      </c>
      <c r="B1133" s="4">
        <v>220.4</v>
      </c>
      <c r="C1133" s="4">
        <v>212.1</v>
      </c>
      <c r="D1133" s="4">
        <v>222.15</v>
      </c>
      <c r="E1133" s="4">
        <v>209.4</v>
      </c>
      <c r="F1133" s="4" t="str">
        <v>1.61M</v>
      </c>
      <c r="G1133" s="4" t="str">
        <v>3.06%</v>
      </c>
      <c r="H1133" s="3">
        <v>43700</v>
      </c>
      <c r="I1133" s="4">
        <v>215.77500000000001</v>
      </c>
      <c r="O1133" s="4">
        <v>404</v>
      </c>
    </row>
    <row r="1134" spans="1:15" x14ac:dyDescent="0.25">
      <c r="A1134" s="3">
        <v>43699</v>
      </c>
      <c r="B1134" s="4">
        <v>213.85</v>
      </c>
      <c r="C1134" s="4">
        <v>210</v>
      </c>
      <c r="D1134" s="4">
        <v>217.3</v>
      </c>
      <c r="E1134" s="4">
        <v>206.5</v>
      </c>
      <c r="F1134" s="4" t="str">
        <v>2.37M</v>
      </c>
      <c r="G1134" s="4" t="str">
        <v>-0.14%</v>
      </c>
      <c r="H1134" s="3">
        <v>43699</v>
      </c>
      <c r="I1134" s="4">
        <v>211.9</v>
      </c>
      <c r="O1134" s="4">
        <v>403</v>
      </c>
    </row>
    <row r="1135" spans="1:15" x14ac:dyDescent="0.25">
      <c r="A1135" s="3">
        <v>43698</v>
      </c>
      <c r="B1135" s="4">
        <v>214.15</v>
      </c>
      <c r="C1135" s="4">
        <v>218.05</v>
      </c>
      <c r="D1135" s="4">
        <v>220.3</v>
      </c>
      <c r="E1135" s="4">
        <v>211.1</v>
      </c>
      <c r="F1135" s="4" t="str">
        <v>1.04M</v>
      </c>
      <c r="G1135" s="4" t="str">
        <v>-2.37%</v>
      </c>
      <c r="H1135" s="3">
        <v>43698</v>
      </c>
      <c r="I1135" s="4">
        <v>215.7</v>
      </c>
      <c r="O1135" s="4">
        <v>402</v>
      </c>
    </row>
    <row r="1136" spans="1:15" x14ac:dyDescent="0.25">
      <c r="A1136" s="3">
        <v>43697</v>
      </c>
      <c r="B1136" s="4">
        <v>219.35</v>
      </c>
      <c r="C1136" s="4">
        <v>219.85</v>
      </c>
      <c r="D1136" s="4">
        <v>220</v>
      </c>
      <c r="E1136" s="4">
        <v>214.4</v>
      </c>
      <c r="F1136" s="4" t="str">
        <v>2.02M</v>
      </c>
      <c r="G1136" s="4" t="str">
        <v>0.27%</v>
      </c>
      <c r="H1136" s="3">
        <v>43697</v>
      </c>
      <c r="I1136" s="4">
        <v>217.2</v>
      </c>
      <c r="O1136" s="4">
        <v>401</v>
      </c>
    </row>
    <row r="1137" spans="1:15" x14ac:dyDescent="0.25">
      <c r="A1137" s="3">
        <v>43696</v>
      </c>
      <c r="B1137" s="4">
        <v>218.75</v>
      </c>
      <c r="C1137" s="4">
        <v>218.95</v>
      </c>
      <c r="D1137" s="4">
        <v>219.4</v>
      </c>
      <c r="E1137" s="4">
        <v>216.75</v>
      </c>
      <c r="F1137" s="4" t="str">
        <v>975.03K</v>
      </c>
      <c r="G1137" s="4" t="str">
        <v>0.46%</v>
      </c>
      <c r="H1137" s="3">
        <v>43696</v>
      </c>
      <c r="I1137" s="4">
        <v>218.07499999999999</v>
      </c>
      <c r="O1137" s="4">
        <v>400</v>
      </c>
    </row>
    <row r="1138" spans="1:15" x14ac:dyDescent="0.25">
      <c r="A1138" s="3">
        <v>43693</v>
      </c>
      <c r="B1138" s="4">
        <v>217.75</v>
      </c>
      <c r="C1138" s="4">
        <v>218</v>
      </c>
      <c r="D1138" s="4">
        <v>219</v>
      </c>
      <c r="E1138" s="4">
        <v>214.75</v>
      </c>
      <c r="F1138" s="4" t="str">
        <v>1.62M</v>
      </c>
      <c r="G1138" s="4" t="str">
        <v>-0.11%</v>
      </c>
      <c r="H1138" s="3">
        <v>43693</v>
      </c>
      <c r="I1138" s="4">
        <v>216.875</v>
      </c>
      <c r="O1138" s="4">
        <v>399</v>
      </c>
    </row>
    <row r="1139" spans="1:15" x14ac:dyDescent="0.25">
      <c r="A1139" s="3">
        <v>43691</v>
      </c>
      <c r="B1139" s="4">
        <v>218</v>
      </c>
      <c r="C1139" s="4">
        <v>222.45</v>
      </c>
      <c r="D1139" s="4">
        <v>222.45</v>
      </c>
      <c r="E1139" s="4">
        <v>213.55</v>
      </c>
      <c r="F1139" s="4" t="str">
        <v>2.06M</v>
      </c>
      <c r="G1139" s="4" t="str">
        <v>-0.77%</v>
      </c>
      <c r="H1139" s="3">
        <v>43691</v>
      </c>
      <c r="I1139" s="4">
        <v>218</v>
      </c>
      <c r="O1139" s="4">
        <v>398</v>
      </c>
    </row>
    <row r="1140" spans="1:15" x14ac:dyDescent="0.25">
      <c r="A1140" s="3">
        <v>43690</v>
      </c>
      <c r="B1140" s="4">
        <v>219.7</v>
      </c>
      <c r="C1140" s="4">
        <v>233.7</v>
      </c>
      <c r="D1140" s="4">
        <v>233.7</v>
      </c>
      <c r="E1140" s="4">
        <v>218.1</v>
      </c>
      <c r="F1140" s="4" t="str">
        <v>2.44M</v>
      </c>
      <c r="G1140" s="4" t="str">
        <v>-4.62%</v>
      </c>
      <c r="H1140" s="3">
        <v>43690</v>
      </c>
      <c r="I1140" s="4">
        <v>225.89999999999998</v>
      </c>
      <c r="O1140" s="4">
        <v>397</v>
      </c>
    </row>
    <row r="1141" spans="1:15" x14ac:dyDescent="0.25">
      <c r="A1141" s="3">
        <v>43686</v>
      </c>
      <c r="B1141" s="4">
        <v>230.35</v>
      </c>
      <c r="C1141" s="4">
        <v>236</v>
      </c>
      <c r="D1141" s="4">
        <v>236.1</v>
      </c>
      <c r="E1141" s="4">
        <v>223.15</v>
      </c>
      <c r="F1141" s="4" t="str">
        <v>2.84M</v>
      </c>
      <c r="G1141" s="4" t="str">
        <v>-1.85%</v>
      </c>
      <c r="H1141" s="3">
        <v>43686</v>
      </c>
      <c r="I1141" s="4">
        <v>229.625</v>
      </c>
      <c r="O1141" s="4">
        <v>396</v>
      </c>
    </row>
    <row r="1142" spans="1:15" x14ac:dyDescent="0.25">
      <c r="A1142" s="3">
        <v>43685</v>
      </c>
      <c r="B1142" s="4">
        <v>234.7</v>
      </c>
      <c r="C1142" s="4">
        <v>229</v>
      </c>
      <c r="D1142" s="4">
        <v>236</v>
      </c>
      <c r="E1142" s="4">
        <v>226.5</v>
      </c>
      <c r="F1142" s="4" t="str">
        <v>1.98M</v>
      </c>
      <c r="G1142" s="4" t="str">
        <v>3.12%</v>
      </c>
      <c r="H1142" s="3">
        <v>43685</v>
      </c>
      <c r="I1142" s="4">
        <v>231.25</v>
      </c>
      <c r="O1142" s="4">
        <v>395</v>
      </c>
    </row>
    <row r="1143" spans="1:15" x14ac:dyDescent="0.25">
      <c r="A1143" s="3">
        <v>43684</v>
      </c>
      <c r="B1143" s="4">
        <v>227.6</v>
      </c>
      <c r="C1143" s="4">
        <v>226</v>
      </c>
      <c r="D1143" s="4">
        <v>233.4</v>
      </c>
      <c r="E1143" s="4">
        <v>218.1</v>
      </c>
      <c r="F1143" s="4" t="str">
        <v>3.80M</v>
      </c>
      <c r="G1143" s="4" t="str">
        <v>0.60%</v>
      </c>
      <c r="H1143" s="3">
        <v>43684</v>
      </c>
      <c r="I1143" s="4">
        <v>225.75</v>
      </c>
      <c r="O1143" s="4">
        <v>394</v>
      </c>
    </row>
    <row r="1144" spans="1:15" x14ac:dyDescent="0.25">
      <c r="A1144" s="3">
        <v>43683</v>
      </c>
      <c r="B1144" s="4">
        <v>226.25</v>
      </c>
      <c r="C1144" s="4">
        <v>223.45</v>
      </c>
      <c r="D1144" s="4">
        <v>227.45</v>
      </c>
      <c r="E1144" s="4">
        <v>221.55</v>
      </c>
      <c r="F1144" s="4" t="str">
        <v>1.43M</v>
      </c>
      <c r="G1144" s="4" t="str">
        <v>1.19%</v>
      </c>
      <c r="H1144" s="3">
        <v>43683</v>
      </c>
      <c r="I1144" s="4">
        <v>224.5</v>
      </c>
      <c r="O1144" s="4">
        <v>393</v>
      </c>
    </row>
    <row r="1145" spans="1:15" x14ac:dyDescent="0.25">
      <c r="A1145" s="3">
        <v>43682</v>
      </c>
      <c r="B1145" s="4">
        <v>223.6</v>
      </c>
      <c r="C1145" s="4">
        <v>223.7</v>
      </c>
      <c r="D1145" s="4">
        <v>226.9</v>
      </c>
      <c r="E1145" s="4">
        <v>218.85</v>
      </c>
      <c r="F1145" s="4" t="str">
        <v>954.59K</v>
      </c>
      <c r="G1145" s="4" t="str">
        <v>-0.75%</v>
      </c>
      <c r="H1145" s="3">
        <v>43682</v>
      </c>
      <c r="I1145" s="4">
        <v>222.875</v>
      </c>
      <c r="O1145" s="4">
        <v>392</v>
      </c>
    </row>
    <row r="1146" spans="1:15" x14ac:dyDescent="0.25">
      <c r="A1146" s="3">
        <v>43679</v>
      </c>
      <c r="B1146" s="4">
        <v>225.3</v>
      </c>
      <c r="C1146" s="4">
        <v>225.25</v>
      </c>
      <c r="D1146" s="4">
        <v>230.3</v>
      </c>
      <c r="E1146" s="4">
        <v>220.15</v>
      </c>
      <c r="F1146" s="4" t="str">
        <v>1.97M</v>
      </c>
      <c r="G1146" s="4" t="str">
        <v>-0.44%</v>
      </c>
      <c r="H1146" s="3">
        <v>43679</v>
      </c>
      <c r="I1146" s="4">
        <v>225.22500000000002</v>
      </c>
      <c r="O1146" s="4">
        <v>391</v>
      </c>
    </row>
    <row r="1147" spans="1:15" x14ac:dyDescent="0.25">
      <c r="A1147" s="3">
        <v>43678</v>
      </c>
      <c r="B1147" s="4">
        <v>226.3</v>
      </c>
      <c r="C1147" s="4">
        <v>227.9</v>
      </c>
      <c r="D1147" s="4">
        <v>229.15</v>
      </c>
      <c r="E1147" s="4">
        <v>222</v>
      </c>
      <c r="F1147" s="4" t="str">
        <v>1.51M</v>
      </c>
      <c r="G1147" s="4" t="str">
        <v>-0.66%</v>
      </c>
      <c r="H1147" s="3">
        <v>43678</v>
      </c>
      <c r="I1147" s="4">
        <v>225.57499999999999</v>
      </c>
      <c r="O1147" s="4">
        <v>390</v>
      </c>
    </row>
    <row r="1148" spans="1:15" x14ac:dyDescent="0.25">
      <c r="A1148" s="3">
        <v>43677</v>
      </c>
      <c r="B1148" s="4">
        <v>227.8</v>
      </c>
      <c r="C1148" s="4">
        <v>218.6</v>
      </c>
      <c r="D1148" s="4">
        <v>229</v>
      </c>
      <c r="E1148" s="4">
        <v>216.3</v>
      </c>
      <c r="F1148" s="4" t="str">
        <v>1.02M</v>
      </c>
      <c r="G1148" s="4" t="str">
        <v>3.52%</v>
      </c>
      <c r="H1148" s="3">
        <v>43677</v>
      </c>
      <c r="I1148" s="4">
        <v>222.65</v>
      </c>
      <c r="O1148" s="4">
        <v>389</v>
      </c>
    </row>
    <row r="1149" spans="1:15" x14ac:dyDescent="0.25">
      <c r="A1149" s="3">
        <v>43676</v>
      </c>
      <c r="B1149" s="4">
        <v>220.05</v>
      </c>
      <c r="C1149" s="4">
        <v>228.5</v>
      </c>
      <c r="D1149" s="4">
        <v>231.85</v>
      </c>
      <c r="E1149" s="4">
        <v>219</v>
      </c>
      <c r="F1149" s="4" t="str">
        <v>1.29M</v>
      </c>
      <c r="G1149" s="4" t="str">
        <v>-3.19%</v>
      </c>
      <c r="H1149" s="3">
        <v>43676</v>
      </c>
      <c r="I1149" s="4">
        <v>225.42500000000001</v>
      </c>
      <c r="O1149" s="4">
        <v>388</v>
      </c>
    </row>
    <row r="1150" spans="1:15" x14ac:dyDescent="0.25">
      <c r="A1150" s="3">
        <v>43675</v>
      </c>
      <c r="B1150" s="4">
        <v>227.3</v>
      </c>
      <c r="C1150" s="4">
        <v>238</v>
      </c>
      <c r="D1150" s="4">
        <v>238.3</v>
      </c>
      <c r="E1150" s="4">
        <v>225.8</v>
      </c>
      <c r="F1150" s="4" t="str">
        <v>2.06M</v>
      </c>
      <c r="G1150" s="4" t="str">
        <v>-2.93%</v>
      </c>
      <c r="H1150" s="3">
        <v>43675</v>
      </c>
      <c r="I1150" s="4">
        <v>232.05</v>
      </c>
      <c r="O1150" s="4">
        <v>387</v>
      </c>
    </row>
    <row r="1151" spans="1:15" x14ac:dyDescent="0.25">
      <c r="A1151" s="3">
        <v>43672</v>
      </c>
      <c r="B1151" s="4">
        <v>234.15</v>
      </c>
      <c r="C1151" s="4">
        <v>231</v>
      </c>
      <c r="D1151" s="4">
        <v>234.9</v>
      </c>
      <c r="E1151" s="4">
        <v>228.15</v>
      </c>
      <c r="F1151" s="4" t="str">
        <v>608.19K</v>
      </c>
      <c r="G1151" s="4" t="str">
        <v>1.72%</v>
      </c>
      <c r="H1151" s="3">
        <v>43672</v>
      </c>
      <c r="I1151" s="4">
        <v>231.52500000000001</v>
      </c>
      <c r="O1151" s="4">
        <v>386</v>
      </c>
    </row>
    <row r="1152" spans="1:15" x14ac:dyDescent="0.25">
      <c r="A1152" s="3">
        <v>43671</v>
      </c>
      <c r="B1152" s="4">
        <v>230.2</v>
      </c>
      <c r="C1152" s="4">
        <v>227.4</v>
      </c>
      <c r="D1152" s="4">
        <v>235.2</v>
      </c>
      <c r="E1152" s="4">
        <v>226.5</v>
      </c>
      <c r="F1152" s="4" t="str">
        <v>1.46M</v>
      </c>
      <c r="G1152" s="4" t="str">
        <v>0.28%</v>
      </c>
      <c r="H1152" s="3">
        <v>43671</v>
      </c>
      <c r="I1152" s="4">
        <v>230.85</v>
      </c>
      <c r="O1152" s="4">
        <v>385</v>
      </c>
    </row>
    <row r="1153" spans="1:15" x14ac:dyDescent="0.25">
      <c r="A1153" s="3">
        <v>43670</v>
      </c>
      <c r="B1153" s="4">
        <v>229.55</v>
      </c>
      <c r="C1153" s="4">
        <v>234.2</v>
      </c>
      <c r="D1153" s="4">
        <v>236.5</v>
      </c>
      <c r="E1153" s="4">
        <v>227</v>
      </c>
      <c r="F1153" s="4" t="str">
        <v>882.09K</v>
      </c>
      <c r="G1153" s="4" t="str">
        <v>-2.63%</v>
      </c>
      <c r="H1153" s="3">
        <v>43670</v>
      </c>
      <c r="I1153" s="4">
        <v>231.75</v>
      </c>
      <c r="O1153" s="4">
        <v>384</v>
      </c>
    </row>
    <row r="1154" spans="1:15" x14ac:dyDescent="0.25">
      <c r="A1154" s="3">
        <v>43669</v>
      </c>
      <c r="B1154" s="4">
        <v>235.75</v>
      </c>
      <c r="C1154" s="4">
        <v>236.1</v>
      </c>
      <c r="D1154" s="4">
        <v>237.65</v>
      </c>
      <c r="E1154" s="4">
        <v>233.1</v>
      </c>
      <c r="F1154" s="4" t="str">
        <v>932.73K</v>
      </c>
      <c r="G1154" s="4" t="str">
        <v>-0.06%</v>
      </c>
      <c r="H1154" s="3">
        <v>43669</v>
      </c>
      <c r="I1154" s="4">
        <v>235.375</v>
      </c>
      <c r="O1154" s="4">
        <v>383</v>
      </c>
    </row>
    <row r="1155" spans="1:15" x14ac:dyDescent="0.25">
      <c r="A1155" s="3">
        <v>43668</v>
      </c>
      <c r="B1155" s="4">
        <v>235.9</v>
      </c>
      <c r="C1155" s="4">
        <v>228.25</v>
      </c>
      <c r="D1155" s="4">
        <v>236.65</v>
      </c>
      <c r="E1155" s="4">
        <v>225.8</v>
      </c>
      <c r="F1155" s="4" t="str">
        <v>1.71M</v>
      </c>
      <c r="G1155" s="4" t="str">
        <v>3.28%</v>
      </c>
      <c r="H1155" s="3">
        <v>43668</v>
      </c>
      <c r="I1155" s="4">
        <v>231.22500000000002</v>
      </c>
      <c r="O1155" s="4">
        <v>382</v>
      </c>
    </row>
    <row r="1156" spans="1:15" x14ac:dyDescent="0.25">
      <c r="A1156" s="3">
        <v>43665</v>
      </c>
      <c r="B1156" s="4">
        <v>228.4</v>
      </c>
      <c r="C1156" s="4">
        <v>234.7</v>
      </c>
      <c r="D1156" s="4">
        <v>235.55</v>
      </c>
      <c r="E1156" s="4">
        <v>227.3</v>
      </c>
      <c r="F1156" s="4" t="str">
        <v>1.48M</v>
      </c>
      <c r="G1156" s="4" t="str">
        <v>-1.19%</v>
      </c>
      <c r="H1156" s="3">
        <v>43665</v>
      </c>
      <c r="I1156" s="4">
        <v>231.42500000000001</v>
      </c>
      <c r="O1156" s="4">
        <v>381</v>
      </c>
    </row>
    <row r="1157" spans="1:15" x14ac:dyDescent="0.25">
      <c r="A1157" s="3">
        <v>43664</v>
      </c>
      <c r="B1157" s="4">
        <v>231.15</v>
      </c>
      <c r="C1157" s="4">
        <v>241.35</v>
      </c>
      <c r="D1157" s="4">
        <v>242.75</v>
      </c>
      <c r="E1157" s="4">
        <v>229</v>
      </c>
      <c r="F1157" s="4" t="str">
        <v>1.24M</v>
      </c>
      <c r="G1157" s="4" t="str">
        <v>-4.03%</v>
      </c>
      <c r="H1157" s="3">
        <v>43664</v>
      </c>
      <c r="I1157" s="4">
        <v>235.875</v>
      </c>
      <c r="O1157" s="4">
        <v>380</v>
      </c>
    </row>
    <row r="1158" spans="1:15" x14ac:dyDescent="0.25">
      <c r="A1158" s="3">
        <v>43663</v>
      </c>
      <c r="B1158" s="4">
        <v>240.85</v>
      </c>
      <c r="C1158" s="4">
        <v>246.05</v>
      </c>
      <c r="D1158" s="4">
        <v>246.95</v>
      </c>
      <c r="E1158" s="4">
        <v>238.75</v>
      </c>
      <c r="F1158" s="4" t="str">
        <v>2.02M</v>
      </c>
      <c r="G1158" s="4" t="str">
        <v>-1.73%</v>
      </c>
      <c r="H1158" s="3">
        <v>43663</v>
      </c>
      <c r="I1158" s="4">
        <v>242.85</v>
      </c>
      <c r="O1158" s="4">
        <v>379</v>
      </c>
    </row>
    <row r="1159" spans="1:15" x14ac:dyDescent="0.25">
      <c r="A1159" s="3">
        <v>43662</v>
      </c>
      <c r="B1159" s="4">
        <v>245.1</v>
      </c>
      <c r="C1159" s="4">
        <v>239</v>
      </c>
      <c r="D1159" s="4">
        <v>247.4</v>
      </c>
      <c r="E1159" s="4">
        <v>238.5</v>
      </c>
      <c r="F1159" s="4" t="str">
        <v>2.93M</v>
      </c>
      <c r="G1159" s="4" t="str">
        <v>2.85%</v>
      </c>
      <c r="H1159" s="3">
        <v>43662</v>
      </c>
      <c r="I1159" s="4">
        <v>242.95</v>
      </c>
      <c r="O1159" s="4">
        <v>378</v>
      </c>
    </row>
    <row r="1160" spans="1:15" x14ac:dyDescent="0.25">
      <c r="A1160" s="3">
        <v>43661</v>
      </c>
      <c r="B1160" s="4">
        <v>238.3</v>
      </c>
      <c r="C1160" s="4">
        <v>236.15</v>
      </c>
      <c r="D1160" s="4">
        <v>238.9</v>
      </c>
      <c r="E1160" s="4">
        <v>230.7</v>
      </c>
      <c r="F1160" s="4" t="str">
        <v>1.31M</v>
      </c>
      <c r="G1160" s="4" t="str">
        <v>0.89%</v>
      </c>
      <c r="H1160" s="3">
        <v>43661</v>
      </c>
      <c r="I1160" s="4">
        <v>234.8</v>
      </c>
      <c r="O1160" s="4">
        <v>377</v>
      </c>
    </row>
    <row r="1161" spans="1:15" x14ac:dyDescent="0.25">
      <c r="A1161" s="3">
        <v>43658</v>
      </c>
      <c r="B1161" s="4">
        <v>236.2</v>
      </c>
      <c r="C1161" s="4">
        <v>235</v>
      </c>
      <c r="D1161" s="4">
        <v>239.2</v>
      </c>
      <c r="E1161" s="4">
        <v>232.5</v>
      </c>
      <c r="F1161" s="4" t="str">
        <v>1.24M</v>
      </c>
      <c r="G1161" s="4" t="str">
        <v>0.79%</v>
      </c>
      <c r="H1161" s="3">
        <v>43658</v>
      </c>
      <c r="I1161" s="4">
        <v>235.85</v>
      </c>
      <c r="O1161" s="4">
        <v>376</v>
      </c>
    </row>
    <row r="1162" spans="1:15" x14ac:dyDescent="0.25">
      <c r="A1162" s="3">
        <v>43657</v>
      </c>
      <c r="B1162" s="4">
        <v>234.35</v>
      </c>
      <c r="C1162" s="4">
        <v>229</v>
      </c>
      <c r="D1162" s="4">
        <v>236.5</v>
      </c>
      <c r="E1162" s="4">
        <v>229</v>
      </c>
      <c r="F1162" s="4" t="str">
        <v>1.20M</v>
      </c>
      <c r="G1162" s="4" t="str">
        <v>2.65%</v>
      </c>
      <c r="H1162" s="3">
        <v>43657</v>
      </c>
      <c r="I1162" s="4">
        <v>232.75</v>
      </c>
      <c r="O1162" s="4">
        <v>375</v>
      </c>
    </row>
    <row r="1163" spans="1:15" x14ac:dyDescent="0.25">
      <c r="A1163" s="3">
        <v>43656</v>
      </c>
      <c r="B1163" s="4">
        <v>228.3</v>
      </c>
      <c r="C1163" s="4">
        <v>230.9</v>
      </c>
      <c r="D1163" s="4">
        <v>232.95</v>
      </c>
      <c r="E1163" s="4">
        <v>227.25</v>
      </c>
      <c r="F1163" s="4" t="str">
        <v>811.88K</v>
      </c>
      <c r="G1163" s="4" t="str">
        <v>-1.06%</v>
      </c>
      <c r="H1163" s="3">
        <v>43656</v>
      </c>
      <c r="I1163" s="4">
        <v>230.1</v>
      </c>
      <c r="O1163" s="4">
        <v>374</v>
      </c>
    </row>
    <row r="1164" spans="1:15" x14ac:dyDescent="0.25">
      <c r="A1164" s="3">
        <v>43655</v>
      </c>
      <c r="B1164" s="4">
        <v>230.75</v>
      </c>
      <c r="C1164" s="4">
        <v>222.65</v>
      </c>
      <c r="D1164" s="4">
        <v>231.5</v>
      </c>
      <c r="E1164" s="4">
        <v>222.55</v>
      </c>
      <c r="F1164" s="4" t="str">
        <v>1.22M</v>
      </c>
      <c r="G1164" s="4" t="str">
        <v>2.72%</v>
      </c>
      <c r="H1164" s="3">
        <v>43655</v>
      </c>
      <c r="I1164" s="4">
        <v>227.02500000000001</v>
      </c>
      <c r="O1164" s="4">
        <v>373</v>
      </c>
    </row>
    <row r="1165" spans="1:15" x14ac:dyDescent="0.25">
      <c r="A1165" s="3">
        <v>43654</v>
      </c>
      <c r="B1165" s="4">
        <v>224.65</v>
      </c>
      <c r="C1165" s="4">
        <v>228.6</v>
      </c>
      <c r="D1165" s="4">
        <v>230.1</v>
      </c>
      <c r="E1165" s="4">
        <v>223.45</v>
      </c>
      <c r="F1165" s="4" t="str">
        <v>938.90K</v>
      </c>
      <c r="G1165" s="4" t="str">
        <v>-1.77%</v>
      </c>
      <c r="H1165" s="3">
        <v>43654</v>
      </c>
      <c r="I1165" s="4">
        <v>226.77499999999998</v>
      </c>
      <c r="O1165" s="4">
        <v>372</v>
      </c>
    </row>
    <row r="1166" spans="1:15" x14ac:dyDescent="0.25">
      <c r="A1166" s="3">
        <v>43651</v>
      </c>
      <c r="B1166" s="4">
        <v>228.7</v>
      </c>
      <c r="C1166" s="4">
        <v>237.8</v>
      </c>
      <c r="D1166" s="4">
        <v>237.8</v>
      </c>
      <c r="E1166" s="4">
        <v>226.85</v>
      </c>
      <c r="F1166" s="4" t="str">
        <v>1.44M</v>
      </c>
      <c r="G1166" s="4" t="str">
        <v>-3.40%</v>
      </c>
      <c r="H1166" s="3">
        <v>43651</v>
      </c>
      <c r="I1166" s="4">
        <v>232.32499999999999</v>
      </c>
      <c r="O1166" s="4">
        <v>371</v>
      </c>
    </row>
    <row r="1167" spans="1:15" x14ac:dyDescent="0.25">
      <c r="A1167" s="3">
        <v>43650</v>
      </c>
      <c r="B1167" s="4">
        <v>236.75</v>
      </c>
      <c r="C1167" s="4">
        <v>237.7</v>
      </c>
      <c r="D1167" s="4">
        <v>238.6</v>
      </c>
      <c r="E1167" s="4">
        <v>235.25</v>
      </c>
      <c r="F1167" s="4" t="str">
        <v>450.56K</v>
      </c>
      <c r="G1167" s="4" t="str">
        <v>-0.15%</v>
      </c>
      <c r="H1167" s="3">
        <v>43650</v>
      </c>
      <c r="I1167" s="4">
        <v>236.92500000000001</v>
      </c>
      <c r="O1167" s="4">
        <v>370</v>
      </c>
    </row>
    <row r="1168" spans="1:15" x14ac:dyDescent="0.25">
      <c r="A1168" s="3">
        <v>43649</v>
      </c>
      <c r="B1168" s="4">
        <v>237.1</v>
      </c>
      <c r="C1168" s="4">
        <v>235.9</v>
      </c>
      <c r="D1168" s="4">
        <v>238.2</v>
      </c>
      <c r="E1168" s="4">
        <v>232.3</v>
      </c>
      <c r="F1168" s="4" t="str">
        <v>1.16M</v>
      </c>
      <c r="G1168" s="4" t="str">
        <v>0.51%</v>
      </c>
      <c r="H1168" s="3">
        <v>43649</v>
      </c>
      <c r="I1168" s="4">
        <v>235.25</v>
      </c>
      <c r="O1168" s="4">
        <v>369</v>
      </c>
    </row>
    <row r="1169" spans="1:15" x14ac:dyDescent="0.25">
      <c r="A1169" s="3">
        <v>43648</v>
      </c>
      <c r="B1169" s="4">
        <v>235.9</v>
      </c>
      <c r="C1169" s="4">
        <v>240.1</v>
      </c>
      <c r="D1169" s="4">
        <v>241.9</v>
      </c>
      <c r="E1169" s="4">
        <v>235.1</v>
      </c>
      <c r="F1169" s="4" t="str">
        <v>678.95K</v>
      </c>
      <c r="G1169" s="4" t="str">
        <v>-1.85%</v>
      </c>
      <c r="H1169" s="3">
        <v>43648</v>
      </c>
      <c r="I1169" s="4">
        <v>238.5</v>
      </c>
      <c r="O1169" s="4">
        <v>368</v>
      </c>
    </row>
    <row r="1170" spans="1:15" x14ac:dyDescent="0.25">
      <c r="A1170" s="3">
        <v>43647</v>
      </c>
      <c r="B1170" s="4">
        <v>240.35</v>
      </c>
      <c r="C1170" s="4">
        <v>240</v>
      </c>
      <c r="D1170" s="4">
        <v>246.25</v>
      </c>
      <c r="E1170" s="4">
        <v>239.05</v>
      </c>
      <c r="F1170" s="4" t="str">
        <v>1.47M</v>
      </c>
      <c r="G1170" s="4" t="str">
        <v>-0.56%</v>
      </c>
      <c r="H1170" s="3">
        <v>43647</v>
      </c>
      <c r="I1170" s="4">
        <v>242.65</v>
      </c>
      <c r="O1170" s="4">
        <v>367</v>
      </c>
    </row>
    <row r="1171" spans="1:15" x14ac:dyDescent="0.25">
      <c r="A1171" s="3">
        <v>43644</v>
      </c>
      <c r="B1171" s="4">
        <v>241.7</v>
      </c>
      <c r="C1171" s="4">
        <v>239</v>
      </c>
      <c r="D1171" s="4">
        <v>242.9</v>
      </c>
      <c r="E1171" s="4">
        <v>237.85</v>
      </c>
      <c r="F1171" s="4" t="str">
        <v>945.27K</v>
      </c>
      <c r="G1171" s="4" t="str">
        <v>1.62%</v>
      </c>
      <c r="H1171" s="3">
        <v>43644</v>
      </c>
      <c r="I1171" s="4">
        <v>240.375</v>
      </c>
      <c r="O1171" s="4">
        <v>366</v>
      </c>
    </row>
    <row r="1172" spans="1:15" x14ac:dyDescent="0.25">
      <c r="A1172" s="3">
        <v>43643</v>
      </c>
      <c r="B1172" s="4">
        <v>237.85</v>
      </c>
      <c r="C1172" s="4">
        <v>237.2</v>
      </c>
      <c r="D1172" s="4">
        <v>243.45</v>
      </c>
      <c r="E1172" s="4">
        <v>236.65</v>
      </c>
      <c r="F1172" s="4" t="str">
        <v>1.64M</v>
      </c>
      <c r="G1172" s="4" t="str">
        <v>-0.44%</v>
      </c>
      <c r="H1172" s="3">
        <v>43643</v>
      </c>
      <c r="I1172" s="4">
        <v>240.05</v>
      </c>
      <c r="O1172" s="4">
        <v>365</v>
      </c>
    </row>
    <row r="1173" spans="1:15" x14ac:dyDescent="0.25">
      <c r="A1173" s="3">
        <v>43642</v>
      </c>
      <c r="B1173" s="4">
        <v>238.9</v>
      </c>
      <c r="C1173" s="4">
        <v>230</v>
      </c>
      <c r="D1173" s="4">
        <v>240</v>
      </c>
      <c r="E1173" s="4">
        <v>228.4</v>
      </c>
      <c r="F1173" s="4" t="str">
        <v>2.90M</v>
      </c>
      <c r="G1173" s="4" t="str">
        <v>3.69%</v>
      </c>
      <c r="H1173" s="3">
        <v>43642</v>
      </c>
      <c r="I1173" s="4">
        <v>234.2</v>
      </c>
      <c r="O1173" s="4">
        <v>364</v>
      </c>
    </row>
    <row r="1174" spans="1:15" x14ac:dyDescent="0.25">
      <c r="A1174" s="3">
        <v>43641</v>
      </c>
      <c r="B1174" s="4">
        <v>230.4</v>
      </c>
      <c r="C1174" s="4">
        <v>226</v>
      </c>
      <c r="D1174" s="4">
        <v>232.8</v>
      </c>
      <c r="E1174" s="4">
        <v>223.15</v>
      </c>
      <c r="F1174" s="4" t="str">
        <v>2.33M</v>
      </c>
      <c r="G1174" s="4" t="str">
        <v>0.59%</v>
      </c>
      <c r="H1174" s="3">
        <v>43641</v>
      </c>
      <c r="I1174" s="4">
        <v>227.97500000000002</v>
      </c>
      <c r="O1174" s="4">
        <v>363</v>
      </c>
    </row>
    <row r="1175" spans="1:15" x14ac:dyDescent="0.25">
      <c r="A1175" s="3">
        <v>43640</v>
      </c>
      <c r="B1175" s="4">
        <v>229.05</v>
      </c>
      <c r="C1175" s="4">
        <v>235.7</v>
      </c>
      <c r="D1175" s="4">
        <v>236.75</v>
      </c>
      <c r="E1175" s="4">
        <v>224.55</v>
      </c>
      <c r="F1175" s="4" t="str">
        <v>2.06M</v>
      </c>
      <c r="G1175" s="4" t="str">
        <v>-2.55%</v>
      </c>
      <c r="H1175" s="3">
        <v>43640</v>
      </c>
      <c r="I1175" s="4">
        <v>230.65</v>
      </c>
      <c r="O1175" s="4">
        <v>362</v>
      </c>
    </row>
    <row r="1176" spans="1:15" x14ac:dyDescent="0.25">
      <c r="A1176" s="3">
        <v>43637</v>
      </c>
      <c r="B1176" s="4">
        <v>235.05</v>
      </c>
      <c r="C1176" s="4">
        <v>242.85</v>
      </c>
      <c r="D1176" s="4">
        <v>242.85</v>
      </c>
      <c r="E1176" s="4">
        <v>234.35</v>
      </c>
      <c r="F1176" s="4" t="str">
        <v>2.47M</v>
      </c>
      <c r="G1176" s="4" t="str">
        <v>-3.09%</v>
      </c>
      <c r="H1176" s="3">
        <v>43637</v>
      </c>
      <c r="I1176" s="4">
        <v>238.6</v>
      </c>
      <c r="O1176" s="4">
        <v>361</v>
      </c>
    </row>
    <row r="1177" spans="1:15" x14ac:dyDescent="0.25">
      <c r="A1177" s="3">
        <v>43636</v>
      </c>
      <c r="B1177" s="4">
        <v>242.55</v>
      </c>
      <c r="C1177" s="4">
        <v>237.9</v>
      </c>
      <c r="D1177" s="4">
        <v>243.65</v>
      </c>
      <c r="E1177" s="4">
        <v>234</v>
      </c>
      <c r="F1177" s="4" t="str">
        <v>1.53M</v>
      </c>
      <c r="G1177" s="4" t="str">
        <v>1.95%</v>
      </c>
      <c r="H1177" s="3">
        <v>43636</v>
      </c>
      <c r="I1177" s="4">
        <v>238.82499999999999</v>
      </c>
      <c r="O1177" s="4">
        <v>360</v>
      </c>
    </row>
    <row r="1178" spans="1:15" x14ac:dyDescent="0.25">
      <c r="A1178" s="3">
        <v>43635</v>
      </c>
      <c r="B1178" s="4">
        <v>237.9</v>
      </c>
      <c r="C1178" s="4">
        <v>232.1</v>
      </c>
      <c r="D1178" s="4">
        <v>239</v>
      </c>
      <c r="E1178" s="4">
        <v>231.8</v>
      </c>
      <c r="F1178" s="4" t="str">
        <v>2.59M</v>
      </c>
      <c r="G1178" s="4" t="str">
        <v>1.69%</v>
      </c>
      <c r="H1178" s="3">
        <v>43635</v>
      </c>
      <c r="I1178" s="4">
        <v>235.4</v>
      </c>
      <c r="O1178" s="4">
        <v>359</v>
      </c>
    </row>
    <row r="1179" spans="1:15" x14ac:dyDescent="0.25">
      <c r="A1179" s="3">
        <v>43634</v>
      </c>
      <c r="B1179" s="4">
        <v>233.95</v>
      </c>
      <c r="C1179" s="4">
        <v>242.5</v>
      </c>
      <c r="D1179" s="4">
        <v>244</v>
      </c>
      <c r="E1179" s="4">
        <v>233</v>
      </c>
      <c r="F1179" s="4" t="str">
        <v>2.79M</v>
      </c>
      <c r="G1179" s="4" t="str">
        <v>-3.68%</v>
      </c>
      <c r="H1179" s="3">
        <v>43634</v>
      </c>
      <c r="I1179" s="4">
        <v>238.5</v>
      </c>
      <c r="O1179" s="4">
        <v>358</v>
      </c>
    </row>
    <row r="1180" spans="1:15" x14ac:dyDescent="0.25">
      <c r="A1180" s="3">
        <v>43633</v>
      </c>
      <c r="B1180" s="4">
        <v>242.9</v>
      </c>
      <c r="C1180" s="4">
        <v>246.5</v>
      </c>
      <c r="D1180" s="4">
        <v>248.85</v>
      </c>
      <c r="E1180" s="4">
        <v>242</v>
      </c>
      <c r="F1180" s="4" t="str">
        <v>1.51M</v>
      </c>
      <c r="G1180" s="4" t="str">
        <v>-1.10%</v>
      </c>
      <c r="H1180" s="3">
        <v>43633</v>
      </c>
      <c r="I1180" s="4">
        <v>245.42500000000001</v>
      </c>
      <c r="O1180" s="4">
        <v>357</v>
      </c>
    </row>
    <row r="1181" spans="1:15" x14ac:dyDescent="0.25">
      <c r="A1181" s="3">
        <v>43630</v>
      </c>
      <c r="B1181" s="4">
        <v>245.6</v>
      </c>
      <c r="C1181" s="4">
        <v>246.85</v>
      </c>
      <c r="D1181" s="4">
        <v>248.65</v>
      </c>
      <c r="E1181" s="4">
        <v>241.5</v>
      </c>
      <c r="F1181" s="4" t="str">
        <v>2.06M</v>
      </c>
      <c r="G1181" s="4" t="str">
        <v>-0.08%</v>
      </c>
      <c r="H1181" s="3">
        <v>43630</v>
      </c>
      <c r="I1181" s="4">
        <v>245.07499999999999</v>
      </c>
      <c r="O1181" s="4">
        <v>356</v>
      </c>
    </row>
    <row r="1182" spans="1:15" x14ac:dyDescent="0.25">
      <c r="A1182" s="3">
        <v>43629</v>
      </c>
      <c r="B1182" s="4">
        <v>245.8</v>
      </c>
      <c r="C1182" s="4">
        <v>246.2</v>
      </c>
      <c r="D1182" s="4">
        <v>248.15</v>
      </c>
      <c r="E1182" s="4">
        <v>244.15</v>
      </c>
      <c r="F1182" s="4" t="str">
        <v>1.51M</v>
      </c>
      <c r="G1182" s="4" t="str">
        <v>-0.16%</v>
      </c>
      <c r="H1182" s="3">
        <v>43629</v>
      </c>
      <c r="I1182" s="4">
        <v>246.15</v>
      </c>
      <c r="O1182" s="4">
        <v>355</v>
      </c>
    </row>
    <row r="1183" spans="1:15" x14ac:dyDescent="0.25">
      <c r="A1183" s="3">
        <v>43628</v>
      </c>
      <c r="B1183" s="4">
        <v>246.2</v>
      </c>
      <c r="C1183" s="4">
        <v>251</v>
      </c>
      <c r="D1183" s="4">
        <v>253.85</v>
      </c>
      <c r="E1183" s="4">
        <v>245</v>
      </c>
      <c r="F1183" s="4" t="str">
        <v>2.01M</v>
      </c>
      <c r="G1183" s="4" t="str">
        <v>-1.83%</v>
      </c>
      <c r="H1183" s="3">
        <v>43628</v>
      </c>
      <c r="I1183" s="4">
        <v>249.42500000000001</v>
      </c>
      <c r="O1183" s="4">
        <v>354</v>
      </c>
    </row>
    <row r="1184" spans="1:15" x14ac:dyDescent="0.25">
      <c r="A1184" s="3">
        <v>43627</v>
      </c>
      <c r="B1184" s="4">
        <v>250.8</v>
      </c>
      <c r="C1184" s="4">
        <v>247.2</v>
      </c>
      <c r="D1184" s="4">
        <v>252.7</v>
      </c>
      <c r="E1184" s="4">
        <v>241.5</v>
      </c>
      <c r="F1184" s="4" t="str">
        <v>3.84M</v>
      </c>
      <c r="G1184" s="4" t="str">
        <v>1.29%</v>
      </c>
      <c r="H1184" s="3">
        <v>43627</v>
      </c>
      <c r="I1184" s="4">
        <v>247.1</v>
      </c>
      <c r="O1184" s="4">
        <v>353</v>
      </c>
    </row>
    <row r="1185" spans="1:15" x14ac:dyDescent="0.25">
      <c r="A1185" s="3">
        <v>43626</v>
      </c>
      <c r="B1185" s="4">
        <v>247.6</v>
      </c>
      <c r="C1185" s="4">
        <v>244.9</v>
      </c>
      <c r="D1185" s="4">
        <v>250.75</v>
      </c>
      <c r="E1185" s="4">
        <v>241.1</v>
      </c>
      <c r="F1185" s="4" t="str">
        <v>3.58M</v>
      </c>
      <c r="G1185" s="4" t="str">
        <v>2.02%</v>
      </c>
      <c r="H1185" s="3">
        <v>43626</v>
      </c>
      <c r="I1185" s="4">
        <v>245.92500000000001</v>
      </c>
      <c r="O1185" s="4">
        <v>352</v>
      </c>
    </row>
    <row r="1186" spans="1:15" x14ac:dyDescent="0.25">
      <c r="A1186" s="3">
        <v>43623</v>
      </c>
      <c r="B1186" s="4">
        <v>242.7</v>
      </c>
      <c r="C1186" s="4">
        <v>244.5</v>
      </c>
      <c r="D1186" s="4">
        <v>245.5</v>
      </c>
      <c r="E1186" s="4">
        <v>241</v>
      </c>
      <c r="F1186" s="4" t="str">
        <v>4.96M</v>
      </c>
      <c r="G1186" s="4" t="str">
        <v>-1.22%</v>
      </c>
      <c r="H1186" s="3">
        <v>43623</v>
      </c>
      <c r="I1186" s="4">
        <v>243.25</v>
      </c>
      <c r="O1186" s="4">
        <v>351</v>
      </c>
    </row>
    <row r="1187" spans="1:15" x14ac:dyDescent="0.25">
      <c r="A1187" s="3">
        <v>43622</v>
      </c>
      <c r="B1187" s="4">
        <v>245.7</v>
      </c>
      <c r="C1187" s="4">
        <v>256.5</v>
      </c>
      <c r="D1187" s="4">
        <v>258.89999999999998</v>
      </c>
      <c r="E1187" s="4">
        <v>245</v>
      </c>
      <c r="F1187" s="4" t="str">
        <v>2.94M</v>
      </c>
      <c r="G1187" s="4" t="str">
        <v>-4.51%</v>
      </c>
      <c r="H1187" s="3">
        <v>43622</v>
      </c>
      <c r="I1187" s="4">
        <v>251.95</v>
      </c>
      <c r="O1187" s="4">
        <v>350</v>
      </c>
    </row>
    <row r="1188" spans="1:15" x14ac:dyDescent="0.25">
      <c r="A1188" s="3">
        <v>43620</v>
      </c>
      <c r="B1188" s="4">
        <v>257.3</v>
      </c>
      <c r="C1188" s="4">
        <v>253</v>
      </c>
      <c r="D1188" s="4">
        <v>260.25</v>
      </c>
      <c r="E1188" s="4">
        <v>250.9</v>
      </c>
      <c r="F1188" s="4" t="str">
        <v>2.30M</v>
      </c>
      <c r="G1188" s="4" t="str">
        <v>1.76%</v>
      </c>
      <c r="H1188" s="3">
        <v>43620</v>
      </c>
      <c r="I1188" s="4">
        <v>255.57499999999999</v>
      </c>
      <c r="O1188" s="4">
        <v>349</v>
      </c>
    </row>
    <row r="1189" spans="1:15" x14ac:dyDescent="0.25">
      <c r="A1189" s="3">
        <v>43619</v>
      </c>
      <c r="B1189" s="4">
        <v>252.85</v>
      </c>
      <c r="C1189" s="4">
        <v>249</v>
      </c>
      <c r="D1189" s="4">
        <v>254.7</v>
      </c>
      <c r="E1189" s="4">
        <v>245.45</v>
      </c>
      <c r="F1189" s="4" t="str">
        <v>2.66M</v>
      </c>
      <c r="G1189" s="4" t="str">
        <v>1.96%</v>
      </c>
      <c r="H1189" s="3">
        <v>43619</v>
      </c>
      <c r="I1189" s="4">
        <v>250.07499999999999</v>
      </c>
      <c r="O1189" s="4">
        <v>348</v>
      </c>
    </row>
    <row r="1190" spans="1:15" x14ac:dyDescent="0.25">
      <c r="A1190" s="3">
        <v>43616</v>
      </c>
      <c r="B1190" s="4">
        <v>248</v>
      </c>
      <c r="C1190" s="4">
        <v>256.85000000000002</v>
      </c>
      <c r="D1190" s="4">
        <v>256.85000000000002</v>
      </c>
      <c r="E1190" s="4">
        <v>244.5</v>
      </c>
      <c r="F1190" s="4" t="str">
        <v>5.13M</v>
      </c>
      <c r="G1190" s="4" t="str">
        <v>-3.45%</v>
      </c>
      <c r="H1190" s="3">
        <v>43616</v>
      </c>
      <c r="I1190" s="4">
        <v>250.67500000000001</v>
      </c>
      <c r="O1190" s="4">
        <v>347</v>
      </c>
    </row>
    <row r="1191" spans="1:15" x14ac:dyDescent="0.25">
      <c r="A1191" s="3">
        <v>43615</v>
      </c>
      <c r="B1191" s="4">
        <v>256.85000000000002</v>
      </c>
      <c r="C1191" s="4">
        <v>264.85000000000002</v>
      </c>
      <c r="D1191" s="4">
        <v>265.35000000000002</v>
      </c>
      <c r="E1191" s="4">
        <v>253.6</v>
      </c>
      <c r="F1191" s="4" t="str">
        <v>4.30M</v>
      </c>
      <c r="G1191" s="4" t="str">
        <v>-2.62%</v>
      </c>
      <c r="H1191" s="3">
        <v>43615</v>
      </c>
      <c r="I1191" s="4">
        <v>259.47500000000002</v>
      </c>
      <c r="O1191" s="4">
        <v>346</v>
      </c>
    </row>
    <row r="1192" spans="1:15" x14ac:dyDescent="0.25">
      <c r="A1192" s="3">
        <v>43614</v>
      </c>
      <c r="B1192" s="4">
        <v>263.75</v>
      </c>
      <c r="C1192" s="4">
        <v>264</v>
      </c>
      <c r="D1192" s="4">
        <v>270.7</v>
      </c>
      <c r="E1192" s="4">
        <v>257.55</v>
      </c>
      <c r="F1192" s="4" t="str">
        <v>10.13M</v>
      </c>
      <c r="G1192" s="4" t="str">
        <v>2.13%</v>
      </c>
      <c r="H1192" s="3">
        <v>43614</v>
      </c>
      <c r="I1192" s="4">
        <v>264.125</v>
      </c>
      <c r="O1192" s="4">
        <v>345</v>
      </c>
    </row>
    <row r="1193" spans="1:15" x14ac:dyDescent="0.25">
      <c r="A1193" s="3">
        <v>43613</v>
      </c>
      <c r="B1193" s="4">
        <v>258.25</v>
      </c>
      <c r="C1193" s="4">
        <v>256.25</v>
      </c>
      <c r="D1193" s="4">
        <v>263.95</v>
      </c>
      <c r="E1193" s="4">
        <v>250.7</v>
      </c>
      <c r="F1193" s="4" t="str">
        <v>24.80M</v>
      </c>
      <c r="G1193" s="4" t="str">
        <v>1.27%</v>
      </c>
      <c r="H1193" s="3">
        <v>43613</v>
      </c>
      <c r="I1193" s="4">
        <v>257.32499999999999</v>
      </c>
      <c r="O1193" s="4">
        <v>344</v>
      </c>
    </row>
    <row r="1194" spans="1:15" x14ac:dyDescent="0.25">
      <c r="A1194" s="3">
        <v>43612</v>
      </c>
      <c r="B1194" s="4">
        <v>255</v>
      </c>
      <c r="C1194" s="4">
        <v>254.6</v>
      </c>
      <c r="D1194" s="4">
        <v>259.75</v>
      </c>
      <c r="E1194" s="4">
        <v>253</v>
      </c>
      <c r="F1194" s="4" t="str">
        <v>2.76M</v>
      </c>
      <c r="G1194" s="4" t="str">
        <v>0.87%</v>
      </c>
      <c r="H1194" s="3">
        <v>43612</v>
      </c>
      <c r="I1194" s="4">
        <v>256.375</v>
      </c>
      <c r="O1194" s="4">
        <v>343</v>
      </c>
    </row>
    <row r="1195" spans="1:15" x14ac:dyDescent="0.25">
      <c r="A1195" s="3">
        <v>43609</v>
      </c>
      <c r="B1195" s="4">
        <v>252.8</v>
      </c>
      <c r="C1195" s="4">
        <v>249.05</v>
      </c>
      <c r="D1195" s="4">
        <v>256.8</v>
      </c>
      <c r="E1195" s="4">
        <v>247.65</v>
      </c>
      <c r="F1195" s="4" t="str">
        <v>3.13M</v>
      </c>
      <c r="G1195" s="4" t="str">
        <v>1.00%</v>
      </c>
      <c r="H1195" s="3">
        <v>43609</v>
      </c>
      <c r="I1195" s="4">
        <v>252.22500000000002</v>
      </c>
      <c r="O1195" s="4">
        <v>342</v>
      </c>
    </row>
    <row r="1196" spans="1:15" x14ac:dyDescent="0.25">
      <c r="A1196" s="3">
        <v>43608</v>
      </c>
      <c r="B1196" s="4">
        <v>250.3</v>
      </c>
      <c r="C1196" s="4">
        <v>253</v>
      </c>
      <c r="D1196" s="4">
        <v>255.7</v>
      </c>
      <c r="E1196" s="4">
        <v>248.7</v>
      </c>
      <c r="F1196" s="4" t="str">
        <v>4.43M</v>
      </c>
      <c r="G1196" s="4" t="str">
        <v>-0.02%</v>
      </c>
      <c r="H1196" s="3">
        <v>43608</v>
      </c>
      <c r="I1196" s="4">
        <v>252.2</v>
      </c>
      <c r="O1196" s="4">
        <v>341</v>
      </c>
    </row>
    <row r="1197" spans="1:15" x14ac:dyDescent="0.25">
      <c r="A1197" s="3">
        <v>43607</v>
      </c>
      <c r="B1197" s="4">
        <v>250.35</v>
      </c>
      <c r="C1197" s="4">
        <v>244.4</v>
      </c>
      <c r="D1197" s="4">
        <v>251.65</v>
      </c>
      <c r="E1197" s="4">
        <v>242.1</v>
      </c>
      <c r="F1197" s="4" t="str">
        <v>3.19M</v>
      </c>
      <c r="G1197" s="4" t="str">
        <v>2.29%</v>
      </c>
      <c r="H1197" s="3">
        <v>43607</v>
      </c>
      <c r="I1197" s="4">
        <v>246.875</v>
      </c>
      <c r="O1197" s="4">
        <v>340</v>
      </c>
    </row>
    <row r="1198" spans="1:15" x14ac:dyDescent="0.25">
      <c r="A1198" s="3">
        <v>43606</v>
      </c>
      <c r="B1198" s="4">
        <v>244.75</v>
      </c>
      <c r="C1198" s="4">
        <v>251.7</v>
      </c>
      <c r="D1198" s="4">
        <v>255</v>
      </c>
      <c r="E1198" s="4">
        <v>243</v>
      </c>
      <c r="F1198" s="4" t="str">
        <v>3.94M</v>
      </c>
      <c r="G1198" s="4" t="str">
        <v>-2.31%</v>
      </c>
      <c r="H1198" s="3">
        <v>43606</v>
      </c>
      <c r="I1198" s="4">
        <v>249</v>
      </c>
      <c r="O1198" s="4">
        <v>339</v>
      </c>
    </row>
    <row r="1199" spans="1:15" x14ac:dyDescent="0.25">
      <c r="A1199" s="3">
        <v>43605</v>
      </c>
      <c r="B1199" s="4">
        <v>250.55</v>
      </c>
      <c r="C1199" s="4">
        <v>251.05</v>
      </c>
      <c r="D1199" s="4">
        <v>257.45</v>
      </c>
      <c r="E1199" s="4">
        <v>248</v>
      </c>
      <c r="F1199" s="4" t="str">
        <v>3.87M</v>
      </c>
      <c r="G1199" s="4" t="str">
        <v>0.36%</v>
      </c>
      <c r="H1199" s="3">
        <v>43605</v>
      </c>
      <c r="I1199" s="4">
        <v>252.72499999999999</v>
      </c>
      <c r="O1199" s="4">
        <v>338</v>
      </c>
    </row>
    <row r="1200" spans="1:15" x14ac:dyDescent="0.25">
      <c r="A1200" s="3">
        <v>43602</v>
      </c>
      <c r="B1200" s="4">
        <v>249.65</v>
      </c>
      <c r="C1200" s="4">
        <v>257.7</v>
      </c>
      <c r="D1200" s="4">
        <v>260.2</v>
      </c>
      <c r="E1200" s="4">
        <v>247.2</v>
      </c>
      <c r="F1200" s="4" t="str">
        <v>4.22M</v>
      </c>
      <c r="G1200" s="4" t="str">
        <v>-3.12%</v>
      </c>
      <c r="H1200" s="3">
        <v>43602</v>
      </c>
      <c r="I1200" s="4">
        <v>253.7</v>
      </c>
      <c r="O1200" s="4">
        <v>337</v>
      </c>
    </row>
    <row r="1201" spans="1:15" x14ac:dyDescent="0.25">
      <c r="A1201" s="3">
        <v>43601</v>
      </c>
      <c r="B1201" s="4">
        <v>257.7</v>
      </c>
      <c r="C1201" s="4">
        <v>260.2</v>
      </c>
      <c r="D1201" s="4">
        <v>261</v>
      </c>
      <c r="E1201" s="4">
        <v>241.75</v>
      </c>
      <c r="F1201" s="4" t="str">
        <v>8.00M</v>
      </c>
      <c r="G1201" s="4" t="str">
        <v>-1.06%</v>
      </c>
      <c r="H1201" s="3">
        <v>43601</v>
      </c>
      <c r="I1201" s="4">
        <v>251.375</v>
      </c>
      <c r="O1201" s="4">
        <v>336</v>
      </c>
    </row>
    <row r="1202" spans="1:15" x14ac:dyDescent="0.25">
      <c r="A1202" s="3">
        <v>43600</v>
      </c>
      <c r="B1202" s="4">
        <v>260.45</v>
      </c>
      <c r="C1202" s="4">
        <v>263</v>
      </c>
      <c r="D1202" s="4">
        <v>264.55</v>
      </c>
      <c r="E1202" s="4">
        <v>255.1</v>
      </c>
      <c r="F1202" s="4" t="str">
        <v>2.95M</v>
      </c>
      <c r="G1202" s="4" t="str">
        <v>-0.08%</v>
      </c>
      <c r="H1202" s="3">
        <v>43600</v>
      </c>
      <c r="I1202" s="4">
        <v>259.82499999999999</v>
      </c>
      <c r="O1202" s="4">
        <v>335</v>
      </c>
    </row>
    <row r="1203" spans="1:15" x14ac:dyDescent="0.25">
      <c r="A1203" s="3">
        <v>43599</v>
      </c>
      <c r="B1203" s="4">
        <v>260.64999999999998</v>
      </c>
      <c r="C1203" s="4">
        <v>268</v>
      </c>
      <c r="D1203" s="4">
        <v>269</v>
      </c>
      <c r="E1203" s="4">
        <v>259.39999999999998</v>
      </c>
      <c r="F1203" s="4" t="str">
        <v>2.82M</v>
      </c>
      <c r="G1203" s="4" t="str">
        <v>-3.05%</v>
      </c>
      <c r="H1203" s="3">
        <v>43599</v>
      </c>
      <c r="I1203" s="4">
        <v>264.2</v>
      </c>
      <c r="O1203" s="4">
        <v>334</v>
      </c>
    </row>
    <row r="1204" spans="1:15" x14ac:dyDescent="0.25">
      <c r="A1204" s="3">
        <v>43598</v>
      </c>
      <c r="B1204" s="4">
        <v>268.85000000000002</v>
      </c>
      <c r="C1204" s="4">
        <v>279.64999999999998</v>
      </c>
      <c r="D1204" s="4">
        <v>284.05</v>
      </c>
      <c r="E1204" s="4">
        <v>265</v>
      </c>
      <c r="F1204" s="4" t="str">
        <v>3.85M</v>
      </c>
      <c r="G1204" s="4" t="str">
        <v>-7.05%</v>
      </c>
      <c r="H1204" s="3">
        <v>43598</v>
      </c>
      <c r="I1204" s="4">
        <v>274.52499999999998</v>
      </c>
      <c r="O1204" s="4">
        <v>333</v>
      </c>
    </row>
    <row r="1205" spans="1:15" x14ac:dyDescent="0.25">
      <c r="A1205" s="3">
        <v>43595</v>
      </c>
      <c r="B1205" s="4">
        <v>289.25</v>
      </c>
      <c r="C1205" s="4">
        <v>288</v>
      </c>
      <c r="D1205" s="4">
        <v>294.89999999999998</v>
      </c>
      <c r="E1205" s="4">
        <v>286.64999999999998</v>
      </c>
      <c r="F1205" s="4" t="str">
        <v>917.66K</v>
      </c>
      <c r="G1205" s="4" t="str">
        <v>-0.45%</v>
      </c>
      <c r="H1205" s="3">
        <v>43595</v>
      </c>
      <c r="I1205" s="4">
        <v>290.77499999999998</v>
      </c>
      <c r="O1205" s="4">
        <v>332</v>
      </c>
    </row>
    <row r="1206" spans="1:15" x14ac:dyDescent="0.25">
      <c r="A1206" s="3">
        <v>43594</v>
      </c>
      <c r="B1206" s="4">
        <v>290.55</v>
      </c>
      <c r="C1206" s="4">
        <v>284.25</v>
      </c>
      <c r="D1206" s="4">
        <v>292.45</v>
      </c>
      <c r="E1206" s="4">
        <v>282.3</v>
      </c>
      <c r="F1206" s="4" t="str">
        <v>2.11M</v>
      </c>
      <c r="G1206" s="4" t="str">
        <v>1.38%</v>
      </c>
      <c r="H1206" s="3">
        <v>43594</v>
      </c>
      <c r="I1206" s="4">
        <v>287.375</v>
      </c>
      <c r="O1206" s="4">
        <v>331</v>
      </c>
    </row>
    <row r="1207" spans="1:15" x14ac:dyDescent="0.25">
      <c r="A1207" s="3">
        <v>43593</v>
      </c>
      <c r="B1207" s="4">
        <v>286.60000000000002</v>
      </c>
      <c r="C1207" s="4">
        <v>298.89999999999998</v>
      </c>
      <c r="D1207" s="4">
        <v>300</v>
      </c>
      <c r="E1207" s="4">
        <v>284.64999999999998</v>
      </c>
      <c r="F1207" s="4" t="str">
        <v>2.04M</v>
      </c>
      <c r="G1207" s="4" t="str">
        <v>-4.21%</v>
      </c>
      <c r="H1207" s="3">
        <v>43593</v>
      </c>
      <c r="I1207" s="4">
        <v>292.32499999999999</v>
      </c>
      <c r="O1207" s="4">
        <v>330</v>
      </c>
    </row>
    <row r="1208" spans="1:15" x14ac:dyDescent="0.25">
      <c r="A1208" s="3">
        <v>43592</v>
      </c>
      <c r="B1208" s="4">
        <v>299.2</v>
      </c>
      <c r="C1208" s="4">
        <v>307</v>
      </c>
      <c r="D1208" s="4">
        <v>310</v>
      </c>
      <c r="E1208" s="4">
        <v>297.25</v>
      </c>
      <c r="F1208" s="4" t="str">
        <v>1.43M</v>
      </c>
      <c r="G1208" s="4" t="str">
        <v>-2.68%</v>
      </c>
      <c r="H1208" s="3">
        <v>43592</v>
      </c>
      <c r="I1208" s="4">
        <v>303.625</v>
      </c>
      <c r="O1208" s="4">
        <v>329</v>
      </c>
    </row>
    <row r="1209" spans="1:15" x14ac:dyDescent="0.25">
      <c r="A1209" s="3">
        <v>43591</v>
      </c>
      <c r="B1209" s="4">
        <v>307.45</v>
      </c>
      <c r="C1209" s="4">
        <v>293</v>
      </c>
      <c r="D1209" s="4">
        <v>311.45</v>
      </c>
      <c r="E1209" s="4">
        <v>292.85000000000002</v>
      </c>
      <c r="F1209" s="4" t="str">
        <v>4.50M</v>
      </c>
      <c r="G1209" s="4" t="str">
        <v>1.18%</v>
      </c>
      <c r="H1209" s="3">
        <v>43591</v>
      </c>
      <c r="I1209" s="4">
        <v>302.14999999999998</v>
      </c>
      <c r="O1209" s="4">
        <v>328</v>
      </c>
    </row>
    <row r="1210" spans="1:15" x14ac:dyDescent="0.25">
      <c r="A1210" s="3">
        <v>43588</v>
      </c>
      <c r="B1210" s="4">
        <v>303.85000000000002</v>
      </c>
      <c r="C1210" s="4">
        <v>312.5</v>
      </c>
      <c r="D1210" s="4">
        <v>318.8</v>
      </c>
      <c r="E1210" s="4">
        <v>300.05</v>
      </c>
      <c r="F1210" s="4" t="str">
        <v>2.04M</v>
      </c>
      <c r="G1210" s="4" t="str">
        <v>-3.51%</v>
      </c>
      <c r="H1210" s="3">
        <v>43588</v>
      </c>
      <c r="I1210" s="4">
        <v>309.42500000000001</v>
      </c>
      <c r="O1210" s="4">
        <v>327</v>
      </c>
    </row>
    <row r="1211" spans="1:15" x14ac:dyDescent="0.25">
      <c r="A1211" s="3">
        <v>43587</v>
      </c>
      <c r="B1211" s="4">
        <v>314.89999999999998</v>
      </c>
      <c r="C1211" s="4">
        <v>323.85000000000002</v>
      </c>
      <c r="D1211" s="4">
        <v>324.3</v>
      </c>
      <c r="E1211" s="4">
        <v>313.2</v>
      </c>
      <c r="F1211" s="4" t="str">
        <v>1.09M</v>
      </c>
      <c r="G1211" s="4" t="str">
        <v>-3.24%</v>
      </c>
      <c r="H1211" s="3">
        <v>43587</v>
      </c>
      <c r="I1211" s="4">
        <v>318.75</v>
      </c>
      <c r="O1211" s="4">
        <v>326</v>
      </c>
    </row>
    <row r="1212" spans="1:15" x14ac:dyDescent="0.25">
      <c r="A1212" s="3">
        <v>43585</v>
      </c>
      <c r="B1212" s="4">
        <v>325.45</v>
      </c>
      <c r="C1212" s="4">
        <v>328</v>
      </c>
      <c r="D1212" s="4">
        <v>328.85</v>
      </c>
      <c r="E1212" s="4">
        <v>320.5</v>
      </c>
      <c r="F1212" s="4" t="str">
        <v>1.22M</v>
      </c>
      <c r="G1212" s="4" t="str">
        <v>-0.78%</v>
      </c>
      <c r="H1212" s="3">
        <v>43585</v>
      </c>
      <c r="I1212" s="4">
        <v>324.67500000000001</v>
      </c>
      <c r="O1212" s="4">
        <v>325</v>
      </c>
    </row>
    <row r="1213" spans="1:15" x14ac:dyDescent="0.25">
      <c r="A1213" s="3">
        <v>43581</v>
      </c>
      <c r="B1213" s="4">
        <v>328</v>
      </c>
      <c r="C1213" s="4">
        <v>325</v>
      </c>
      <c r="D1213" s="4">
        <v>331.25</v>
      </c>
      <c r="E1213" s="4">
        <v>324.95</v>
      </c>
      <c r="F1213" s="4" t="str">
        <v>1.03M</v>
      </c>
      <c r="G1213" s="4" t="str">
        <v>1.25%</v>
      </c>
      <c r="H1213" s="3">
        <v>43581</v>
      </c>
      <c r="I1213" s="4">
        <v>328.1</v>
      </c>
      <c r="O1213" s="4">
        <v>324</v>
      </c>
    </row>
    <row r="1214" spans="1:15" x14ac:dyDescent="0.25">
      <c r="A1214" s="3">
        <v>43580</v>
      </c>
      <c r="B1214" s="4">
        <v>323.95</v>
      </c>
      <c r="C1214" s="4">
        <v>329.55</v>
      </c>
      <c r="D1214" s="4">
        <v>331.35</v>
      </c>
      <c r="E1214" s="4">
        <v>323</v>
      </c>
      <c r="F1214" s="4" t="str">
        <v>1.72M</v>
      </c>
      <c r="G1214" s="4" t="str">
        <v>-1.70%</v>
      </c>
      <c r="H1214" s="3">
        <v>43580</v>
      </c>
      <c r="I1214" s="4">
        <v>327.17500000000001</v>
      </c>
      <c r="O1214" s="4">
        <v>323</v>
      </c>
    </row>
    <row r="1215" spans="1:15" x14ac:dyDescent="0.25">
      <c r="A1215" s="3">
        <v>43579</v>
      </c>
      <c r="B1215" s="4">
        <v>329.55</v>
      </c>
      <c r="C1215" s="4">
        <v>329.6</v>
      </c>
      <c r="D1215" s="4">
        <v>330.8</v>
      </c>
      <c r="E1215" s="4">
        <v>326.10000000000002</v>
      </c>
      <c r="F1215" s="4" t="str">
        <v>807.64K</v>
      </c>
      <c r="G1215" s="4" t="str">
        <v>0.24%</v>
      </c>
      <c r="H1215" s="3">
        <v>43579</v>
      </c>
      <c r="I1215" s="4">
        <v>328.45000000000005</v>
      </c>
      <c r="O1215" s="4">
        <v>322</v>
      </c>
    </row>
    <row r="1216" spans="1:15" x14ac:dyDescent="0.25">
      <c r="A1216" s="3">
        <v>43578</v>
      </c>
      <c r="B1216" s="4">
        <v>328.75</v>
      </c>
      <c r="C1216" s="4">
        <v>332</v>
      </c>
      <c r="D1216" s="4">
        <v>333.4</v>
      </c>
      <c r="E1216" s="4">
        <v>327.85</v>
      </c>
      <c r="F1216" s="4" t="str">
        <v>512.72K</v>
      </c>
      <c r="G1216" s="4" t="str">
        <v>-0.59%</v>
      </c>
      <c r="H1216" s="3">
        <v>43578</v>
      </c>
      <c r="I1216" s="4">
        <v>330.625</v>
      </c>
      <c r="O1216" s="4">
        <v>321</v>
      </c>
    </row>
    <row r="1217" spans="1:15" x14ac:dyDescent="0.25">
      <c r="A1217" s="3">
        <v>43577</v>
      </c>
      <c r="B1217" s="4">
        <v>330.7</v>
      </c>
      <c r="C1217" s="4">
        <v>332</v>
      </c>
      <c r="D1217" s="4">
        <v>335.8</v>
      </c>
      <c r="E1217" s="4">
        <v>329.35</v>
      </c>
      <c r="F1217" s="4" t="str">
        <v>459.00K</v>
      </c>
      <c r="G1217" s="4" t="str">
        <v>-1.72%</v>
      </c>
      <c r="H1217" s="3">
        <v>43577</v>
      </c>
      <c r="I1217" s="4">
        <v>332.57500000000005</v>
      </c>
      <c r="O1217" s="4">
        <v>320</v>
      </c>
    </row>
    <row r="1218" spans="1:15" x14ac:dyDescent="0.25">
      <c r="A1218" s="3">
        <v>43573</v>
      </c>
      <c r="B1218" s="4">
        <v>336.5</v>
      </c>
      <c r="C1218" s="4">
        <v>339.65</v>
      </c>
      <c r="D1218" s="4">
        <v>340.4</v>
      </c>
      <c r="E1218" s="4">
        <v>334.25</v>
      </c>
      <c r="F1218" s="4" t="str">
        <v>896.85K</v>
      </c>
      <c r="G1218" s="4" t="str">
        <v>-0.41%</v>
      </c>
      <c r="H1218" s="3">
        <v>43573</v>
      </c>
      <c r="I1218" s="4">
        <v>337.32499999999999</v>
      </c>
      <c r="O1218" s="4">
        <v>319</v>
      </c>
    </row>
    <row r="1219" spans="1:15" x14ac:dyDescent="0.25">
      <c r="A1219" s="3">
        <v>43571</v>
      </c>
      <c r="B1219" s="4">
        <v>337.9</v>
      </c>
      <c r="C1219" s="4">
        <v>341.05</v>
      </c>
      <c r="D1219" s="4">
        <v>342.8</v>
      </c>
      <c r="E1219" s="4">
        <v>336.9</v>
      </c>
      <c r="F1219" s="4" t="str">
        <v>951.06K</v>
      </c>
      <c r="G1219" s="4" t="str">
        <v>-0.91%</v>
      </c>
      <c r="H1219" s="3">
        <v>43571</v>
      </c>
      <c r="I1219" s="4">
        <v>339.85</v>
      </c>
      <c r="O1219" s="4">
        <v>318</v>
      </c>
    </row>
    <row r="1220" spans="1:15" x14ac:dyDescent="0.25">
      <c r="A1220" s="3">
        <v>43570</v>
      </c>
      <c r="B1220" s="4">
        <v>341</v>
      </c>
      <c r="C1220" s="4">
        <v>341.55</v>
      </c>
      <c r="D1220" s="4">
        <v>344.2</v>
      </c>
      <c r="E1220" s="4">
        <v>338.8</v>
      </c>
      <c r="F1220" s="4" t="str">
        <v>508.15K</v>
      </c>
      <c r="G1220" s="4" t="str">
        <v>-0.26%</v>
      </c>
      <c r="H1220" s="3">
        <v>43570</v>
      </c>
      <c r="I1220" s="4">
        <v>341.5</v>
      </c>
      <c r="O1220" s="4">
        <v>317</v>
      </c>
    </row>
    <row r="1221" spans="1:15" x14ac:dyDescent="0.25">
      <c r="A1221" s="3">
        <v>43567</v>
      </c>
      <c r="B1221" s="4">
        <v>341.9</v>
      </c>
      <c r="C1221" s="4">
        <v>343.25</v>
      </c>
      <c r="D1221" s="4">
        <v>347.15</v>
      </c>
      <c r="E1221" s="4">
        <v>341.2</v>
      </c>
      <c r="F1221" s="4" t="str">
        <v>501.50K</v>
      </c>
      <c r="G1221" s="4" t="str">
        <v>-0.93%</v>
      </c>
      <c r="H1221" s="3">
        <v>43567</v>
      </c>
      <c r="I1221" s="4">
        <v>344.17499999999995</v>
      </c>
      <c r="O1221" s="4">
        <v>316</v>
      </c>
    </row>
    <row r="1222" spans="1:15" x14ac:dyDescent="0.25">
      <c r="A1222" s="3">
        <v>43566</v>
      </c>
      <c r="B1222" s="4">
        <v>345.1</v>
      </c>
      <c r="C1222" s="4">
        <v>344.9</v>
      </c>
      <c r="D1222" s="4">
        <v>346.35</v>
      </c>
      <c r="E1222" s="4">
        <v>342.45</v>
      </c>
      <c r="F1222" s="4" t="str">
        <v>590.67K</v>
      </c>
      <c r="G1222" s="4" t="str">
        <v>0.50%</v>
      </c>
      <c r="H1222" s="3">
        <v>43566</v>
      </c>
      <c r="I1222" s="4">
        <v>344.4</v>
      </c>
      <c r="O1222" s="4">
        <v>315</v>
      </c>
    </row>
    <row r="1223" spans="1:15" x14ac:dyDescent="0.25">
      <c r="A1223" s="3">
        <v>43565</v>
      </c>
      <c r="B1223" s="4">
        <v>343.4</v>
      </c>
      <c r="C1223" s="4">
        <v>340.6</v>
      </c>
      <c r="D1223" s="4">
        <v>348.9</v>
      </c>
      <c r="E1223" s="4">
        <v>339.25</v>
      </c>
      <c r="F1223" s="4" t="str">
        <v>998.25K</v>
      </c>
      <c r="G1223" s="4" t="str">
        <v>0.53%</v>
      </c>
      <c r="H1223" s="3">
        <v>43565</v>
      </c>
      <c r="I1223" s="4">
        <v>344.07499999999999</v>
      </c>
      <c r="O1223" s="4">
        <v>314</v>
      </c>
    </row>
    <row r="1224" spans="1:15" x14ac:dyDescent="0.25">
      <c r="A1224" s="3">
        <v>43564</v>
      </c>
      <c r="B1224" s="4">
        <v>341.6</v>
      </c>
      <c r="C1224" s="4">
        <v>342.5</v>
      </c>
      <c r="D1224" s="4">
        <v>344.5</v>
      </c>
      <c r="E1224" s="4">
        <v>339.05</v>
      </c>
      <c r="F1224" s="4" t="str">
        <v>445.17K</v>
      </c>
      <c r="G1224" s="4" t="str">
        <v>-0.25%</v>
      </c>
      <c r="H1224" s="3">
        <v>43564</v>
      </c>
      <c r="I1224" s="4">
        <v>341.77499999999998</v>
      </c>
      <c r="O1224" s="4">
        <v>313</v>
      </c>
    </row>
    <row r="1225" spans="1:15" x14ac:dyDescent="0.25">
      <c r="A1225" s="3">
        <v>43563</v>
      </c>
      <c r="B1225" s="4">
        <v>342.45</v>
      </c>
      <c r="C1225" s="4">
        <v>346</v>
      </c>
      <c r="D1225" s="4">
        <v>350</v>
      </c>
      <c r="E1225" s="4">
        <v>340.3</v>
      </c>
      <c r="F1225" s="4" t="str">
        <v>1.62M</v>
      </c>
      <c r="G1225" s="4" t="str">
        <v>-0.85%</v>
      </c>
      <c r="H1225" s="3">
        <v>43563</v>
      </c>
      <c r="I1225" s="4">
        <v>345.15</v>
      </c>
      <c r="O1225" s="4">
        <v>312</v>
      </c>
    </row>
    <row r="1226" spans="1:15" x14ac:dyDescent="0.25">
      <c r="A1226" s="3">
        <v>43560</v>
      </c>
      <c r="B1226" s="4">
        <v>345.4</v>
      </c>
      <c r="C1226" s="4">
        <v>346.15</v>
      </c>
      <c r="D1226" s="4">
        <v>348.95</v>
      </c>
      <c r="E1226" s="4">
        <v>343.4</v>
      </c>
      <c r="F1226" s="4" t="str">
        <v>749.52K</v>
      </c>
      <c r="G1226" s="4" t="str">
        <v>0.29%</v>
      </c>
      <c r="H1226" s="3">
        <v>43560</v>
      </c>
      <c r="I1226" s="4">
        <v>346.17499999999995</v>
      </c>
      <c r="O1226" s="4">
        <v>311</v>
      </c>
    </row>
    <row r="1227" spans="1:15" x14ac:dyDescent="0.25">
      <c r="A1227" s="3">
        <v>43559</v>
      </c>
      <c r="B1227" s="4">
        <v>344.4</v>
      </c>
      <c r="C1227" s="4">
        <v>339.7</v>
      </c>
      <c r="D1227" s="4">
        <v>346</v>
      </c>
      <c r="E1227" s="4">
        <v>337.45</v>
      </c>
      <c r="F1227" s="4" t="str">
        <v>554.71K</v>
      </c>
      <c r="G1227" s="4" t="str">
        <v>1.67%</v>
      </c>
      <c r="H1227" s="3">
        <v>43559</v>
      </c>
      <c r="I1227" s="4">
        <v>341.72500000000002</v>
      </c>
      <c r="O1227" s="4">
        <v>310</v>
      </c>
    </row>
    <row r="1228" spans="1:15" x14ac:dyDescent="0.25">
      <c r="A1228" s="3">
        <v>43558</v>
      </c>
      <c r="B1228" s="4">
        <v>338.75</v>
      </c>
      <c r="C1228" s="4">
        <v>345.8</v>
      </c>
      <c r="D1228" s="4">
        <v>346.25</v>
      </c>
      <c r="E1228" s="4">
        <v>337.55</v>
      </c>
      <c r="F1228" s="4" t="str">
        <v>609.97K</v>
      </c>
      <c r="G1228" s="4" t="str">
        <v>-1.54%</v>
      </c>
      <c r="H1228" s="3">
        <v>43558</v>
      </c>
      <c r="I1228" s="4">
        <v>341.9</v>
      </c>
      <c r="O1228" s="4">
        <v>309</v>
      </c>
    </row>
    <row r="1229" spans="1:15" x14ac:dyDescent="0.25">
      <c r="A1229" s="3">
        <v>43557</v>
      </c>
      <c r="B1229" s="4">
        <v>344.05</v>
      </c>
      <c r="C1229" s="4">
        <v>346.3</v>
      </c>
      <c r="D1229" s="4">
        <v>348.7</v>
      </c>
      <c r="E1229" s="4">
        <v>342.3</v>
      </c>
      <c r="F1229" s="4" t="str">
        <v>778.32K</v>
      </c>
      <c r="G1229" s="4" t="str">
        <v>-0.06%</v>
      </c>
      <c r="H1229" s="3">
        <v>43557</v>
      </c>
      <c r="I1229" s="4">
        <v>345.5</v>
      </c>
      <c r="O1229" s="4">
        <v>308</v>
      </c>
    </row>
    <row r="1230" spans="1:15" x14ac:dyDescent="0.25">
      <c r="A1230" s="3">
        <v>43556</v>
      </c>
      <c r="B1230" s="4">
        <v>344.25</v>
      </c>
      <c r="C1230" s="4">
        <v>348.95</v>
      </c>
      <c r="D1230" s="4">
        <v>352.6</v>
      </c>
      <c r="E1230" s="4">
        <v>343.15</v>
      </c>
      <c r="F1230" s="4" t="str">
        <v>1.19M</v>
      </c>
      <c r="G1230" s="4" t="str">
        <v>-0.81%</v>
      </c>
      <c r="H1230" s="3">
        <v>43556</v>
      </c>
      <c r="I1230" s="4">
        <v>347.875</v>
      </c>
      <c r="O1230" s="4">
        <v>307</v>
      </c>
    </row>
    <row r="1231" spans="1:15" x14ac:dyDescent="0.25">
      <c r="A1231" s="3">
        <v>43553</v>
      </c>
      <c r="B1231" s="4">
        <v>347.05</v>
      </c>
      <c r="C1231" s="4">
        <v>337.65</v>
      </c>
      <c r="D1231" s="4">
        <v>349.2</v>
      </c>
      <c r="E1231" s="4">
        <v>336.25</v>
      </c>
      <c r="F1231" s="4" t="str">
        <v>1.61M</v>
      </c>
      <c r="G1231" s="4" t="str">
        <v>3.30%</v>
      </c>
      <c r="H1231" s="3">
        <v>43553</v>
      </c>
      <c r="I1231" s="4">
        <v>342.72500000000002</v>
      </c>
      <c r="O1231" s="4" t="e">
        <v>#N/A</v>
      </c>
    </row>
    <row r="1232" spans="1:15" x14ac:dyDescent="0.25">
      <c r="A1232" s="3">
        <v>43552</v>
      </c>
      <c r="B1232" s="4">
        <v>335.95</v>
      </c>
      <c r="C1232" s="4">
        <v>332</v>
      </c>
      <c r="D1232" s="4">
        <v>337.8</v>
      </c>
      <c r="E1232" s="4">
        <v>330.5</v>
      </c>
      <c r="F1232" s="4" t="str">
        <v>770.61K</v>
      </c>
      <c r="G1232" s="4" t="str">
        <v>1.80%</v>
      </c>
      <c r="H1232" s="3">
        <v>43552</v>
      </c>
      <c r="I1232" s="4">
        <v>334.15</v>
      </c>
      <c r="O1232" s="4">
        <v>306</v>
      </c>
    </row>
    <row r="1233" spans="1:15" x14ac:dyDescent="0.25">
      <c r="A1233" s="3">
        <v>43551</v>
      </c>
      <c r="B1233" s="4">
        <v>330</v>
      </c>
      <c r="C1233" s="4">
        <v>336</v>
      </c>
      <c r="D1233" s="4">
        <v>341.7</v>
      </c>
      <c r="E1233" s="4">
        <v>329.15</v>
      </c>
      <c r="F1233" s="4" t="str">
        <v>964.56K</v>
      </c>
      <c r="G1233" s="4" t="str">
        <v>-1.77%</v>
      </c>
      <c r="H1233" s="3">
        <v>43551</v>
      </c>
      <c r="I1233" s="4">
        <v>335.42499999999995</v>
      </c>
      <c r="O1233" s="4">
        <v>305</v>
      </c>
    </row>
    <row r="1234" spans="1:15" x14ac:dyDescent="0.25">
      <c r="A1234" s="3">
        <v>43550</v>
      </c>
      <c r="B1234" s="4">
        <v>335.95</v>
      </c>
      <c r="C1234" s="4">
        <v>332.35</v>
      </c>
      <c r="D1234" s="4">
        <v>336.9</v>
      </c>
      <c r="E1234" s="4">
        <v>331.7</v>
      </c>
      <c r="F1234" s="4" t="str">
        <v>860.97K</v>
      </c>
      <c r="G1234" s="4" t="str">
        <v>1.16%</v>
      </c>
      <c r="H1234" s="3">
        <v>43550</v>
      </c>
      <c r="I1234" s="4">
        <v>334.29999999999995</v>
      </c>
      <c r="O1234" s="4">
        <v>304</v>
      </c>
    </row>
    <row r="1235" spans="1:15" x14ac:dyDescent="0.25">
      <c r="A1235" s="3">
        <v>43549</v>
      </c>
      <c r="B1235" s="4">
        <v>332.1</v>
      </c>
      <c r="C1235" s="4">
        <v>332.65</v>
      </c>
      <c r="D1235" s="4">
        <v>334</v>
      </c>
      <c r="E1235" s="4">
        <v>325.05</v>
      </c>
      <c r="F1235" s="4" t="str">
        <v>627.23K</v>
      </c>
      <c r="G1235" s="4" t="str">
        <v>-0.23%</v>
      </c>
      <c r="H1235" s="3">
        <v>43549</v>
      </c>
      <c r="I1235" s="4">
        <v>329.52499999999998</v>
      </c>
      <c r="O1235" s="4">
        <v>303</v>
      </c>
    </row>
    <row r="1236" spans="1:15" x14ac:dyDescent="0.25">
      <c r="A1236" s="3">
        <v>43546</v>
      </c>
      <c r="B1236" s="4">
        <v>332.85</v>
      </c>
      <c r="C1236" s="4">
        <v>337.9</v>
      </c>
      <c r="D1236" s="4">
        <v>342.35</v>
      </c>
      <c r="E1236" s="4">
        <v>330.75</v>
      </c>
      <c r="F1236" s="4" t="str">
        <v>1.03M</v>
      </c>
      <c r="G1236" s="4" t="str">
        <v>-1.49%</v>
      </c>
      <c r="H1236" s="3">
        <v>43546</v>
      </c>
      <c r="I1236" s="4">
        <v>336.55</v>
      </c>
      <c r="O1236" s="4">
        <v>302</v>
      </c>
    </row>
    <row r="1237" spans="1:15" x14ac:dyDescent="0.25">
      <c r="A1237" s="3">
        <v>43544</v>
      </c>
      <c r="B1237" s="4">
        <v>337.9</v>
      </c>
      <c r="C1237" s="4">
        <v>337.5</v>
      </c>
      <c r="D1237" s="4">
        <v>341.9</v>
      </c>
      <c r="E1237" s="4">
        <v>336.25</v>
      </c>
      <c r="F1237" s="4" t="str">
        <v>498.51K</v>
      </c>
      <c r="G1237" s="4" t="str">
        <v>0.22%</v>
      </c>
      <c r="H1237" s="3">
        <v>43544</v>
      </c>
      <c r="I1237" s="4">
        <v>339.07499999999999</v>
      </c>
      <c r="O1237" s="4">
        <v>301</v>
      </c>
    </row>
    <row r="1238" spans="1:15" x14ac:dyDescent="0.25">
      <c r="A1238" s="3">
        <v>43543</v>
      </c>
      <c r="B1238" s="4">
        <v>337.15</v>
      </c>
      <c r="C1238" s="4">
        <v>340.85</v>
      </c>
      <c r="D1238" s="4">
        <v>344.4</v>
      </c>
      <c r="E1238" s="4">
        <v>335.8</v>
      </c>
      <c r="F1238" s="4" t="str">
        <v>855.72K</v>
      </c>
      <c r="G1238" s="4" t="str">
        <v>-0.62%</v>
      </c>
      <c r="H1238" s="3">
        <v>43543</v>
      </c>
      <c r="I1238" s="4">
        <v>340.1</v>
      </c>
      <c r="O1238" s="4">
        <v>300</v>
      </c>
    </row>
    <row r="1239" spans="1:15" x14ac:dyDescent="0.25">
      <c r="A1239" s="3">
        <v>43542</v>
      </c>
      <c r="B1239" s="4">
        <v>339.25</v>
      </c>
      <c r="C1239" s="4">
        <v>345.45</v>
      </c>
      <c r="D1239" s="4">
        <v>345.45</v>
      </c>
      <c r="E1239" s="4">
        <v>337.8</v>
      </c>
      <c r="F1239" s="4" t="str">
        <v>983.01K</v>
      </c>
      <c r="G1239" s="4" t="str">
        <v>-0.93%</v>
      </c>
      <c r="H1239" s="3">
        <v>43542</v>
      </c>
      <c r="I1239" s="4">
        <v>341.625</v>
      </c>
      <c r="O1239" s="4">
        <v>299</v>
      </c>
    </row>
    <row r="1240" spans="1:15" x14ac:dyDescent="0.25">
      <c r="A1240" s="3">
        <v>43539</v>
      </c>
      <c r="B1240" s="4">
        <v>342.45</v>
      </c>
      <c r="C1240" s="4">
        <v>331.15</v>
      </c>
      <c r="D1240" s="4">
        <v>349.45</v>
      </c>
      <c r="E1240" s="4">
        <v>329.4</v>
      </c>
      <c r="F1240" s="4" t="str">
        <v>3.78M</v>
      </c>
      <c r="G1240" s="4" t="str">
        <v>3.57%</v>
      </c>
      <c r="H1240" s="3">
        <v>43539</v>
      </c>
      <c r="I1240" s="4">
        <v>339.42499999999995</v>
      </c>
      <c r="O1240" s="4">
        <v>298</v>
      </c>
    </row>
    <row r="1241" spans="1:15" x14ac:dyDescent="0.25">
      <c r="A1241" s="3">
        <v>43538</v>
      </c>
      <c r="B1241" s="4">
        <v>330.65</v>
      </c>
      <c r="C1241" s="4">
        <v>332.45</v>
      </c>
      <c r="D1241" s="4">
        <v>335.7</v>
      </c>
      <c r="E1241" s="4">
        <v>328.5</v>
      </c>
      <c r="F1241" s="4" t="str">
        <v>953.74K</v>
      </c>
      <c r="G1241" s="4" t="str">
        <v>0.00%</v>
      </c>
      <c r="H1241" s="3">
        <v>43538</v>
      </c>
      <c r="I1241" s="4">
        <v>332.1</v>
      </c>
      <c r="O1241" s="4">
        <v>297</v>
      </c>
    </row>
    <row r="1242" spans="1:15" x14ac:dyDescent="0.25">
      <c r="A1242" s="3">
        <v>43537</v>
      </c>
      <c r="B1242" s="4">
        <v>330.65</v>
      </c>
      <c r="C1242" s="4">
        <v>336.75</v>
      </c>
      <c r="D1242" s="4">
        <v>338.4</v>
      </c>
      <c r="E1242" s="4">
        <v>327.35000000000002</v>
      </c>
      <c r="F1242" s="4" t="str">
        <v>2.26M</v>
      </c>
      <c r="G1242" s="4" t="str">
        <v>-1.69%</v>
      </c>
      <c r="H1242" s="3">
        <v>43537</v>
      </c>
      <c r="I1242" s="4">
        <v>332.875</v>
      </c>
      <c r="O1242" s="4">
        <v>296</v>
      </c>
    </row>
    <row r="1243" spans="1:15" x14ac:dyDescent="0.25">
      <c r="A1243" s="3">
        <v>43536</v>
      </c>
      <c r="B1243" s="4">
        <v>336.35</v>
      </c>
      <c r="C1243" s="4">
        <v>333.3</v>
      </c>
      <c r="D1243" s="4">
        <v>342.8</v>
      </c>
      <c r="E1243" s="4">
        <v>333.3</v>
      </c>
      <c r="F1243" s="4" t="str">
        <v>1.84M</v>
      </c>
      <c r="G1243" s="4" t="str">
        <v>1.05%</v>
      </c>
      <c r="H1243" s="3">
        <v>43536</v>
      </c>
      <c r="I1243" s="4">
        <v>338.05</v>
      </c>
      <c r="O1243" s="4">
        <v>295</v>
      </c>
    </row>
    <row r="1244" spans="1:15" x14ac:dyDescent="0.25">
      <c r="A1244" s="3">
        <v>43535</v>
      </c>
      <c r="B1244" s="4">
        <v>332.85</v>
      </c>
      <c r="C1244" s="4">
        <v>326.95</v>
      </c>
      <c r="D1244" s="4">
        <v>333.85</v>
      </c>
      <c r="E1244" s="4">
        <v>325</v>
      </c>
      <c r="F1244" s="4" t="str">
        <v>728.48K</v>
      </c>
      <c r="G1244" s="4" t="str">
        <v>2.43%</v>
      </c>
      <c r="H1244" s="3">
        <v>43535</v>
      </c>
      <c r="I1244" s="4">
        <v>329.42500000000001</v>
      </c>
      <c r="O1244" s="4">
        <v>294</v>
      </c>
    </row>
    <row r="1245" spans="1:15" x14ac:dyDescent="0.25">
      <c r="A1245" s="3">
        <v>43532</v>
      </c>
      <c r="B1245" s="4">
        <v>324.95</v>
      </c>
      <c r="C1245" s="4">
        <v>326</v>
      </c>
      <c r="D1245" s="4">
        <v>336</v>
      </c>
      <c r="E1245" s="4">
        <v>324.2</v>
      </c>
      <c r="F1245" s="4" t="str">
        <v>599.04K</v>
      </c>
      <c r="G1245" s="4" t="str">
        <v>-0.51%</v>
      </c>
      <c r="H1245" s="3">
        <v>43532</v>
      </c>
      <c r="I1245" s="4">
        <v>330.1</v>
      </c>
      <c r="O1245" s="4">
        <v>293</v>
      </c>
    </row>
    <row r="1246" spans="1:15" x14ac:dyDescent="0.25">
      <c r="A1246" s="3">
        <v>43531</v>
      </c>
      <c r="B1246" s="4">
        <v>326.60000000000002</v>
      </c>
      <c r="C1246" s="4">
        <v>330.95</v>
      </c>
      <c r="D1246" s="4">
        <v>333.65</v>
      </c>
      <c r="E1246" s="4">
        <v>324</v>
      </c>
      <c r="F1246" s="4" t="str">
        <v>1.17M</v>
      </c>
      <c r="G1246" s="4" t="str">
        <v>-1.14%</v>
      </c>
      <c r="H1246" s="3">
        <v>43531</v>
      </c>
      <c r="I1246" s="4">
        <v>328.82499999999999</v>
      </c>
      <c r="O1246" s="4">
        <v>292</v>
      </c>
    </row>
    <row r="1247" spans="1:15" x14ac:dyDescent="0.25">
      <c r="A1247" s="3">
        <v>43530</v>
      </c>
      <c r="B1247" s="4">
        <v>330.35</v>
      </c>
      <c r="C1247" s="4">
        <v>332</v>
      </c>
      <c r="D1247" s="4">
        <v>338.3</v>
      </c>
      <c r="E1247" s="4">
        <v>327.5</v>
      </c>
      <c r="F1247" s="4" t="str">
        <v>1.36M</v>
      </c>
      <c r="G1247" s="4" t="str">
        <v>-0.29%</v>
      </c>
      <c r="H1247" s="3">
        <v>43530</v>
      </c>
      <c r="I1247" s="4">
        <v>332.9</v>
      </c>
      <c r="O1247" s="4">
        <v>291</v>
      </c>
    </row>
    <row r="1248" spans="1:15" x14ac:dyDescent="0.25">
      <c r="A1248" s="3">
        <v>43529</v>
      </c>
      <c r="B1248" s="4">
        <v>331.3</v>
      </c>
      <c r="C1248" s="4">
        <v>320</v>
      </c>
      <c r="D1248" s="4">
        <v>332.75</v>
      </c>
      <c r="E1248" s="4">
        <v>320</v>
      </c>
      <c r="F1248" s="4" t="str">
        <v>2.29M</v>
      </c>
      <c r="G1248" s="4" t="str">
        <v>2.51%</v>
      </c>
      <c r="H1248" s="3">
        <v>43529</v>
      </c>
      <c r="I1248" s="4">
        <v>326.375</v>
      </c>
      <c r="O1248" s="4">
        <v>290</v>
      </c>
    </row>
    <row r="1249" spans="1:15" x14ac:dyDescent="0.25">
      <c r="A1249" s="3">
        <v>43525</v>
      </c>
      <c r="B1249" s="4">
        <v>323.2</v>
      </c>
      <c r="C1249" s="4">
        <v>320.64999999999998</v>
      </c>
      <c r="D1249" s="4">
        <v>324.2</v>
      </c>
      <c r="E1249" s="4">
        <v>317.45</v>
      </c>
      <c r="F1249" s="4" t="str">
        <v>970.10K</v>
      </c>
      <c r="G1249" s="4" t="str">
        <v>1.41%</v>
      </c>
      <c r="H1249" s="3">
        <v>43525</v>
      </c>
      <c r="I1249" s="4">
        <v>320.82499999999999</v>
      </c>
      <c r="O1249" s="4">
        <v>289</v>
      </c>
    </row>
    <row r="1250" spans="1:15" x14ac:dyDescent="0.25">
      <c r="A1250" s="3">
        <v>43524</v>
      </c>
      <c r="B1250" s="4">
        <v>318.7</v>
      </c>
      <c r="C1250" s="4">
        <v>321.5</v>
      </c>
      <c r="D1250" s="4">
        <v>329.35</v>
      </c>
      <c r="E1250" s="4">
        <v>315.14999999999998</v>
      </c>
      <c r="F1250" s="4" t="str">
        <v>4.43M</v>
      </c>
      <c r="G1250" s="4" t="str">
        <v>-0.28%</v>
      </c>
      <c r="H1250" s="3">
        <v>43524</v>
      </c>
      <c r="I1250" s="4">
        <v>322.25</v>
      </c>
      <c r="O1250" s="4">
        <v>288</v>
      </c>
    </row>
    <row r="1251" spans="1:15" x14ac:dyDescent="0.25">
      <c r="A1251" s="3">
        <v>43523</v>
      </c>
      <c r="B1251" s="4">
        <v>319.60000000000002</v>
      </c>
      <c r="C1251" s="4">
        <v>313.25</v>
      </c>
      <c r="D1251" s="4">
        <v>327.8</v>
      </c>
      <c r="E1251" s="4">
        <v>312.5</v>
      </c>
      <c r="F1251" s="4" t="str">
        <v>2.15M</v>
      </c>
      <c r="G1251" s="4" t="str">
        <v>2.29%</v>
      </c>
      <c r="H1251" s="3">
        <v>43523</v>
      </c>
      <c r="I1251" s="4">
        <v>320.14999999999998</v>
      </c>
      <c r="O1251" s="4">
        <v>287</v>
      </c>
    </row>
    <row r="1252" spans="1:15" x14ac:dyDescent="0.25">
      <c r="A1252" s="3">
        <v>43522</v>
      </c>
      <c r="B1252" s="4">
        <v>312.45</v>
      </c>
      <c r="C1252" s="4">
        <v>311.75</v>
      </c>
      <c r="D1252" s="4">
        <v>313.89999999999998</v>
      </c>
      <c r="E1252" s="4">
        <v>308.14999999999998</v>
      </c>
      <c r="F1252" s="4" t="str">
        <v>607.95K</v>
      </c>
      <c r="G1252" s="4" t="str">
        <v>-0.41%</v>
      </c>
      <c r="H1252" s="3">
        <v>43522</v>
      </c>
      <c r="I1252" s="4">
        <v>311.02499999999998</v>
      </c>
      <c r="O1252" s="4">
        <v>286</v>
      </c>
    </row>
    <row r="1253" spans="1:15" x14ac:dyDescent="0.25">
      <c r="A1253" s="3">
        <v>43521</v>
      </c>
      <c r="B1253" s="4">
        <v>313.75</v>
      </c>
      <c r="C1253" s="4">
        <v>317.10000000000002</v>
      </c>
      <c r="D1253" s="4">
        <v>317.60000000000002</v>
      </c>
      <c r="E1253" s="4">
        <v>313.05</v>
      </c>
      <c r="F1253" s="4" t="str">
        <v>681.43K</v>
      </c>
      <c r="G1253" s="4" t="str">
        <v>-0.46%</v>
      </c>
      <c r="H1253" s="3">
        <v>43521</v>
      </c>
      <c r="I1253" s="4">
        <v>315.32500000000005</v>
      </c>
      <c r="O1253" s="4">
        <v>285</v>
      </c>
    </row>
    <row r="1254" spans="1:15" x14ac:dyDescent="0.25">
      <c r="A1254" s="3">
        <v>43518</v>
      </c>
      <c r="B1254" s="4">
        <v>315.2</v>
      </c>
      <c r="C1254" s="4">
        <v>314</v>
      </c>
      <c r="D1254" s="4">
        <v>317.5</v>
      </c>
      <c r="E1254" s="4">
        <v>312.45</v>
      </c>
      <c r="F1254" s="4" t="str">
        <v>581.64K</v>
      </c>
      <c r="G1254" s="4" t="str">
        <v>0.65%</v>
      </c>
      <c r="H1254" s="3">
        <v>43518</v>
      </c>
      <c r="I1254" s="4">
        <v>314.97500000000002</v>
      </c>
      <c r="O1254" s="4">
        <v>284</v>
      </c>
    </row>
    <row r="1255" spans="1:15" x14ac:dyDescent="0.25">
      <c r="A1255" s="3">
        <v>43517</v>
      </c>
      <c r="B1255" s="4">
        <v>313.14999999999998</v>
      </c>
      <c r="C1255" s="4">
        <v>314.95</v>
      </c>
      <c r="D1255" s="4">
        <v>315</v>
      </c>
      <c r="E1255" s="4">
        <v>310.7</v>
      </c>
      <c r="F1255" s="4" t="str">
        <v>884.69K</v>
      </c>
      <c r="G1255" s="4" t="str">
        <v>-0.02%</v>
      </c>
      <c r="H1255" s="3">
        <v>43517</v>
      </c>
      <c r="I1255" s="4">
        <v>312.85000000000002</v>
      </c>
      <c r="O1255" s="4">
        <v>283</v>
      </c>
    </row>
    <row r="1256" spans="1:15" x14ac:dyDescent="0.25">
      <c r="A1256" s="3">
        <v>43516</v>
      </c>
      <c r="B1256" s="4">
        <v>313.2</v>
      </c>
      <c r="C1256" s="4">
        <v>311.8</v>
      </c>
      <c r="D1256" s="4">
        <v>314.75</v>
      </c>
      <c r="E1256" s="4">
        <v>310</v>
      </c>
      <c r="F1256" s="4" t="str">
        <v>643.03K</v>
      </c>
      <c r="G1256" s="4" t="str">
        <v>0.42%</v>
      </c>
      <c r="H1256" s="3">
        <v>43516</v>
      </c>
      <c r="I1256" s="4">
        <v>312.375</v>
      </c>
      <c r="O1256" s="4">
        <v>282</v>
      </c>
    </row>
    <row r="1257" spans="1:15" x14ac:dyDescent="0.25">
      <c r="A1257" s="3">
        <v>43515</v>
      </c>
      <c r="B1257" s="4">
        <v>311.89999999999998</v>
      </c>
      <c r="C1257" s="4">
        <v>312</v>
      </c>
      <c r="D1257" s="4">
        <v>315.10000000000002</v>
      </c>
      <c r="E1257" s="4">
        <v>310.5</v>
      </c>
      <c r="F1257" s="4" t="str">
        <v>568.17K</v>
      </c>
      <c r="G1257" s="4" t="str">
        <v>0.03%</v>
      </c>
      <c r="H1257" s="3">
        <v>43515</v>
      </c>
      <c r="I1257" s="4">
        <v>312.8</v>
      </c>
      <c r="O1257" s="4">
        <v>281</v>
      </c>
    </row>
    <row r="1258" spans="1:15" x14ac:dyDescent="0.25">
      <c r="A1258" s="3">
        <v>43514</v>
      </c>
      <c r="B1258" s="4">
        <v>311.8</v>
      </c>
      <c r="C1258" s="4">
        <v>310.39999999999998</v>
      </c>
      <c r="D1258" s="4">
        <v>317.35000000000002</v>
      </c>
      <c r="E1258" s="4">
        <v>309.3</v>
      </c>
      <c r="F1258" s="4" t="str">
        <v>772.47K</v>
      </c>
      <c r="G1258" s="4" t="str">
        <v>-0.70%</v>
      </c>
      <c r="H1258" s="3">
        <v>43514</v>
      </c>
      <c r="I1258" s="4">
        <v>313.32500000000005</v>
      </c>
      <c r="O1258" s="4">
        <v>280</v>
      </c>
    </row>
    <row r="1259" spans="1:15" x14ac:dyDescent="0.25">
      <c r="A1259" s="3">
        <v>43511</v>
      </c>
      <c r="B1259" s="4">
        <v>314</v>
      </c>
      <c r="C1259" s="4">
        <v>317.8</v>
      </c>
      <c r="D1259" s="4">
        <v>319</v>
      </c>
      <c r="E1259" s="4">
        <v>305.95</v>
      </c>
      <c r="F1259" s="4" t="str">
        <v>1.95M</v>
      </c>
      <c r="G1259" s="4" t="str">
        <v>-1.41%</v>
      </c>
      <c r="H1259" s="3">
        <v>43511</v>
      </c>
      <c r="I1259" s="4">
        <v>312.47500000000002</v>
      </c>
      <c r="O1259" s="4">
        <v>279</v>
      </c>
    </row>
    <row r="1260" spans="1:15" x14ac:dyDescent="0.25">
      <c r="A1260" s="3">
        <v>43510</v>
      </c>
      <c r="B1260" s="4">
        <v>318.5</v>
      </c>
      <c r="C1260" s="4">
        <v>319</v>
      </c>
      <c r="D1260" s="4">
        <v>323.3</v>
      </c>
      <c r="E1260" s="4">
        <v>315.7</v>
      </c>
      <c r="F1260" s="4" t="str">
        <v>834.17K</v>
      </c>
      <c r="G1260" s="4" t="str">
        <v>-0.72%</v>
      </c>
      <c r="H1260" s="3">
        <v>43510</v>
      </c>
      <c r="I1260" s="4">
        <v>319.5</v>
      </c>
      <c r="O1260" s="4">
        <v>278</v>
      </c>
    </row>
    <row r="1261" spans="1:15" x14ac:dyDescent="0.25">
      <c r="A1261" s="3">
        <v>43509</v>
      </c>
      <c r="B1261" s="4">
        <v>320.8</v>
      </c>
      <c r="C1261" s="4">
        <v>320</v>
      </c>
      <c r="D1261" s="4">
        <v>321.8</v>
      </c>
      <c r="E1261" s="4">
        <v>316</v>
      </c>
      <c r="F1261" s="4" t="str">
        <v>612.98K</v>
      </c>
      <c r="G1261" s="4" t="str">
        <v>0.38%</v>
      </c>
      <c r="H1261" s="3">
        <v>43509</v>
      </c>
      <c r="I1261" s="4">
        <v>318.89999999999998</v>
      </c>
      <c r="O1261" s="4" t="e">
        <v>#N/A</v>
      </c>
    </row>
    <row r="1262" spans="1:15" x14ac:dyDescent="0.25">
      <c r="A1262" s="3">
        <v>43508</v>
      </c>
      <c r="B1262" s="4">
        <v>319.60000000000002</v>
      </c>
      <c r="C1262" s="4">
        <v>324.5</v>
      </c>
      <c r="D1262" s="4">
        <v>326.35000000000002</v>
      </c>
      <c r="E1262" s="4">
        <v>318.39999999999998</v>
      </c>
      <c r="F1262" s="4" t="str">
        <v>975.11K</v>
      </c>
      <c r="G1262" s="4" t="str">
        <v>-1.48%</v>
      </c>
      <c r="H1262" s="3">
        <v>43508</v>
      </c>
      <c r="I1262" s="4">
        <v>322.375</v>
      </c>
      <c r="O1262" s="4">
        <v>277</v>
      </c>
    </row>
    <row r="1263" spans="1:15" x14ac:dyDescent="0.25">
      <c r="A1263" s="3">
        <v>43507</v>
      </c>
      <c r="B1263" s="4">
        <v>324.39999999999998</v>
      </c>
      <c r="C1263" s="4">
        <v>322.5</v>
      </c>
      <c r="D1263" s="4">
        <v>326.25</v>
      </c>
      <c r="E1263" s="4">
        <v>320</v>
      </c>
      <c r="F1263" s="4" t="str">
        <v>875.36K</v>
      </c>
      <c r="G1263" s="4" t="str">
        <v>0.70%</v>
      </c>
      <c r="H1263" s="3">
        <v>43507</v>
      </c>
      <c r="I1263" s="4">
        <v>323.125</v>
      </c>
      <c r="O1263" s="4">
        <v>276</v>
      </c>
    </row>
    <row r="1264" spans="1:15" x14ac:dyDescent="0.25">
      <c r="A1264" s="3">
        <v>43504</v>
      </c>
      <c r="B1264" s="4">
        <v>322.14999999999998</v>
      </c>
      <c r="C1264" s="4">
        <v>327.7</v>
      </c>
      <c r="D1264" s="4">
        <v>327.7</v>
      </c>
      <c r="E1264" s="4">
        <v>319.60000000000002</v>
      </c>
      <c r="F1264" s="4" t="str">
        <v>1.64M</v>
      </c>
      <c r="G1264" s="4" t="str">
        <v>0.06%</v>
      </c>
      <c r="H1264" s="3">
        <v>43504</v>
      </c>
      <c r="I1264" s="4">
        <v>323.64999999999998</v>
      </c>
      <c r="O1264" s="4">
        <v>275</v>
      </c>
    </row>
    <row r="1265" spans="1:15" x14ac:dyDescent="0.25">
      <c r="A1265" s="3">
        <v>43503</v>
      </c>
      <c r="B1265" s="4">
        <v>321.95</v>
      </c>
      <c r="C1265" s="4">
        <v>320.05</v>
      </c>
      <c r="D1265" s="4">
        <v>334.5</v>
      </c>
      <c r="E1265" s="4">
        <v>318.25</v>
      </c>
      <c r="F1265" s="4" t="str">
        <v>7.51M</v>
      </c>
      <c r="G1265" s="4" t="str">
        <v>1.26%</v>
      </c>
      <c r="H1265" s="3">
        <v>43503</v>
      </c>
      <c r="I1265" s="4">
        <v>326.375</v>
      </c>
      <c r="O1265" s="4">
        <v>274</v>
      </c>
    </row>
    <row r="1266" spans="1:15" x14ac:dyDescent="0.25">
      <c r="A1266" s="3">
        <v>43502</v>
      </c>
      <c r="B1266" s="4">
        <v>317.95</v>
      </c>
      <c r="C1266" s="4">
        <v>314</v>
      </c>
      <c r="D1266" s="4">
        <v>325</v>
      </c>
      <c r="E1266" s="4">
        <v>311.3</v>
      </c>
      <c r="F1266" s="4" t="str">
        <v>998.20K</v>
      </c>
      <c r="G1266" s="4" t="str">
        <v>0.98%</v>
      </c>
      <c r="H1266" s="3">
        <v>43502</v>
      </c>
      <c r="I1266" s="4">
        <v>318.14999999999998</v>
      </c>
      <c r="O1266" s="4">
        <v>273</v>
      </c>
    </row>
    <row r="1267" spans="1:15" x14ac:dyDescent="0.25">
      <c r="A1267" s="3">
        <v>43501</v>
      </c>
      <c r="B1267" s="4">
        <v>314.85000000000002</v>
      </c>
      <c r="C1267" s="4">
        <v>319.89999999999998</v>
      </c>
      <c r="D1267" s="4">
        <v>319.89999999999998</v>
      </c>
      <c r="E1267" s="4">
        <v>311.95</v>
      </c>
      <c r="F1267" s="4" t="str">
        <v>696.39K</v>
      </c>
      <c r="G1267" s="4" t="str">
        <v>-1.27%</v>
      </c>
      <c r="H1267" s="3">
        <v>43501</v>
      </c>
      <c r="I1267" s="4">
        <v>315.92499999999995</v>
      </c>
      <c r="O1267" s="4">
        <v>272</v>
      </c>
    </row>
    <row r="1268" spans="1:15" x14ac:dyDescent="0.25">
      <c r="A1268" s="3">
        <v>43500</v>
      </c>
      <c r="B1268" s="4">
        <v>318.89999999999998</v>
      </c>
      <c r="C1268" s="4">
        <v>323.5</v>
      </c>
      <c r="D1268" s="4">
        <v>326.89999999999998</v>
      </c>
      <c r="E1268" s="4">
        <v>315.5</v>
      </c>
      <c r="F1268" s="4" t="str">
        <v>994.07K</v>
      </c>
      <c r="G1268" s="4" t="str">
        <v>-1.45%</v>
      </c>
      <c r="H1268" s="3">
        <v>43500</v>
      </c>
      <c r="I1268" s="4">
        <v>321.2</v>
      </c>
      <c r="O1268" s="4">
        <v>271</v>
      </c>
    </row>
    <row r="1269" spans="1:15" x14ac:dyDescent="0.25">
      <c r="A1269" s="3">
        <v>43497</v>
      </c>
      <c r="B1269" s="4">
        <v>323.60000000000002</v>
      </c>
      <c r="C1269" s="4">
        <v>319.39999999999998</v>
      </c>
      <c r="D1269" s="4">
        <v>325</v>
      </c>
      <c r="E1269" s="4">
        <v>316.5</v>
      </c>
      <c r="F1269" s="4" t="str">
        <v>657.76K</v>
      </c>
      <c r="G1269" s="4" t="str">
        <v>1.46%</v>
      </c>
      <c r="H1269" s="3">
        <v>43497</v>
      </c>
      <c r="I1269" s="4">
        <v>320.75</v>
      </c>
      <c r="O1269" s="4">
        <v>270</v>
      </c>
    </row>
    <row r="1270" spans="1:15" x14ac:dyDescent="0.25">
      <c r="A1270" s="3">
        <v>43496</v>
      </c>
      <c r="B1270" s="4">
        <v>318.95</v>
      </c>
      <c r="C1270" s="4">
        <v>320</v>
      </c>
      <c r="D1270" s="4">
        <v>322.85000000000002</v>
      </c>
      <c r="E1270" s="4">
        <v>317.45</v>
      </c>
      <c r="F1270" s="4" t="str">
        <v>982.62K</v>
      </c>
      <c r="G1270" s="4" t="str">
        <v>-0.06%</v>
      </c>
      <c r="H1270" s="3">
        <v>43496</v>
      </c>
      <c r="I1270" s="4">
        <v>320.14999999999998</v>
      </c>
      <c r="O1270" s="4">
        <v>269</v>
      </c>
    </row>
    <row r="1271" spans="1:15" x14ac:dyDescent="0.25">
      <c r="A1271" s="3">
        <v>43495</v>
      </c>
      <c r="B1271" s="4">
        <v>319.14999999999998</v>
      </c>
      <c r="C1271" s="4">
        <v>321</v>
      </c>
      <c r="D1271" s="4">
        <v>325.89999999999998</v>
      </c>
      <c r="E1271" s="4">
        <v>314.39999999999998</v>
      </c>
      <c r="F1271" s="4" t="str">
        <v>1.28M</v>
      </c>
      <c r="G1271" s="4" t="str">
        <v>-0.79%</v>
      </c>
      <c r="H1271" s="3">
        <v>43495</v>
      </c>
      <c r="I1271" s="4">
        <v>320.14999999999998</v>
      </c>
      <c r="O1271" s="4">
        <v>268</v>
      </c>
    </row>
    <row r="1272" spans="1:15" x14ac:dyDescent="0.25">
      <c r="A1272" s="3">
        <v>43494</v>
      </c>
      <c r="B1272" s="4">
        <v>321.7</v>
      </c>
      <c r="C1272" s="4">
        <v>331</v>
      </c>
      <c r="D1272" s="4">
        <v>332.9</v>
      </c>
      <c r="E1272" s="4">
        <v>318.55</v>
      </c>
      <c r="F1272" s="4" t="str">
        <v>1.48M</v>
      </c>
      <c r="G1272" s="4" t="str">
        <v>-3.78%</v>
      </c>
      <c r="H1272" s="3">
        <v>43494</v>
      </c>
      <c r="I1272" s="4">
        <v>325.72500000000002</v>
      </c>
      <c r="O1272" s="4">
        <v>267</v>
      </c>
    </row>
    <row r="1273" spans="1:15" x14ac:dyDescent="0.25">
      <c r="A1273" s="3">
        <v>43493</v>
      </c>
      <c r="B1273" s="4">
        <v>334.35</v>
      </c>
      <c r="C1273" s="4">
        <v>343</v>
      </c>
      <c r="D1273" s="4">
        <v>343.6</v>
      </c>
      <c r="E1273" s="4">
        <v>325.10000000000002</v>
      </c>
      <c r="F1273" s="4" t="str">
        <v>1.48M</v>
      </c>
      <c r="G1273" s="4" t="str">
        <v>-2.72%</v>
      </c>
      <c r="H1273" s="3">
        <v>43493</v>
      </c>
      <c r="I1273" s="4">
        <v>334.35</v>
      </c>
      <c r="O1273" s="4">
        <v>266</v>
      </c>
    </row>
    <row r="1274" spans="1:15" x14ac:dyDescent="0.25">
      <c r="A1274" s="3">
        <v>43490</v>
      </c>
      <c r="B1274" s="4">
        <v>343.7</v>
      </c>
      <c r="C1274" s="4">
        <v>346</v>
      </c>
      <c r="D1274" s="4">
        <v>350.9</v>
      </c>
      <c r="E1274" s="4">
        <v>343</v>
      </c>
      <c r="F1274" s="4" t="str">
        <v>784.07K</v>
      </c>
      <c r="G1274" s="4" t="str">
        <v>-0.69%</v>
      </c>
      <c r="H1274" s="3">
        <v>43490</v>
      </c>
      <c r="I1274" s="4">
        <v>346.95</v>
      </c>
      <c r="O1274" s="4">
        <v>265</v>
      </c>
    </row>
    <row r="1275" spans="1:15" x14ac:dyDescent="0.25">
      <c r="A1275" s="3">
        <v>43489</v>
      </c>
      <c r="B1275" s="4">
        <v>346.1</v>
      </c>
      <c r="C1275" s="4">
        <v>342.1</v>
      </c>
      <c r="D1275" s="4">
        <v>347</v>
      </c>
      <c r="E1275" s="4">
        <v>341.3</v>
      </c>
      <c r="F1275" s="4" t="str">
        <v>545.63K</v>
      </c>
      <c r="G1275" s="4" t="str">
        <v>1.18%</v>
      </c>
      <c r="H1275" s="3">
        <v>43489</v>
      </c>
      <c r="I1275" s="4">
        <v>344.15</v>
      </c>
      <c r="O1275" s="4">
        <v>264</v>
      </c>
    </row>
    <row r="1276" spans="1:15" x14ac:dyDescent="0.25">
      <c r="A1276" s="3">
        <v>43488</v>
      </c>
      <c r="B1276" s="4">
        <v>342.05</v>
      </c>
      <c r="C1276" s="4">
        <v>346</v>
      </c>
      <c r="D1276" s="4">
        <v>346</v>
      </c>
      <c r="E1276" s="4">
        <v>340.7</v>
      </c>
      <c r="F1276" s="4" t="str">
        <v>573.51K</v>
      </c>
      <c r="G1276" s="4" t="str">
        <v>-1.16%</v>
      </c>
      <c r="H1276" s="3">
        <v>43488</v>
      </c>
      <c r="I1276" s="4">
        <v>343.35</v>
      </c>
      <c r="O1276" s="4">
        <v>263</v>
      </c>
    </row>
    <row r="1277" spans="1:15" x14ac:dyDescent="0.25">
      <c r="A1277" s="3">
        <v>43487</v>
      </c>
      <c r="B1277" s="4">
        <v>346.05</v>
      </c>
      <c r="C1277" s="4">
        <v>343.95</v>
      </c>
      <c r="D1277" s="4">
        <v>347.6</v>
      </c>
      <c r="E1277" s="4">
        <v>340.3</v>
      </c>
      <c r="F1277" s="4" t="str">
        <v>504.19K</v>
      </c>
      <c r="G1277" s="4" t="str">
        <v>0.42%</v>
      </c>
      <c r="H1277" s="3">
        <v>43487</v>
      </c>
      <c r="I1277" s="4">
        <v>343.95000000000005</v>
      </c>
      <c r="O1277" s="4">
        <v>262</v>
      </c>
    </row>
    <row r="1278" spans="1:15" x14ac:dyDescent="0.25">
      <c r="A1278" s="3">
        <v>43486</v>
      </c>
      <c r="B1278" s="4">
        <v>344.6</v>
      </c>
      <c r="C1278" s="4">
        <v>345.95</v>
      </c>
      <c r="D1278" s="4">
        <v>351.7</v>
      </c>
      <c r="E1278" s="4">
        <v>343.55</v>
      </c>
      <c r="F1278" s="4" t="str">
        <v>786.50K</v>
      </c>
      <c r="G1278" s="4" t="str">
        <v>-0.71%</v>
      </c>
      <c r="H1278" s="3">
        <v>43486</v>
      </c>
      <c r="I1278" s="4">
        <v>347.625</v>
      </c>
      <c r="O1278" s="4">
        <v>261</v>
      </c>
    </row>
    <row r="1279" spans="1:15" x14ac:dyDescent="0.25">
      <c r="A1279" s="3">
        <v>43483</v>
      </c>
      <c r="B1279" s="4">
        <v>347.05</v>
      </c>
      <c r="C1279" s="4">
        <v>353.3</v>
      </c>
      <c r="D1279" s="4">
        <v>354.45</v>
      </c>
      <c r="E1279" s="4">
        <v>343.05</v>
      </c>
      <c r="F1279" s="4" t="str">
        <v>1.22M</v>
      </c>
      <c r="G1279" s="4" t="str">
        <v>-2.47%</v>
      </c>
      <c r="H1279" s="3">
        <v>43483</v>
      </c>
      <c r="I1279" s="4">
        <v>348.75</v>
      </c>
      <c r="O1279" s="4">
        <v>260</v>
      </c>
    </row>
    <row r="1280" spans="1:15" x14ac:dyDescent="0.25">
      <c r="A1280" s="3">
        <v>43482</v>
      </c>
      <c r="B1280" s="4">
        <v>355.85</v>
      </c>
      <c r="C1280" s="4">
        <v>353</v>
      </c>
      <c r="D1280" s="4">
        <v>358.4</v>
      </c>
      <c r="E1280" s="4">
        <v>351.5</v>
      </c>
      <c r="F1280" s="4" t="str">
        <v>1.05M</v>
      </c>
      <c r="G1280" s="4" t="str">
        <v>0.94%</v>
      </c>
      <c r="H1280" s="3">
        <v>43482</v>
      </c>
      <c r="I1280" s="4">
        <v>354.95</v>
      </c>
      <c r="O1280" s="4">
        <v>259</v>
      </c>
    </row>
    <row r="1281" spans="1:15" x14ac:dyDescent="0.25">
      <c r="A1281" s="3">
        <v>43481</v>
      </c>
      <c r="B1281" s="4">
        <v>352.55</v>
      </c>
      <c r="C1281" s="4">
        <v>355</v>
      </c>
      <c r="D1281" s="4">
        <v>359.75</v>
      </c>
      <c r="E1281" s="4">
        <v>351.1</v>
      </c>
      <c r="F1281" s="4" t="str">
        <v>1.21M</v>
      </c>
      <c r="G1281" s="4" t="str">
        <v>-0.94%</v>
      </c>
      <c r="H1281" s="3">
        <v>43481</v>
      </c>
      <c r="I1281" s="4">
        <v>355.42500000000001</v>
      </c>
      <c r="O1281" s="4">
        <v>258</v>
      </c>
    </row>
    <row r="1282" spans="1:15" x14ac:dyDescent="0.25">
      <c r="A1282" s="3">
        <v>43480</v>
      </c>
      <c r="B1282" s="4">
        <v>355.9</v>
      </c>
      <c r="C1282" s="4">
        <v>355.1</v>
      </c>
      <c r="D1282" s="4">
        <v>357.85</v>
      </c>
      <c r="E1282" s="4">
        <v>352.9</v>
      </c>
      <c r="F1282" s="4" t="str">
        <v>1.07M</v>
      </c>
      <c r="G1282" s="4" t="str">
        <v>0.62%</v>
      </c>
      <c r="H1282" s="3">
        <v>43480</v>
      </c>
      <c r="I1282" s="4">
        <v>355.375</v>
      </c>
      <c r="O1282" s="4">
        <v>257</v>
      </c>
    </row>
    <row r="1283" spans="1:15" x14ac:dyDescent="0.25">
      <c r="A1283" s="3">
        <v>43479</v>
      </c>
      <c r="B1283" s="4">
        <v>353.7</v>
      </c>
      <c r="C1283" s="4">
        <v>350.25</v>
      </c>
      <c r="D1283" s="4">
        <v>355.9</v>
      </c>
      <c r="E1283" s="4">
        <v>349.6</v>
      </c>
      <c r="F1283" s="4" t="str">
        <v>1.67M</v>
      </c>
      <c r="G1283" s="4" t="str">
        <v>1.55%</v>
      </c>
      <c r="H1283" s="3">
        <v>43479</v>
      </c>
      <c r="I1283" s="4">
        <v>352.75</v>
      </c>
      <c r="O1283" s="4">
        <v>256</v>
      </c>
    </row>
    <row r="1284" spans="1:15" x14ac:dyDescent="0.25">
      <c r="A1284" s="3">
        <v>43476</v>
      </c>
      <c r="B1284" s="4">
        <v>348.3</v>
      </c>
      <c r="C1284" s="4">
        <v>348.3</v>
      </c>
      <c r="D1284" s="4">
        <v>352.7</v>
      </c>
      <c r="E1284" s="4">
        <v>347.25</v>
      </c>
      <c r="F1284" s="4" t="str">
        <v>891.39K</v>
      </c>
      <c r="G1284" s="4" t="str">
        <v>-0.49%</v>
      </c>
      <c r="H1284" s="3">
        <v>43476</v>
      </c>
      <c r="I1284" s="4">
        <v>349.97500000000002</v>
      </c>
      <c r="O1284" s="4">
        <v>255</v>
      </c>
    </row>
    <row r="1285" spans="1:15" x14ac:dyDescent="0.25">
      <c r="A1285" s="3">
        <v>43475</v>
      </c>
      <c r="B1285" s="4">
        <v>350</v>
      </c>
      <c r="C1285" s="4">
        <v>346.9</v>
      </c>
      <c r="D1285" s="4">
        <v>351.3</v>
      </c>
      <c r="E1285" s="4">
        <v>345.85</v>
      </c>
      <c r="F1285" s="4" t="str">
        <v>497.89K</v>
      </c>
      <c r="G1285" s="4" t="str">
        <v>0.66%</v>
      </c>
      <c r="H1285" s="3">
        <v>43475</v>
      </c>
      <c r="I1285" s="4">
        <v>348.57500000000005</v>
      </c>
      <c r="O1285" s="4">
        <v>254</v>
      </c>
    </row>
    <row r="1286" spans="1:15" x14ac:dyDescent="0.25">
      <c r="A1286" s="3">
        <v>43474</v>
      </c>
      <c r="B1286" s="4">
        <v>347.7</v>
      </c>
      <c r="C1286" s="4">
        <v>349.25</v>
      </c>
      <c r="D1286" s="4">
        <v>352.35</v>
      </c>
      <c r="E1286" s="4">
        <v>344.25</v>
      </c>
      <c r="F1286" s="4" t="str">
        <v>536.27K</v>
      </c>
      <c r="G1286" s="4" t="str">
        <v>-0.44%</v>
      </c>
      <c r="H1286" s="3">
        <v>43474</v>
      </c>
      <c r="I1286" s="4">
        <v>348.3</v>
      </c>
      <c r="O1286" s="4">
        <v>253</v>
      </c>
    </row>
    <row r="1287" spans="1:15" x14ac:dyDescent="0.25">
      <c r="A1287" s="3">
        <v>43473</v>
      </c>
      <c r="B1287" s="4">
        <v>349.25</v>
      </c>
      <c r="C1287" s="4">
        <v>349.2</v>
      </c>
      <c r="D1287" s="4">
        <v>352.95</v>
      </c>
      <c r="E1287" s="4">
        <v>347.1</v>
      </c>
      <c r="F1287" s="4" t="str">
        <v>998.83K</v>
      </c>
      <c r="G1287" s="4" t="str">
        <v>0.10%</v>
      </c>
      <c r="H1287" s="3">
        <v>43473</v>
      </c>
      <c r="I1287" s="4">
        <v>350.02499999999998</v>
      </c>
      <c r="O1287" s="4">
        <v>252</v>
      </c>
    </row>
    <row r="1288" spans="1:15" x14ac:dyDescent="0.25">
      <c r="A1288" s="3">
        <v>43472</v>
      </c>
      <c r="B1288" s="4">
        <v>348.9</v>
      </c>
      <c r="C1288" s="4">
        <v>346.75</v>
      </c>
      <c r="D1288" s="4">
        <v>349.65</v>
      </c>
      <c r="E1288" s="4">
        <v>344.2</v>
      </c>
      <c r="F1288" s="4" t="str">
        <v>516.83K</v>
      </c>
      <c r="G1288" s="4" t="str">
        <v>1.37%</v>
      </c>
      <c r="H1288" s="3">
        <v>43472</v>
      </c>
      <c r="I1288" s="4">
        <v>346.92499999999995</v>
      </c>
      <c r="O1288" s="4">
        <v>251</v>
      </c>
    </row>
    <row r="1289" spans="1:15" x14ac:dyDescent="0.25">
      <c r="A1289" s="3">
        <v>43469</v>
      </c>
      <c r="B1289" s="4">
        <v>344.2</v>
      </c>
      <c r="C1289" s="4">
        <v>345</v>
      </c>
      <c r="D1289" s="4">
        <v>345</v>
      </c>
      <c r="E1289" s="4">
        <v>339</v>
      </c>
      <c r="F1289" s="4" t="str">
        <v>579.72K</v>
      </c>
      <c r="G1289" s="4" t="str">
        <v>0.16%</v>
      </c>
      <c r="H1289" s="3">
        <v>43469</v>
      </c>
      <c r="I1289" s="4">
        <v>342</v>
      </c>
      <c r="O1289" s="4">
        <v>250</v>
      </c>
    </row>
    <row r="1290" spans="1:15" x14ac:dyDescent="0.25">
      <c r="A1290" s="3">
        <v>43468</v>
      </c>
      <c r="B1290" s="4">
        <v>343.65</v>
      </c>
      <c r="C1290" s="4">
        <v>345.05</v>
      </c>
      <c r="D1290" s="4">
        <v>348.8</v>
      </c>
      <c r="E1290" s="4">
        <v>342</v>
      </c>
      <c r="F1290" s="4" t="str">
        <v>482.20K</v>
      </c>
      <c r="G1290" s="4" t="str">
        <v>-0.89%</v>
      </c>
      <c r="H1290" s="3">
        <v>43468</v>
      </c>
      <c r="I1290" s="4">
        <v>345.4</v>
      </c>
      <c r="O1290" s="4">
        <v>249</v>
      </c>
    </row>
    <row r="1291" spans="1:15" x14ac:dyDescent="0.25">
      <c r="A1291" s="3">
        <v>43467</v>
      </c>
      <c r="B1291" s="4">
        <v>346.75</v>
      </c>
      <c r="C1291" s="4">
        <v>348.5</v>
      </c>
      <c r="D1291" s="4">
        <v>350</v>
      </c>
      <c r="E1291" s="4">
        <v>342.55</v>
      </c>
      <c r="F1291" s="4" t="str">
        <v>558.35K</v>
      </c>
      <c r="G1291" s="4" t="str">
        <v>-0.94%</v>
      </c>
      <c r="H1291" s="3">
        <v>43467</v>
      </c>
      <c r="I1291" s="4">
        <v>346.27499999999998</v>
      </c>
      <c r="O1291" s="4">
        <v>248</v>
      </c>
    </row>
    <row r="1292" spans="1:15" x14ac:dyDescent="0.25">
      <c r="A1292" s="3">
        <v>43466</v>
      </c>
      <c r="B1292" s="4">
        <v>350.05</v>
      </c>
      <c r="C1292" s="4">
        <v>348.65</v>
      </c>
      <c r="D1292" s="4">
        <v>352.9</v>
      </c>
      <c r="E1292" s="4">
        <v>348.35</v>
      </c>
      <c r="F1292" s="4" t="str">
        <v>692.06K</v>
      </c>
      <c r="G1292" s="4" t="str">
        <v>0.46%</v>
      </c>
      <c r="H1292" s="3">
        <v>43466</v>
      </c>
      <c r="I1292" s="4">
        <v>350.625</v>
      </c>
      <c r="O1292" s="4">
        <v>247</v>
      </c>
    </row>
    <row r="1293" spans="1:15" x14ac:dyDescent="0.25">
      <c r="A1293" s="3">
        <v>43465</v>
      </c>
      <c r="B1293" s="4">
        <v>348.45</v>
      </c>
      <c r="C1293" s="4">
        <v>350</v>
      </c>
      <c r="D1293" s="4">
        <v>350.4</v>
      </c>
      <c r="E1293" s="4">
        <v>346.5</v>
      </c>
      <c r="F1293" s="4" t="str">
        <v>1.17M</v>
      </c>
      <c r="G1293" s="4" t="str">
        <v>0.91%</v>
      </c>
      <c r="H1293" s="3">
        <v>43465</v>
      </c>
      <c r="I1293" s="4">
        <v>348.45</v>
      </c>
      <c r="O1293" s="4">
        <v>246</v>
      </c>
    </row>
    <row r="1294" spans="1:15" x14ac:dyDescent="0.25">
      <c r="A1294" s="3">
        <v>43462</v>
      </c>
      <c r="B1294" s="4">
        <v>345.3</v>
      </c>
      <c r="C1294" s="4">
        <v>340.25</v>
      </c>
      <c r="D1294" s="4">
        <v>347.6</v>
      </c>
      <c r="E1294" s="4">
        <v>339.35</v>
      </c>
      <c r="F1294" s="4" t="str">
        <v>782.76K</v>
      </c>
      <c r="G1294" s="4" t="str">
        <v>1.92%</v>
      </c>
      <c r="H1294" s="3">
        <v>43462</v>
      </c>
      <c r="I1294" s="4">
        <v>343.47500000000002</v>
      </c>
      <c r="O1294" s="4">
        <v>245</v>
      </c>
    </row>
    <row r="1295" spans="1:15" x14ac:dyDescent="0.25">
      <c r="A1295" s="3">
        <v>43461</v>
      </c>
      <c r="B1295" s="4">
        <v>338.8</v>
      </c>
      <c r="C1295" s="4">
        <v>342.95</v>
      </c>
      <c r="D1295" s="4">
        <v>343</v>
      </c>
      <c r="E1295" s="4">
        <v>338</v>
      </c>
      <c r="F1295" s="4" t="str">
        <v>537.84K</v>
      </c>
      <c r="G1295" s="4" t="str">
        <v>-0.18%</v>
      </c>
      <c r="H1295" s="3">
        <v>43461</v>
      </c>
      <c r="I1295" s="4">
        <v>340.5</v>
      </c>
      <c r="O1295" s="4">
        <v>244</v>
      </c>
    </row>
    <row r="1296" spans="1:15" x14ac:dyDescent="0.25">
      <c r="A1296" s="3">
        <v>43460</v>
      </c>
      <c r="B1296" s="4">
        <v>339.4</v>
      </c>
      <c r="C1296" s="4">
        <v>342</v>
      </c>
      <c r="D1296" s="4">
        <v>342.35</v>
      </c>
      <c r="E1296" s="4">
        <v>336.2</v>
      </c>
      <c r="F1296" s="4" t="str">
        <v>522.05K</v>
      </c>
      <c r="G1296" s="4" t="str">
        <v>-0.66%</v>
      </c>
      <c r="H1296" s="3">
        <v>43460</v>
      </c>
      <c r="I1296" s="4">
        <v>339.27499999999998</v>
      </c>
      <c r="O1296" s="4">
        <v>243</v>
      </c>
    </row>
    <row r="1297" spans="1:15" x14ac:dyDescent="0.25">
      <c r="A1297" s="3">
        <v>43458</v>
      </c>
      <c r="B1297" s="4">
        <v>341.65</v>
      </c>
      <c r="C1297" s="4">
        <v>342.2</v>
      </c>
      <c r="D1297" s="4">
        <v>344.45</v>
      </c>
      <c r="E1297" s="4">
        <v>340.4</v>
      </c>
      <c r="F1297" s="4" t="str">
        <v>499.57K</v>
      </c>
      <c r="G1297" s="4" t="str">
        <v>-0.07%</v>
      </c>
      <c r="H1297" s="3">
        <v>43458</v>
      </c>
      <c r="I1297" s="4">
        <v>342.42499999999995</v>
      </c>
      <c r="O1297" s="4">
        <v>242</v>
      </c>
    </row>
    <row r="1298" spans="1:15" x14ac:dyDescent="0.25">
      <c r="A1298" s="3">
        <v>43455</v>
      </c>
      <c r="B1298" s="4">
        <v>341.9</v>
      </c>
      <c r="C1298" s="4">
        <v>345.15</v>
      </c>
      <c r="D1298" s="4">
        <v>347.85</v>
      </c>
      <c r="E1298" s="4">
        <v>340.2</v>
      </c>
      <c r="F1298" s="4" t="str">
        <v>719.39K</v>
      </c>
      <c r="G1298" s="4" t="str">
        <v>-0.68%</v>
      </c>
      <c r="H1298" s="3">
        <v>43455</v>
      </c>
      <c r="I1298" s="4">
        <v>344.02499999999998</v>
      </c>
      <c r="O1298" s="4">
        <v>241</v>
      </c>
    </row>
    <row r="1299" spans="1:15" x14ac:dyDescent="0.25">
      <c r="A1299" s="3">
        <v>43454</v>
      </c>
      <c r="B1299" s="4">
        <v>344.25</v>
      </c>
      <c r="C1299" s="4">
        <v>342.5</v>
      </c>
      <c r="D1299" s="4">
        <v>345.8</v>
      </c>
      <c r="E1299" s="4">
        <v>342</v>
      </c>
      <c r="F1299" s="4" t="str">
        <v>852.17K</v>
      </c>
      <c r="G1299" s="4" t="str">
        <v>0.35%</v>
      </c>
      <c r="H1299" s="3">
        <v>43454</v>
      </c>
      <c r="I1299" s="4">
        <v>343.9</v>
      </c>
      <c r="O1299" s="4">
        <v>240</v>
      </c>
    </row>
    <row r="1300" spans="1:15" x14ac:dyDescent="0.25">
      <c r="A1300" s="3">
        <v>43453</v>
      </c>
      <c r="B1300" s="4">
        <v>343.05</v>
      </c>
      <c r="C1300" s="4">
        <v>348</v>
      </c>
      <c r="D1300" s="4">
        <v>348</v>
      </c>
      <c r="E1300" s="4">
        <v>342.3</v>
      </c>
      <c r="F1300" s="4" t="str">
        <v>1.07M</v>
      </c>
      <c r="G1300" s="4" t="str">
        <v>-0.64%</v>
      </c>
      <c r="H1300" s="3">
        <v>43453</v>
      </c>
      <c r="I1300" s="4">
        <v>345.15</v>
      </c>
      <c r="O1300" s="4">
        <v>239</v>
      </c>
    </row>
    <row r="1301" spans="1:15" x14ac:dyDescent="0.25">
      <c r="A1301" s="3">
        <v>43452</v>
      </c>
      <c r="B1301" s="4">
        <v>345.25</v>
      </c>
      <c r="C1301" s="4">
        <v>347.25</v>
      </c>
      <c r="D1301" s="4">
        <v>347.95</v>
      </c>
      <c r="E1301" s="4">
        <v>341.45</v>
      </c>
      <c r="F1301" s="4" t="str">
        <v>1.38M</v>
      </c>
      <c r="G1301" s="4" t="str">
        <v>-1.64%</v>
      </c>
      <c r="H1301" s="3">
        <v>43452</v>
      </c>
      <c r="I1301" s="4">
        <v>344.7</v>
      </c>
      <c r="O1301" s="4">
        <v>238</v>
      </c>
    </row>
    <row r="1302" spans="1:15" x14ac:dyDescent="0.25">
      <c r="A1302" s="3">
        <v>43451</v>
      </c>
      <c r="B1302" s="4">
        <v>351</v>
      </c>
      <c r="C1302" s="4">
        <v>350.35</v>
      </c>
      <c r="D1302" s="4">
        <v>352.95</v>
      </c>
      <c r="E1302" s="4">
        <v>348.2</v>
      </c>
      <c r="F1302" s="4" t="str">
        <v>843.65K</v>
      </c>
      <c r="G1302" s="4" t="str">
        <v>1.31%</v>
      </c>
      <c r="H1302" s="3">
        <v>43451</v>
      </c>
      <c r="I1302" s="4">
        <v>350.57499999999999</v>
      </c>
      <c r="O1302" s="4">
        <v>237</v>
      </c>
    </row>
    <row r="1303" spans="1:15" x14ac:dyDescent="0.25">
      <c r="A1303" s="3">
        <v>43448</v>
      </c>
      <c r="B1303" s="4">
        <v>346.45</v>
      </c>
      <c r="C1303" s="4">
        <v>347.1</v>
      </c>
      <c r="D1303" s="4">
        <v>351.6</v>
      </c>
      <c r="E1303" s="4">
        <v>344.5</v>
      </c>
      <c r="F1303" s="4" t="str">
        <v>703.33K</v>
      </c>
      <c r="G1303" s="4" t="str">
        <v>-0.84%</v>
      </c>
      <c r="H1303" s="3">
        <v>43448</v>
      </c>
      <c r="I1303" s="4">
        <v>348.05</v>
      </c>
      <c r="O1303" s="4">
        <v>236</v>
      </c>
    </row>
    <row r="1304" spans="1:15" x14ac:dyDescent="0.25">
      <c r="A1304" s="3">
        <v>43447</v>
      </c>
      <c r="B1304" s="4">
        <v>349.4</v>
      </c>
      <c r="C1304" s="4">
        <v>352.9</v>
      </c>
      <c r="D1304" s="4">
        <v>358.25</v>
      </c>
      <c r="E1304" s="4">
        <v>348</v>
      </c>
      <c r="F1304" s="4" t="str">
        <v>1.10M</v>
      </c>
      <c r="G1304" s="4" t="str">
        <v>-0.99%</v>
      </c>
      <c r="H1304" s="3">
        <v>43447</v>
      </c>
      <c r="I1304" s="4">
        <v>353.125</v>
      </c>
      <c r="O1304" s="4">
        <v>235</v>
      </c>
    </row>
    <row r="1305" spans="1:15" x14ac:dyDescent="0.25">
      <c r="A1305" s="3">
        <v>43446</v>
      </c>
      <c r="B1305" s="4">
        <v>352.9</v>
      </c>
      <c r="C1305" s="4">
        <v>348</v>
      </c>
      <c r="D1305" s="4">
        <v>354.9</v>
      </c>
      <c r="E1305" s="4">
        <v>348</v>
      </c>
      <c r="F1305" s="4" t="str">
        <v>1.31M</v>
      </c>
      <c r="G1305" s="4" t="str">
        <v>2.10%</v>
      </c>
      <c r="H1305" s="3">
        <v>43446</v>
      </c>
      <c r="I1305" s="4">
        <v>351.45</v>
      </c>
      <c r="O1305" s="4">
        <v>234</v>
      </c>
    </row>
    <row r="1306" spans="1:15" x14ac:dyDescent="0.25">
      <c r="A1306" s="3">
        <v>43445</v>
      </c>
      <c r="B1306" s="4">
        <v>345.65</v>
      </c>
      <c r="C1306" s="4">
        <v>337.1</v>
      </c>
      <c r="D1306" s="4">
        <v>348</v>
      </c>
      <c r="E1306" s="4">
        <v>336.15</v>
      </c>
      <c r="F1306" s="4" t="str">
        <v>1.18M</v>
      </c>
      <c r="G1306" s="4" t="str">
        <v>1.54%</v>
      </c>
      <c r="H1306" s="3">
        <v>43445</v>
      </c>
      <c r="I1306" s="4">
        <v>342.07499999999999</v>
      </c>
      <c r="O1306" s="4">
        <v>233</v>
      </c>
    </row>
    <row r="1307" spans="1:15" x14ac:dyDescent="0.25">
      <c r="A1307" s="3">
        <v>43444</v>
      </c>
      <c r="B1307" s="4">
        <v>340.4</v>
      </c>
      <c r="C1307" s="4">
        <v>344</v>
      </c>
      <c r="D1307" s="4">
        <v>349.8</v>
      </c>
      <c r="E1307" s="4">
        <v>339.2</v>
      </c>
      <c r="F1307" s="4" t="str">
        <v>862.97K</v>
      </c>
      <c r="G1307" s="4" t="str">
        <v>-2.58%</v>
      </c>
      <c r="H1307" s="3">
        <v>43444</v>
      </c>
      <c r="I1307" s="4">
        <v>344.5</v>
      </c>
      <c r="O1307" s="4">
        <v>232</v>
      </c>
    </row>
    <row r="1308" spans="1:15" x14ac:dyDescent="0.25">
      <c r="A1308" s="3">
        <v>43441</v>
      </c>
      <c r="B1308" s="4">
        <v>349.4</v>
      </c>
      <c r="C1308" s="4">
        <v>354.9</v>
      </c>
      <c r="D1308" s="4">
        <v>355.85</v>
      </c>
      <c r="E1308" s="4">
        <v>348.7</v>
      </c>
      <c r="F1308" s="4" t="str">
        <v>869.68K</v>
      </c>
      <c r="G1308" s="4" t="str">
        <v>-1.80%</v>
      </c>
      <c r="H1308" s="3">
        <v>43441</v>
      </c>
      <c r="I1308" s="4">
        <v>352.27499999999998</v>
      </c>
      <c r="O1308" s="4">
        <v>231</v>
      </c>
    </row>
    <row r="1309" spans="1:15" x14ac:dyDescent="0.25">
      <c r="A1309" s="3">
        <v>43440</v>
      </c>
      <c r="B1309" s="4">
        <v>355.8</v>
      </c>
      <c r="C1309" s="4">
        <v>356.65</v>
      </c>
      <c r="D1309" s="4">
        <v>358.05</v>
      </c>
      <c r="E1309" s="4">
        <v>350.25</v>
      </c>
      <c r="F1309" s="4" t="str">
        <v>775.21K</v>
      </c>
      <c r="G1309" s="4" t="str">
        <v>-0.74%</v>
      </c>
      <c r="H1309" s="3">
        <v>43440</v>
      </c>
      <c r="I1309" s="4">
        <v>354.15</v>
      </c>
      <c r="O1309" s="4">
        <v>230</v>
      </c>
    </row>
    <row r="1310" spans="1:15" x14ac:dyDescent="0.25">
      <c r="A1310" s="3">
        <v>43439</v>
      </c>
      <c r="B1310" s="4">
        <v>358.45</v>
      </c>
      <c r="C1310" s="4">
        <v>355.5</v>
      </c>
      <c r="D1310" s="4">
        <v>363.5</v>
      </c>
      <c r="E1310" s="4">
        <v>354.5</v>
      </c>
      <c r="F1310" s="4" t="str">
        <v>1.69M</v>
      </c>
      <c r="G1310" s="4" t="str">
        <v>1.46%</v>
      </c>
      <c r="H1310" s="3">
        <v>43439</v>
      </c>
      <c r="I1310" s="4">
        <v>359</v>
      </c>
      <c r="O1310" s="4">
        <v>229</v>
      </c>
    </row>
    <row r="1311" spans="1:15" x14ac:dyDescent="0.25">
      <c r="A1311" s="3">
        <v>43438</v>
      </c>
      <c r="B1311" s="4">
        <v>353.3</v>
      </c>
      <c r="C1311" s="4">
        <v>357.9</v>
      </c>
      <c r="D1311" s="4">
        <v>363.3</v>
      </c>
      <c r="E1311" s="4">
        <v>347.05</v>
      </c>
      <c r="F1311" s="4" t="str">
        <v>1.20M</v>
      </c>
      <c r="G1311" s="4" t="str">
        <v>-0.98%</v>
      </c>
      <c r="H1311" s="3">
        <v>43438</v>
      </c>
      <c r="I1311" s="4">
        <v>355.17500000000001</v>
      </c>
      <c r="O1311" s="4">
        <v>228</v>
      </c>
    </row>
    <row r="1312" spans="1:15" x14ac:dyDescent="0.25">
      <c r="A1312" s="3">
        <v>43437</v>
      </c>
      <c r="B1312" s="4">
        <v>356.8</v>
      </c>
      <c r="C1312" s="4">
        <v>369</v>
      </c>
      <c r="D1312" s="4">
        <v>369</v>
      </c>
      <c r="E1312" s="4">
        <v>353.55</v>
      </c>
      <c r="F1312" s="4" t="str">
        <v>1.43M</v>
      </c>
      <c r="G1312" s="4" t="str">
        <v>-2.33%</v>
      </c>
      <c r="H1312" s="3">
        <v>43437</v>
      </c>
      <c r="I1312" s="4">
        <v>361.27499999999998</v>
      </c>
      <c r="O1312" s="4">
        <v>227</v>
      </c>
    </row>
    <row r="1313" spans="1:15" x14ac:dyDescent="0.25">
      <c r="A1313" s="3">
        <v>43434</v>
      </c>
      <c r="B1313" s="4">
        <v>365.3</v>
      </c>
      <c r="C1313" s="4">
        <v>356</v>
      </c>
      <c r="D1313" s="4">
        <v>367.45</v>
      </c>
      <c r="E1313" s="4">
        <v>354.35</v>
      </c>
      <c r="F1313" s="4" t="str">
        <v>1.22M</v>
      </c>
      <c r="G1313" s="4" t="str">
        <v>2.35%</v>
      </c>
      <c r="H1313" s="3">
        <v>43434</v>
      </c>
      <c r="I1313" s="4">
        <v>360.9</v>
      </c>
      <c r="O1313" s="4">
        <v>226</v>
      </c>
    </row>
    <row r="1314" spans="1:15" x14ac:dyDescent="0.25">
      <c r="A1314" s="3">
        <v>43433</v>
      </c>
      <c r="B1314" s="4">
        <v>356.9</v>
      </c>
      <c r="C1314" s="4">
        <v>345</v>
      </c>
      <c r="D1314" s="4">
        <v>360.3</v>
      </c>
      <c r="E1314" s="4">
        <v>341.65</v>
      </c>
      <c r="F1314" s="4" t="str">
        <v>2.82M</v>
      </c>
      <c r="G1314" s="4" t="str">
        <v>3.81%</v>
      </c>
      <c r="H1314" s="3">
        <v>43433</v>
      </c>
      <c r="I1314" s="4">
        <v>350.97500000000002</v>
      </c>
      <c r="O1314" s="4">
        <v>225</v>
      </c>
    </row>
    <row r="1315" spans="1:15" x14ac:dyDescent="0.25">
      <c r="A1315" s="3">
        <v>43432</v>
      </c>
      <c r="B1315" s="4">
        <v>343.8</v>
      </c>
      <c r="C1315" s="4">
        <v>347.2</v>
      </c>
      <c r="D1315" s="4">
        <v>349.65</v>
      </c>
      <c r="E1315" s="4">
        <v>342</v>
      </c>
      <c r="F1315" s="4" t="str">
        <v>944.03K</v>
      </c>
      <c r="G1315" s="4" t="str">
        <v>-0.56%</v>
      </c>
      <c r="H1315" s="3">
        <v>43432</v>
      </c>
      <c r="I1315" s="4">
        <v>345.82499999999999</v>
      </c>
      <c r="O1315" s="4">
        <v>224</v>
      </c>
    </row>
    <row r="1316" spans="1:15" x14ac:dyDescent="0.25">
      <c r="A1316" s="3">
        <v>43431</v>
      </c>
      <c r="B1316" s="4">
        <v>345.75</v>
      </c>
      <c r="C1316" s="4">
        <v>356</v>
      </c>
      <c r="D1316" s="4">
        <v>356.9</v>
      </c>
      <c r="E1316" s="4">
        <v>342.5</v>
      </c>
      <c r="F1316" s="4" t="str">
        <v>1.51M</v>
      </c>
      <c r="G1316" s="4" t="str">
        <v>-2.22%</v>
      </c>
      <c r="H1316" s="3">
        <v>43431</v>
      </c>
      <c r="I1316" s="4">
        <v>349.7</v>
      </c>
      <c r="O1316" s="4">
        <v>223</v>
      </c>
    </row>
    <row r="1317" spans="1:15" x14ac:dyDescent="0.25">
      <c r="A1317" s="3">
        <v>43430</v>
      </c>
      <c r="B1317" s="4">
        <v>353.6</v>
      </c>
      <c r="C1317" s="4">
        <v>354.8</v>
      </c>
      <c r="D1317" s="4">
        <v>358</v>
      </c>
      <c r="E1317" s="4">
        <v>345.1</v>
      </c>
      <c r="F1317" s="4" t="str">
        <v>809.03K</v>
      </c>
      <c r="G1317" s="4" t="str">
        <v>-0.08%</v>
      </c>
      <c r="H1317" s="3">
        <v>43430</v>
      </c>
      <c r="I1317" s="4">
        <v>351.55</v>
      </c>
      <c r="O1317" s="4">
        <v>222</v>
      </c>
    </row>
    <row r="1318" spans="1:15" x14ac:dyDescent="0.25">
      <c r="A1318" s="3">
        <v>43426</v>
      </c>
      <c r="B1318" s="4">
        <v>353.9</v>
      </c>
      <c r="C1318" s="4">
        <v>357.55</v>
      </c>
      <c r="D1318" s="4">
        <v>358.6</v>
      </c>
      <c r="E1318" s="4">
        <v>352.4</v>
      </c>
      <c r="F1318" s="4" t="str">
        <v>539.46K</v>
      </c>
      <c r="G1318" s="4" t="str">
        <v>-1.31%</v>
      </c>
      <c r="H1318" s="3">
        <v>43426</v>
      </c>
      <c r="I1318" s="4">
        <v>355.5</v>
      </c>
      <c r="O1318" s="4">
        <v>221</v>
      </c>
    </row>
    <row r="1319" spans="1:15" x14ac:dyDescent="0.25">
      <c r="A1319" s="3">
        <v>43425</v>
      </c>
      <c r="B1319" s="4">
        <v>358.6</v>
      </c>
      <c r="C1319" s="4">
        <v>355.3</v>
      </c>
      <c r="D1319" s="4">
        <v>360.3</v>
      </c>
      <c r="E1319" s="4">
        <v>352.45</v>
      </c>
      <c r="F1319" s="4" t="str">
        <v>562.00K</v>
      </c>
      <c r="G1319" s="4" t="str">
        <v>1.01%</v>
      </c>
      <c r="H1319" s="3">
        <v>43425</v>
      </c>
      <c r="I1319" s="4">
        <v>356.375</v>
      </c>
      <c r="O1319" s="4">
        <v>220</v>
      </c>
    </row>
    <row r="1320" spans="1:15" x14ac:dyDescent="0.25">
      <c r="A1320" s="3">
        <v>43424</v>
      </c>
      <c r="B1320" s="4">
        <v>355</v>
      </c>
      <c r="C1320" s="4">
        <v>361.8</v>
      </c>
      <c r="D1320" s="4">
        <v>364.05</v>
      </c>
      <c r="E1320" s="4">
        <v>352.05</v>
      </c>
      <c r="F1320" s="4" t="str">
        <v>764.22K</v>
      </c>
      <c r="G1320" s="4" t="str">
        <v>-2.49%</v>
      </c>
      <c r="H1320" s="3">
        <v>43424</v>
      </c>
      <c r="I1320" s="4">
        <v>358.05</v>
      </c>
      <c r="O1320" s="4">
        <v>219</v>
      </c>
    </row>
    <row r="1321" spans="1:15" x14ac:dyDescent="0.25">
      <c r="A1321" s="3">
        <v>43423</v>
      </c>
      <c r="B1321" s="4">
        <v>364.05</v>
      </c>
      <c r="C1321" s="4">
        <v>357.95</v>
      </c>
      <c r="D1321" s="4">
        <v>365.9</v>
      </c>
      <c r="E1321" s="4">
        <v>353</v>
      </c>
      <c r="F1321" s="4" t="str">
        <v>1.11M</v>
      </c>
      <c r="G1321" s="4" t="str">
        <v>2.49%</v>
      </c>
      <c r="H1321" s="3">
        <v>43423</v>
      </c>
      <c r="I1321" s="4">
        <v>359.45</v>
      </c>
      <c r="O1321" s="4">
        <v>218</v>
      </c>
    </row>
    <row r="1322" spans="1:15" x14ac:dyDescent="0.25">
      <c r="A1322" s="3">
        <v>43420</v>
      </c>
      <c r="B1322" s="4">
        <v>355.2</v>
      </c>
      <c r="C1322" s="4">
        <v>359.3</v>
      </c>
      <c r="D1322" s="4">
        <v>364.45</v>
      </c>
      <c r="E1322" s="4">
        <v>351.6</v>
      </c>
      <c r="F1322" s="4" t="str">
        <v>1.17M</v>
      </c>
      <c r="G1322" s="4" t="str">
        <v>-1.14%</v>
      </c>
      <c r="H1322" s="3">
        <v>43420</v>
      </c>
      <c r="I1322" s="4">
        <v>358.02499999999998</v>
      </c>
      <c r="O1322" s="4">
        <v>217</v>
      </c>
    </row>
    <row r="1323" spans="1:15" x14ac:dyDescent="0.25">
      <c r="A1323" s="3">
        <v>43419</v>
      </c>
      <c r="B1323" s="4">
        <v>359.3</v>
      </c>
      <c r="C1323" s="4">
        <v>371.35</v>
      </c>
      <c r="D1323" s="4">
        <v>371.5</v>
      </c>
      <c r="E1323" s="4">
        <v>357.95</v>
      </c>
      <c r="F1323" s="4" t="str">
        <v>840.34K</v>
      </c>
      <c r="G1323" s="4" t="str">
        <v>-3.21%</v>
      </c>
      <c r="H1323" s="3">
        <v>43419</v>
      </c>
      <c r="I1323" s="4">
        <v>364.72500000000002</v>
      </c>
      <c r="O1323" s="4">
        <v>216</v>
      </c>
    </row>
    <row r="1324" spans="1:15" x14ac:dyDescent="0.25">
      <c r="A1324" s="3">
        <v>43418</v>
      </c>
      <c r="B1324" s="4">
        <v>371.2</v>
      </c>
      <c r="C1324" s="4">
        <v>355</v>
      </c>
      <c r="D1324" s="4">
        <v>375.4</v>
      </c>
      <c r="E1324" s="4">
        <v>355</v>
      </c>
      <c r="F1324" s="4" t="str">
        <v>1.82M</v>
      </c>
      <c r="G1324" s="4" t="str">
        <v>4.48%</v>
      </c>
      <c r="H1324" s="3">
        <v>43418</v>
      </c>
      <c r="I1324" s="4">
        <v>365.2</v>
      </c>
      <c r="O1324" s="4">
        <v>215</v>
      </c>
    </row>
    <row r="1325" spans="1:15" x14ac:dyDescent="0.25">
      <c r="A1325" s="3">
        <v>43417</v>
      </c>
      <c r="B1325" s="4">
        <v>355.3</v>
      </c>
      <c r="C1325" s="4">
        <v>354</v>
      </c>
      <c r="D1325" s="4">
        <v>358.5</v>
      </c>
      <c r="E1325" s="4">
        <v>349</v>
      </c>
      <c r="F1325" s="4" t="str">
        <v>529.11K</v>
      </c>
      <c r="G1325" s="4" t="str">
        <v>-0.25%</v>
      </c>
      <c r="H1325" s="3">
        <v>43417</v>
      </c>
      <c r="I1325" s="4">
        <v>353.75</v>
      </c>
      <c r="O1325" s="4">
        <v>214</v>
      </c>
    </row>
    <row r="1326" spans="1:15" x14ac:dyDescent="0.25">
      <c r="A1326" s="3">
        <v>43416</v>
      </c>
      <c r="B1326" s="4">
        <v>356.2</v>
      </c>
      <c r="C1326" s="4">
        <v>360</v>
      </c>
      <c r="D1326" s="4">
        <v>365.8</v>
      </c>
      <c r="E1326" s="4">
        <v>354.55</v>
      </c>
      <c r="F1326" s="4" t="str">
        <v>746.70K</v>
      </c>
      <c r="G1326" s="4" t="str">
        <v>-1.12%</v>
      </c>
      <c r="H1326" s="3">
        <v>43416</v>
      </c>
      <c r="I1326" s="4">
        <v>360.17500000000001</v>
      </c>
      <c r="O1326" s="4">
        <v>213</v>
      </c>
    </row>
    <row r="1327" spans="1:15" x14ac:dyDescent="0.25">
      <c r="A1327" s="3">
        <v>43413</v>
      </c>
      <c r="B1327" s="4">
        <v>360.25</v>
      </c>
      <c r="C1327" s="4">
        <v>350.6</v>
      </c>
      <c r="D1327" s="4">
        <v>362.4</v>
      </c>
      <c r="E1327" s="4">
        <v>350.6</v>
      </c>
      <c r="F1327" s="4" t="str">
        <v>787.89K</v>
      </c>
      <c r="G1327" s="4" t="str">
        <v>1.48%</v>
      </c>
      <c r="H1327" s="3">
        <v>43413</v>
      </c>
      <c r="I1327" s="4">
        <v>356.5</v>
      </c>
      <c r="O1327" s="4">
        <v>212</v>
      </c>
    </row>
    <row r="1328" spans="1:15" x14ac:dyDescent="0.25">
      <c r="A1328" s="3">
        <v>43411</v>
      </c>
      <c r="B1328" s="4">
        <v>355</v>
      </c>
      <c r="C1328" s="4">
        <v>352.75</v>
      </c>
      <c r="D1328" s="4">
        <v>356.15</v>
      </c>
      <c r="E1328" s="4">
        <v>352.45</v>
      </c>
      <c r="F1328" s="4" t="str">
        <v>146.03K</v>
      </c>
      <c r="G1328" s="4" t="str">
        <v>1.36%</v>
      </c>
      <c r="H1328" s="3">
        <v>43411</v>
      </c>
      <c r="I1328" s="4">
        <v>354.29999999999995</v>
      </c>
      <c r="O1328" s="4">
        <v>211</v>
      </c>
    </row>
    <row r="1329" spans="1:15" x14ac:dyDescent="0.25">
      <c r="A1329" s="3">
        <v>43410</v>
      </c>
      <c r="B1329" s="4">
        <v>350.25</v>
      </c>
      <c r="C1329" s="4">
        <v>362</v>
      </c>
      <c r="D1329" s="4">
        <v>364.35</v>
      </c>
      <c r="E1329" s="4">
        <v>347.1</v>
      </c>
      <c r="F1329" s="4" t="str">
        <v>1.11M</v>
      </c>
      <c r="G1329" s="4" t="str">
        <v>-2.83%</v>
      </c>
      <c r="H1329" s="3">
        <v>43410</v>
      </c>
      <c r="I1329" s="4">
        <v>355.72500000000002</v>
      </c>
      <c r="O1329" s="4">
        <v>210</v>
      </c>
    </row>
    <row r="1330" spans="1:15" x14ac:dyDescent="0.25">
      <c r="A1330" s="3">
        <v>43409</v>
      </c>
      <c r="B1330" s="4">
        <v>360.45</v>
      </c>
      <c r="C1330" s="4">
        <v>349.9</v>
      </c>
      <c r="D1330" s="4">
        <v>363.7</v>
      </c>
      <c r="E1330" s="4">
        <v>348.1</v>
      </c>
      <c r="F1330" s="4" t="str">
        <v>1.28M</v>
      </c>
      <c r="G1330" s="4" t="str">
        <v>0.45%</v>
      </c>
      <c r="H1330" s="3">
        <v>43409</v>
      </c>
      <c r="I1330" s="4">
        <v>355.9</v>
      </c>
      <c r="O1330" s="4">
        <v>209</v>
      </c>
    </row>
    <row r="1331" spans="1:15" x14ac:dyDescent="0.25">
      <c r="A1331" s="3">
        <v>43406</v>
      </c>
      <c r="B1331" s="4">
        <v>358.85</v>
      </c>
      <c r="C1331" s="4">
        <v>360</v>
      </c>
      <c r="D1331" s="4">
        <v>365.8</v>
      </c>
      <c r="E1331" s="4">
        <v>356.4</v>
      </c>
      <c r="F1331" s="4" t="str">
        <v>803.12K</v>
      </c>
      <c r="G1331" s="4" t="str">
        <v>-0.15%</v>
      </c>
      <c r="H1331" s="3">
        <v>43406</v>
      </c>
      <c r="I1331" s="4">
        <v>361.1</v>
      </c>
      <c r="O1331" s="4">
        <v>208</v>
      </c>
    </row>
    <row r="1332" spans="1:15" x14ac:dyDescent="0.25">
      <c r="A1332" s="3">
        <v>43405</v>
      </c>
      <c r="B1332" s="4">
        <v>359.4</v>
      </c>
      <c r="C1332" s="4">
        <v>362.15</v>
      </c>
      <c r="D1332" s="4">
        <v>365.7</v>
      </c>
      <c r="E1332" s="4">
        <v>357.2</v>
      </c>
      <c r="F1332" s="4" t="str">
        <v>1.18M</v>
      </c>
      <c r="G1332" s="4" t="str">
        <v>-0.18%</v>
      </c>
      <c r="H1332" s="3">
        <v>43405</v>
      </c>
      <c r="I1332" s="4">
        <v>361.45</v>
      </c>
      <c r="O1332" s="4">
        <v>207</v>
      </c>
    </row>
    <row r="1333" spans="1:15" x14ac:dyDescent="0.25">
      <c r="A1333" s="3">
        <v>43404</v>
      </c>
      <c r="B1333" s="4">
        <v>360.05</v>
      </c>
      <c r="C1333" s="4">
        <v>349</v>
      </c>
      <c r="D1333" s="4">
        <v>361</v>
      </c>
      <c r="E1333" s="4">
        <v>349</v>
      </c>
      <c r="F1333" s="4" t="str">
        <v>1.21M</v>
      </c>
      <c r="G1333" s="4" t="str">
        <v>3.39%</v>
      </c>
      <c r="H1333" s="3">
        <v>43404</v>
      </c>
      <c r="I1333" s="4">
        <v>355</v>
      </c>
      <c r="O1333" s="4">
        <v>206</v>
      </c>
    </row>
    <row r="1334" spans="1:15" x14ac:dyDescent="0.25">
      <c r="A1334" s="3">
        <v>43403</v>
      </c>
      <c r="B1334" s="4">
        <v>348.25</v>
      </c>
      <c r="C1334" s="4">
        <v>351.4</v>
      </c>
      <c r="D1334" s="4">
        <v>357.5</v>
      </c>
      <c r="E1334" s="4">
        <v>347.15</v>
      </c>
      <c r="F1334" s="4" t="str">
        <v>1.09M</v>
      </c>
      <c r="G1334" s="4" t="str">
        <v>-0.21%</v>
      </c>
      <c r="H1334" s="3">
        <v>43403</v>
      </c>
      <c r="I1334" s="4">
        <v>352.32499999999999</v>
      </c>
      <c r="O1334" s="4">
        <v>205</v>
      </c>
    </row>
    <row r="1335" spans="1:15" x14ac:dyDescent="0.25">
      <c r="A1335" s="3">
        <v>43402</v>
      </c>
      <c r="B1335" s="4">
        <v>349</v>
      </c>
      <c r="C1335" s="4">
        <v>340</v>
      </c>
      <c r="D1335" s="4">
        <v>350.95</v>
      </c>
      <c r="E1335" s="4">
        <v>340</v>
      </c>
      <c r="F1335" s="4" t="str">
        <v>1.28M</v>
      </c>
      <c r="G1335" s="4" t="str">
        <v>3.44%</v>
      </c>
      <c r="H1335" s="3">
        <v>43402</v>
      </c>
      <c r="I1335" s="4">
        <v>345.47500000000002</v>
      </c>
      <c r="O1335" s="4">
        <v>204</v>
      </c>
    </row>
    <row r="1336" spans="1:15" x14ac:dyDescent="0.25">
      <c r="A1336" s="3">
        <v>43399</v>
      </c>
      <c r="B1336" s="4">
        <v>337.4</v>
      </c>
      <c r="C1336" s="4">
        <v>342</v>
      </c>
      <c r="D1336" s="4">
        <v>346</v>
      </c>
      <c r="E1336" s="4">
        <v>332.25</v>
      </c>
      <c r="F1336" s="4" t="str">
        <v>1.69M</v>
      </c>
      <c r="G1336" s="4" t="str">
        <v>-0.97%</v>
      </c>
      <c r="H1336" s="3">
        <v>43399</v>
      </c>
      <c r="I1336" s="4">
        <v>339.125</v>
      </c>
      <c r="O1336" s="4">
        <v>203</v>
      </c>
    </row>
    <row r="1337" spans="1:15" x14ac:dyDescent="0.25">
      <c r="A1337" s="3">
        <v>43398</v>
      </c>
      <c r="B1337" s="4">
        <v>340.7</v>
      </c>
      <c r="C1337" s="4">
        <v>353.65</v>
      </c>
      <c r="D1337" s="4">
        <v>354</v>
      </c>
      <c r="E1337" s="4">
        <v>339</v>
      </c>
      <c r="F1337" s="4" t="str">
        <v>2.93M</v>
      </c>
      <c r="G1337" s="4" t="str">
        <v>-4.74%</v>
      </c>
      <c r="H1337" s="3">
        <v>43398</v>
      </c>
      <c r="I1337" s="4">
        <v>346.5</v>
      </c>
      <c r="O1337" s="4">
        <v>202</v>
      </c>
    </row>
    <row r="1338" spans="1:15" x14ac:dyDescent="0.25">
      <c r="A1338" s="3">
        <v>43397</v>
      </c>
      <c r="B1338" s="4">
        <v>357.65</v>
      </c>
      <c r="C1338" s="4">
        <v>377.75</v>
      </c>
      <c r="D1338" s="4">
        <v>380.9</v>
      </c>
      <c r="E1338" s="4">
        <v>352.15</v>
      </c>
      <c r="F1338" s="4" t="str">
        <v>2.75M</v>
      </c>
      <c r="G1338" s="4" t="str">
        <v>-5.26%</v>
      </c>
      <c r="H1338" s="3">
        <v>43397</v>
      </c>
      <c r="I1338" s="4">
        <v>366.52499999999998</v>
      </c>
      <c r="O1338" s="4">
        <v>201</v>
      </c>
    </row>
    <row r="1339" spans="1:15" x14ac:dyDescent="0.25">
      <c r="A1339" s="3">
        <v>43396</v>
      </c>
      <c r="B1339" s="4">
        <v>377.5</v>
      </c>
      <c r="C1339" s="4">
        <v>369.5</v>
      </c>
      <c r="D1339" s="4">
        <v>380.8</v>
      </c>
      <c r="E1339" s="4">
        <v>367.4</v>
      </c>
      <c r="F1339" s="4" t="str">
        <v>991.24K</v>
      </c>
      <c r="G1339" s="4" t="str">
        <v>1.21%</v>
      </c>
      <c r="H1339" s="3">
        <v>43396</v>
      </c>
      <c r="I1339" s="4">
        <v>374.1</v>
      </c>
      <c r="O1339" s="4">
        <v>200</v>
      </c>
    </row>
    <row r="1340" spans="1:15" x14ac:dyDescent="0.25">
      <c r="A1340" s="3">
        <v>43395</v>
      </c>
      <c r="B1340" s="4">
        <v>373</v>
      </c>
      <c r="C1340" s="4">
        <v>373.6</v>
      </c>
      <c r="D1340" s="4">
        <v>378</v>
      </c>
      <c r="E1340" s="4">
        <v>371.1</v>
      </c>
      <c r="F1340" s="4" t="str">
        <v>711.67K</v>
      </c>
      <c r="G1340" s="4" t="str">
        <v>0.34%</v>
      </c>
      <c r="H1340" s="3">
        <v>43395</v>
      </c>
      <c r="I1340" s="4">
        <v>374.55</v>
      </c>
      <c r="O1340" s="4">
        <v>199</v>
      </c>
    </row>
    <row r="1341" spans="1:15" x14ac:dyDescent="0.25">
      <c r="A1341" s="3">
        <v>43392</v>
      </c>
      <c r="B1341" s="4">
        <v>371.75</v>
      </c>
      <c r="C1341" s="4">
        <v>376.9</v>
      </c>
      <c r="D1341" s="4">
        <v>380.8</v>
      </c>
      <c r="E1341" s="4">
        <v>366</v>
      </c>
      <c r="F1341" s="4" t="str">
        <v>893.28K</v>
      </c>
      <c r="G1341" s="4" t="str">
        <v>-1.54%</v>
      </c>
      <c r="H1341" s="3">
        <v>43392</v>
      </c>
      <c r="I1341" s="4">
        <v>373.4</v>
      </c>
      <c r="O1341" s="4">
        <v>198</v>
      </c>
    </row>
    <row r="1342" spans="1:15" x14ac:dyDescent="0.25">
      <c r="A1342" s="3">
        <v>43390</v>
      </c>
      <c r="B1342" s="4">
        <v>377.55</v>
      </c>
      <c r="C1342" s="4">
        <v>384.9</v>
      </c>
      <c r="D1342" s="4">
        <v>384.9</v>
      </c>
      <c r="E1342" s="4">
        <v>376</v>
      </c>
      <c r="F1342" s="4" t="str">
        <v>816.46K</v>
      </c>
      <c r="G1342" s="4" t="str">
        <v>-0.66%</v>
      </c>
      <c r="H1342" s="3">
        <v>43390</v>
      </c>
      <c r="I1342" s="4">
        <v>380.45</v>
      </c>
      <c r="O1342" s="4">
        <v>197</v>
      </c>
    </row>
    <row r="1343" spans="1:15" x14ac:dyDescent="0.25">
      <c r="A1343" s="3">
        <v>43389</v>
      </c>
      <c r="B1343" s="4">
        <v>380.05</v>
      </c>
      <c r="C1343" s="4">
        <v>383.9</v>
      </c>
      <c r="D1343" s="4">
        <v>387.4</v>
      </c>
      <c r="E1343" s="4">
        <v>375.5</v>
      </c>
      <c r="F1343" s="4" t="str">
        <v>1.99M</v>
      </c>
      <c r="G1343" s="4" t="str">
        <v>-0.73%</v>
      </c>
      <c r="H1343" s="3">
        <v>43389</v>
      </c>
      <c r="I1343" s="4">
        <v>381.45</v>
      </c>
      <c r="O1343" s="4">
        <v>196</v>
      </c>
    </row>
    <row r="1344" spans="1:15" x14ac:dyDescent="0.25">
      <c r="A1344" s="3">
        <v>43388</v>
      </c>
      <c r="B1344" s="4">
        <v>382.85</v>
      </c>
      <c r="C1344" s="4">
        <v>376.1</v>
      </c>
      <c r="D1344" s="4">
        <v>385.95</v>
      </c>
      <c r="E1344" s="4">
        <v>375.5</v>
      </c>
      <c r="F1344" s="4" t="str">
        <v>831.11K</v>
      </c>
      <c r="G1344" s="4" t="str">
        <v>1.58%</v>
      </c>
      <c r="H1344" s="3">
        <v>43388</v>
      </c>
      <c r="I1344" s="4">
        <v>380.72500000000002</v>
      </c>
      <c r="O1344" s="4">
        <v>195</v>
      </c>
    </row>
    <row r="1345" spans="1:15" x14ac:dyDescent="0.25">
      <c r="A1345" s="3">
        <v>43385</v>
      </c>
      <c r="B1345" s="4">
        <v>376.9</v>
      </c>
      <c r="C1345" s="4">
        <v>377</v>
      </c>
      <c r="D1345" s="4">
        <v>381.95</v>
      </c>
      <c r="E1345" s="4">
        <v>374.3</v>
      </c>
      <c r="F1345" s="4" t="str">
        <v>761.79K</v>
      </c>
      <c r="G1345" s="4" t="str">
        <v>0.67%</v>
      </c>
      <c r="H1345" s="3">
        <v>43385</v>
      </c>
      <c r="I1345" s="4">
        <v>378.125</v>
      </c>
      <c r="O1345" s="4">
        <v>194</v>
      </c>
    </row>
    <row r="1346" spans="1:15" x14ac:dyDescent="0.25">
      <c r="A1346" s="3">
        <v>43384</v>
      </c>
      <c r="B1346" s="4">
        <v>374.4</v>
      </c>
      <c r="C1346" s="4">
        <v>376.85</v>
      </c>
      <c r="D1346" s="4">
        <v>382.3</v>
      </c>
      <c r="E1346" s="4">
        <v>370.7</v>
      </c>
      <c r="F1346" s="4" t="str">
        <v>1.16M</v>
      </c>
      <c r="G1346" s="4" t="str">
        <v>-2.83%</v>
      </c>
      <c r="H1346" s="3">
        <v>43384</v>
      </c>
      <c r="I1346" s="4">
        <v>376.5</v>
      </c>
      <c r="O1346" s="4">
        <v>193</v>
      </c>
    </row>
    <row r="1347" spans="1:15" x14ac:dyDescent="0.25">
      <c r="A1347" s="3">
        <v>43383</v>
      </c>
      <c r="B1347" s="4">
        <v>385.3</v>
      </c>
      <c r="C1347" s="4">
        <v>380.95</v>
      </c>
      <c r="D1347" s="4">
        <v>387.8</v>
      </c>
      <c r="E1347" s="4">
        <v>376.85</v>
      </c>
      <c r="F1347" s="4" t="str">
        <v>1.21M</v>
      </c>
      <c r="G1347" s="4" t="str">
        <v>1.14%</v>
      </c>
      <c r="H1347" s="3">
        <v>43383</v>
      </c>
      <c r="I1347" s="4">
        <v>382.32500000000005</v>
      </c>
      <c r="O1347" s="4">
        <v>192</v>
      </c>
    </row>
    <row r="1348" spans="1:15" x14ac:dyDescent="0.25">
      <c r="A1348" s="3">
        <v>43382</v>
      </c>
      <c r="B1348" s="4">
        <v>380.95</v>
      </c>
      <c r="C1348" s="4">
        <v>373.1</v>
      </c>
      <c r="D1348" s="4">
        <v>385.95</v>
      </c>
      <c r="E1348" s="4">
        <v>371.5</v>
      </c>
      <c r="F1348" s="4" t="str">
        <v>1.62M</v>
      </c>
      <c r="G1348" s="4" t="str">
        <v>1.21%</v>
      </c>
      <c r="H1348" s="3">
        <v>43382</v>
      </c>
      <c r="I1348" s="4">
        <v>378.72500000000002</v>
      </c>
      <c r="O1348" s="4">
        <v>191</v>
      </c>
    </row>
    <row r="1349" spans="1:15" x14ac:dyDescent="0.25">
      <c r="A1349" s="3">
        <v>43381</v>
      </c>
      <c r="B1349" s="4">
        <v>376.4</v>
      </c>
      <c r="C1349" s="4">
        <v>375</v>
      </c>
      <c r="D1349" s="4">
        <v>380.95</v>
      </c>
      <c r="E1349" s="4">
        <v>370.8</v>
      </c>
      <c r="F1349" s="4" t="str">
        <v>1.44M</v>
      </c>
      <c r="G1349" s="4" t="str">
        <v>-0.52%</v>
      </c>
      <c r="H1349" s="3">
        <v>43381</v>
      </c>
      <c r="I1349" s="4">
        <v>375.875</v>
      </c>
      <c r="O1349" s="4">
        <v>190</v>
      </c>
    </row>
    <row r="1350" spans="1:15" x14ac:dyDescent="0.25">
      <c r="A1350" s="3">
        <v>43378</v>
      </c>
      <c r="B1350" s="4">
        <v>378.35</v>
      </c>
      <c r="C1350" s="4">
        <v>387.6</v>
      </c>
      <c r="D1350" s="4">
        <v>389.45</v>
      </c>
      <c r="E1350" s="4">
        <v>376</v>
      </c>
      <c r="F1350" s="4" t="str">
        <v>1.80M</v>
      </c>
      <c r="G1350" s="4" t="str">
        <v>-1.28%</v>
      </c>
      <c r="H1350" s="3">
        <v>43378</v>
      </c>
      <c r="I1350" s="4">
        <v>382.72500000000002</v>
      </c>
      <c r="O1350" s="4">
        <v>189</v>
      </c>
    </row>
    <row r="1351" spans="1:15" x14ac:dyDescent="0.25">
      <c r="A1351" s="3">
        <v>43377</v>
      </c>
      <c r="B1351" s="4">
        <v>383.25</v>
      </c>
      <c r="C1351" s="4">
        <v>386.15</v>
      </c>
      <c r="D1351" s="4">
        <v>392</v>
      </c>
      <c r="E1351" s="4">
        <v>376.3</v>
      </c>
      <c r="F1351" s="4" t="str">
        <v>1.61M</v>
      </c>
      <c r="G1351" s="4" t="str">
        <v>-2.68%</v>
      </c>
      <c r="H1351" s="3">
        <v>43377</v>
      </c>
      <c r="I1351" s="4">
        <v>384.15</v>
      </c>
      <c r="O1351" s="4">
        <v>188</v>
      </c>
    </row>
    <row r="1352" spans="1:15" x14ac:dyDescent="0.25">
      <c r="A1352" s="3">
        <v>43376</v>
      </c>
      <c r="B1352" s="4">
        <v>393.8</v>
      </c>
      <c r="C1352" s="4">
        <v>398</v>
      </c>
      <c r="D1352" s="4">
        <v>404</v>
      </c>
      <c r="E1352" s="4">
        <v>390.1</v>
      </c>
      <c r="F1352" s="4" t="str">
        <v>1.83M</v>
      </c>
      <c r="G1352" s="4" t="str">
        <v>-0.72%</v>
      </c>
      <c r="H1352" s="3">
        <v>43376</v>
      </c>
      <c r="I1352" s="4">
        <v>397.05</v>
      </c>
      <c r="O1352" s="4">
        <v>187</v>
      </c>
    </row>
    <row r="1353" spans="1:15" x14ac:dyDescent="0.25">
      <c r="A1353" s="3">
        <v>43374</v>
      </c>
      <c r="B1353" s="4">
        <v>396.65</v>
      </c>
      <c r="C1353" s="4">
        <v>385</v>
      </c>
      <c r="D1353" s="4">
        <v>398.85</v>
      </c>
      <c r="E1353" s="4">
        <v>376.5</v>
      </c>
      <c r="F1353" s="4" t="str">
        <v>1.59M</v>
      </c>
      <c r="G1353" s="4" t="str">
        <v>2.77%</v>
      </c>
      <c r="H1353" s="3">
        <v>43374</v>
      </c>
      <c r="I1353" s="4">
        <v>387.67500000000001</v>
      </c>
      <c r="O1353" s="4">
        <v>186</v>
      </c>
    </row>
    <row r="1354" spans="1:15" x14ac:dyDescent="0.25">
      <c r="A1354" s="3">
        <v>43371</v>
      </c>
      <c r="B1354" s="4">
        <v>385.95</v>
      </c>
      <c r="C1354" s="4">
        <v>388.55</v>
      </c>
      <c r="D1354" s="4">
        <v>394.6</v>
      </c>
      <c r="E1354" s="4">
        <v>371.5</v>
      </c>
      <c r="F1354" s="4" t="str">
        <v>1.93M</v>
      </c>
      <c r="G1354" s="4" t="str">
        <v>-0.77%</v>
      </c>
      <c r="H1354" s="3">
        <v>43371</v>
      </c>
      <c r="I1354" s="4">
        <v>383.05</v>
      </c>
      <c r="O1354" s="4">
        <v>185</v>
      </c>
    </row>
    <row r="1355" spans="1:15" x14ac:dyDescent="0.25">
      <c r="A1355" s="3">
        <v>43370</v>
      </c>
      <c r="B1355" s="4">
        <v>388.95</v>
      </c>
      <c r="C1355" s="4">
        <v>401</v>
      </c>
      <c r="D1355" s="4">
        <v>402.55</v>
      </c>
      <c r="E1355" s="4">
        <v>386.05</v>
      </c>
      <c r="F1355" s="4" t="str">
        <v>1.52M</v>
      </c>
      <c r="G1355" s="4" t="str">
        <v>-2.56%</v>
      </c>
      <c r="H1355" s="3">
        <v>43370</v>
      </c>
      <c r="I1355" s="4">
        <v>394.3</v>
      </c>
      <c r="O1355" s="4">
        <v>184</v>
      </c>
    </row>
    <row r="1356" spans="1:15" x14ac:dyDescent="0.25">
      <c r="A1356" s="3">
        <v>43369</v>
      </c>
      <c r="B1356" s="4">
        <v>399.15</v>
      </c>
      <c r="C1356" s="4">
        <v>395</v>
      </c>
      <c r="D1356" s="4">
        <v>403.8</v>
      </c>
      <c r="E1356" s="4">
        <v>392.5</v>
      </c>
      <c r="F1356" s="4" t="str">
        <v>1.38M</v>
      </c>
      <c r="G1356" s="4" t="str">
        <v>1.28%</v>
      </c>
      <c r="H1356" s="3">
        <v>43369</v>
      </c>
      <c r="I1356" s="4">
        <v>398.15</v>
      </c>
      <c r="O1356" s="4">
        <v>183</v>
      </c>
    </row>
    <row r="1357" spans="1:15" x14ac:dyDescent="0.25">
      <c r="A1357" s="3">
        <v>43368</v>
      </c>
      <c r="B1357" s="4">
        <v>394.1</v>
      </c>
      <c r="C1357" s="4">
        <v>386.7</v>
      </c>
      <c r="D1357" s="4">
        <v>396.1</v>
      </c>
      <c r="E1357" s="4">
        <v>382.05</v>
      </c>
      <c r="F1357" s="4" t="str">
        <v>1.48M</v>
      </c>
      <c r="G1357" s="4" t="str">
        <v>2.35%</v>
      </c>
      <c r="H1357" s="3">
        <v>43368</v>
      </c>
      <c r="I1357" s="4">
        <v>389.07500000000005</v>
      </c>
      <c r="O1357" s="4">
        <v>182</v>
      </c>
    </row>
    <row r="1358" spans="1:15" x14ac:dyDescent="0.25">
      <c r="A1358" s="3">
        <v>43367</v>
      </c>
      <c r="B1358" s="4">
        <v>385.05</v>
      </c>
      <c r="C1358" s="4">
        <v>399.3</v>
      </c>
      <c r="D1358" s="4">
        <v>399.3</v>
      </c>
      <c r="E1358" s="4">
        <v>377</v>
      </c>
      <c r="F1358" s="4" t="str">
        <v>1.86M</v>
      </c>
      <c r="G1358" s="4" t="str">
        <v>-2.27%</v>
      </c>
      <c r="H1358" s="3">
        <v>43367</v>
      </c>
      <c r="I1358" s="4">
        <v>388.15</v>
      </c>
      <c r="O1358" s="4">
        <v>181</v>
      </c>
    </row>
    <row r="1359" spans="1:15" x14ac:dyDescent="0.25">
      <c r="A1359" s="3">
        <v>43364</v>
      </c>
      <c r="B1359" s="4">
        <v>394</v>
      </c>
      <c r="C1359" s="4">
        <v>411</v>
      </c>
      <c r="D1359" s="4">
        <v>414.8</v>
      </c>
      <c r="E1359" s="4">
        <v>366.75</v>
      </c>
      <c r="F1359" s="4" t="str">
        <v>3.95M</v>
      </c>
      <c r="G1359" s="4" t="str">
        <v>-3.31%</v>
      </c>
      <c r="H1359" s="3">
        <v>43364</v>
      </c>
      <c r="I1359" s="4">
        <v>390.77499999999998</v>
      </c>
      <c r="O1359" s="4">
        <v>180</v>
      </c>
    </row>
    <row r="1360" spans="1:15" x14ac:dyDescent="0.25">
      <c r="A1360" s="3">
        <v>43362</v>
      </c>
      <c r="B1360" s="4">
        <v>407.5</v>
      </c>
      <c r="C1360" s="4">
        <v>411.5</v>
      </c>
      <c r="D1360" s="4">
        <v>414</v>
      </c>
      <c r="E1360" s="4">
        <v>403</v>
      </c>
      <c r="F1360" s="4" t="str">
        <v>1.52M</v>
      </c>
      <c r="G1360" s="4" t="str">
        <v>-0.23%</v>
      </c>
      <c r="H1360" s="3">
        <v>43362</v>
      </c>
      <c r="I1360" s="4">
        <v>408.5</v>
      </c>
      <c r="O1360" s="4">
        <v>179</v>
      </c>
    </row>
    <row r="1361" spans="1:15" x14ac:dyDescent="0.25">
      <c r="A1361" s="3">
        <v>43361</v>
      </c>
      <c r="B1361" s="4">
        <v>408.45</v>
      </c>
      <c r="C1361" s="4">
        <v>413.8</v>
      </c>
      <c r="D1361" s="4">
        <v>420</v>
      </c>
      <c r="E1361" s="4">
        <v>405.65</v>
      </c>
      <c r="F1361" s="4" t="str">
        <v>1.95M</v>
      </c>
      <c r="G1361" s="4" t="str">
        <v>-1.14%</v>
      </c>
      <c r="H1361" s="3">
        <v>43361</v>
      </c>
      <c r="I1361" s="4">
        <v>412.82499999999999</v>
      </c>
      <c r="O1361" s="4">
        <v>178</v>
      </c>
    </row>
    <row r="1362" spans="1:15" x14ac:dyDescent="0.25">
      <c r="A1362" s="3">
        <v>43360</v>
      </c>
      <c r="B1362" s="4">
        <v>413.15</v>
      </c>
      <c r="C1362" s="4">
        <v>411.95</v>
      </c>
      <c r="D1362" s="4">
        <v>417.9</v>
      </c>
      <c r="E1362" s="4">
        <v>408.1</v>
      </c>
      <c r="F1362" s="4" t="str">
        <v>1.61M</v>
      </c>
      <c r="G1362" s="4" t="str">
        <v>0.35%</v>
      </c>
      <c r="H1362" s="3">
        <v>43360</v>
      </c>
      <c r="I1362" s="4">
        <v>413</v>
      </c>
      <c r="O1362" s="4">
        <v>177</v>
      </c>
    </row>
    <row r="1363" spans="1:15" x14ac:dyDescent="0.25">
      <c r="A1363" s="3">
        <v>43357</v>
      </c>
      <c r="B1363" s="4">
        <v>411.7</v>
      </c>
      <c r="C1363" s="4">
        <v>415</v>
      </c>
      <c r="D1363" s="4">
        <v>420</v>
      </c>
      <c r="E1363" s="4">
        <v>410.2</v>
      </c>
      <c r="F1363" s="4" t="str">
        <v>2.47M</v>
      </c>
      <c r="G1363" s="4" t="str">
        <v>0.73%</v>
      </c>
      <c r="H1363" s="3">
        <v>43357</v>
      </c>
      <c r="I1363" s="4">
        <v>415.1</v>
      </c>
      <c r="O1363" s="4">
        <v>176</v>
      </c>
    </row>
    <row r="1364" spans="1:15" x14ac:dyDescent="0.25">
      <c r="A1364" s="3">
        <v>43355</v>
      </c>
      <c r="B1364" s="4">
        <v>408.7</v>
      </c>
      <c r="C1364" s="4">
        <v>411</v>
      </c>
      <c r="D1364" s="4">
        <v>412.9</v>
      </c>
      <c r="E1364" s="4">
        <v>399.65</v>
      </c>
      <c r="F1364" s="4" t="str">
        <v>2.14M</v>
      </c>
      <c r="G1364" s="4" t="str">
        <v>-0.05%</v>
      </c>
      <c r="H1364" s="3">
        <v>43355</v>
      </c>
      <c r="I1364" s="4">
        <v>406.27499999999998</v>
      </c>
      <c r="O1364" s="4">
        <v>175</v>
      </c>
    </row>
    <row r="1365" spans="1:15" x14ac:dyDescent="0.25">
      <c r="A1365" s="3">
        <v>43354</v>
      </c>
      <c r="B1365" s="4">
        <v>408.9</v>
      </c>
      <c r="C1365" s="4">
        <v>422.5</v>
      </c>
      <c r="D1365" s="4">
        <v>427</v>
      </c>
      <c r="E1365" s="4">
        <v>405.2</v>
      </c>
      <c r="F1365" s="4" t="str">
        <v>2.53M</v>
      </c>
      <c r="G1365" s="4" t="str">
        <v>-2.71%</v>
      </c>
      <c r="H1365" s="3">
        <v>43354</v>
      </c>
      <c r="I1365" s="4">
        <v>416.1</v>
      </c>
      <c r="O1365" s="4">
        <v>174</v>
      </c>
    </row>
    <row r="1366" spans="1:15" x14ac:dyDescent="0.25">
      <c r="A1366" s="3">
        <v>43353</v>
      </c>
      <c r="B1366" s="4">
        <v>420.3</v>
      </c>
      <c r="C1366" s="4">
        <v>423.95</v>
      </c>
      <c r="D1366" s="4">
        <v>432.5</v>
      </c>
      <c r="E1366" s="4">
        <v>417.2</v>
      </c>
      <c r="F1366" s="4" t="str">
        <v>2.82M</v>
      </c>
      <c r="G1366" s="4" t="str">
        <v>-1.34%</v>
      </c>
      <c r="H1366" s="3">
        <v>43353</v>
      </c>
      <c r="I1366" s="4">
        <v>424.85</v>
      </c>
      <c r="O1366" s="4">
        <v>173</v>
      </c>
    </row>
    <row r="1367" spans="1:15" x14ac:dyDescent="0.25">
      <c r="A1367" s="3">
        <v>43350</v>
      </c>
      <c r="B1367" s="4">
        <v>426</v>
      </c>
      <c r="C1367" s="4">
        <v>417</v>
      </c>
      <c r="D1367" s="4">
        <v>431.4</v>
      </c>
      <c r="E1367" s="4">
        <v>409.2</v>
      </c>
      <c r="F1367" s="4" t="str">
        <v>6.93M</v>
      </c>
      <c r="G1367" s="4" t="str">
        <v>0.86%</v>
      </c>
      <c r="H1367" s="3">
        <v>43350</v>
      </c>
      <c r="I1367" s="4">
        <v>420.29999999999995</v>
      </c>
      <c r="O1367" s="4">
        <v>172</v>
      </c>
    </row>
    <row r="1368" spans="1:15" x14ac:dyDescent="0.25">
      <c r="A1368" s="3">
        <v>43349</v>
      </c>
      <c r="B1368" s="4">
        <v>422.35</v>
      </c>
      <c r="C1368" s="4">
        <v>405.15</v>
      </c>
      <c r="D1368" s="4">
        <v>425.55</v>
      </c>
      <c r="E1368" s="4">
        <v>400.25</v>
      </c>
      <c r="F1368" s="4" t="str">
        <v>5.08M</v>
      </c>
      <c r="G1368" s="4" t="str">
        <v>5.08%</v>
      </c>
      <c r="H1368" s="3">
        <v>43349</v>
      </c>
      <c r="I1368" s="4">
        <v>412.9</v>
      </c>
      <c r="O1368" s="4">
        <v>171</v>
      </c>
    </row>
    <row r="1369" spans="1:15" x14ac:dyDescent="0.25">
      <c r="A1369" s="3">
        <v>43348</v>
      </c>
      <c r="B1369" s="4">
        <v>401.95</v>
      </c>
      <c r="C1369" s="4">
        <v>392</v>
      </c>
      <c r="D1369" s="4">
        <v>407</v>
      </c>
      <c r="E1369" s="4">
        <v>389.2</v>
      </c>
      <c r="F1369" s="4" t="str">
        <v>2.74M</v>
      </c>
      <c r="G1369" s="4" t="str">
        <v>2.39%</v>
      </c>
      <c r="H1369" s="3">
        <v>43348</v>
      </c>
      <c r="I1369" s="4">
        <v>398.1</v>
      </c>
      <c r="O1369" s="4">
        <v>170</v>
      </c>
    </row>
    <row r="1370" spans="1:15" x14ac:dyDescent="0.25">
      <c r="A1370" s="3">
        <v>43347</v>
      </c>
      <c r="B1370" s="4">
        <v>392.55</v>
      </c>
      <c r="C1370" s="4">
        <v>404.75</v>
      </c>
      <c r="D1370" s="4">
        <v>409.7</v>
      </c>
      <c r="E1370" s="4">
        <v>389</v>
      </c>
      <c r="F1370" s="4" t="str">
        <v>2.69M</v>
      </c>
      <c r="G1370" s="4" t="str">
        <v>-3.18%</v>
      </c>
      <c r="H1370" s="3">
        <v>43347</v>
      </c>
      <c r="I1370" s="4">
        <v>399.35</v>
      </c>
      <c r="O1370" s="4">
        <v>169</v>
      </c>
    </row>
    <row r="1371" spans="1:15" x14ac:dyDescent="0.25">
      <c r="A1371" s="3">
        <v>43346</v>
      </c>
      <c r="B1371" s="4">
        <v>405.45</v>
      </c>
      <c r="C1371" s="4">
        <v>406</v>
      </c>
      <c r="D1371" s="4">
        <v>420.3</v>
      </c>
      <c r="E1371" s="4">
        <v>401.4</v>
      </c>
      <c r="F1371" s="4" t="str">
        <v>5.09M</v>
      </c>
      <c r="G1371" s="4" t="str">
        <v>0.67%</v>
      </c>
      <c r="H1371" s="3">
        <v>43346</v>
      </c>
      <c r="I1371" s="4">
        <v>410.85</v>
      </c>
      <c r="O1371" s="4">
        <v>168</v>
      </c>
    </row>
    <row r="1372" spans="1:15" x14ac:dyDescent="0.25">
      <c r="A1372" s="3">
        <v>43343</v>
      </c>
      <c r="B1372" s="4">
        <v>402.75</v>
      </c>
      <c r="C1372" s="4">
        <v>390.1</v>
      </c>
      <c r="D1372" s="4">
        <v>406.6</v>
      </c>
      <c r="E1372" s="4">
        <v>390.1</v>
      </c>
      <c r="F1372" s="4" t="str">
        <v>4.51M</v>
      </c>
      <c r="G1372" s="4" t="str">
        <v>3.83%</v>
      </c>
      <c r="H1372" s="3">
        <v>43343</v>
      </c>
      <c r="I1372" s="4">
        <v>398.35</v>
      </c>
      <c r="O1372" s="4">
        <v>167</v>
      </c>
    </row>
    <row r="1373" spans="1:15" x14ac:dyDescent="0.25">
      <c r="A1373" s="3">
        <v>43342</v>
      </c>
      <c r="B1373" s="4">
        <v>387.9</v>
      </c>
      <c r="C1373" s="4">
        <v>386.8</v>
      </c>
      <c r="D1373" s="4">
        <v>396.25</v>
      </c>
      <c r="E1373" s="4">
        <v>384</v>
      </c>
      <c r="F1373" s="4" t="str">
        <v>5.01M</v>
      </c>
      <c r="G1373" s="4" t="str">
        <v>0.19%</v>
      </c>
      <c r="H1373" s="3">
        <v>43342</v>
      </c>
      <c r="I1373" s="4">
        <v>390.125</v>
      </c>
      <c r="O1373" s="4">
        <v>166</v>
      </c>
    </row>
    <row r="1374" spans="1:15" x14ac:dyDescent="0.25">
      <c r="A1374" s="3">
        <v>43341</v>
      </c>
      <c r="B1374" s="4">
        <v>387.15</v>
      </c>
      <c r="C1374" s="4">
        <v>396.9</v>
      </c>
      <c r="D1374" s="4">
        <v>398.8</v>
      </c>
      <c r="E1374" s="4">
        <v>385.2</v>
      </c>
      <c r="F1374" s="4" t="str">
        <v>2.53M</v>
      </c>
      <c r="G1374" s="4" t="str">
        <v>-2.57%</v>
      </c>
      <c r="H1374" s="3">
        <v>43341</v>
      </c>
      <c r="I1374" s="4">
        <v>392</v>
      </c>
      <c r="O1374" s="4">
        <v>165</v>
      </c>
    </row>
    <row r="1375" spans="1:15" x14ac:dyDescent="0.25">
      <c r="A1375" s="3">
        <v>43340</v>
      </c>
      <c r="B1375" s="4">
        <v>397.35</v>
      </c>
      <c r="C1375" s="4">
        <v>398</v>
      </c>
      <c r="D1375" s="4">
        <v>401.75</v>
      </c>
      <c r="E1375" s="4">
        <v>392.95</v>
      </c>
      <c r="F1375" s="4" t="str">
        <v>2.13M</v>
      </c>
      <c r="G1375" s="4" t="str">
        <v>0.30%</v>
      </c>
      <c r="H1375" s="3">
        <v>43340</v>
      </c>
      <c r="I1375" s="4">
        <v>397.35</v>
      </c>
      <c r="O1375" s="4">
        <v>164</v>
      </c>
    </row>
    <row r="1376" spans="1:15" x14ac:dyDescent="0.25">
      <c r="A1376" s="3">
        <v>43339</v>
      </c>
      <c r="B1376" s="4">
        <v>396.15</v>
      </c>
      <c r="C1376" s="4">
        <v>403</v>
      </c>
      <c r="D1376" s="4">
        <v>404.6</v>
      </c>
      <c r="E1376" s="4">
        <v>394.05</v>
      </c>
      <c r="F1376" s="4" t="str">
        <v>2.54M</v>
      </c>
      <c r="G1376" s="4" t="str">
        <v>-0.58%</v>
      </c>
      <c r="H1376" s="3">
        <v>43339</v>
      </c>
      <c r="I1376" s="4">
        <v>399.32500000000005</v>
      </c>
      <c r="O1376" s="4">
        <v>163</v>
      </c>
    </row>
    <row r="1377" spans="1:15" x14ac:dyDescent="0.25">
      <c r="A1377" s="3">
        <v>43336</v>
      </c>
      <c r="B1377" s="4">
        <v>398.45</v>
      </c>
      <c r="C1377" s="4">
        <v>390.7</v>
      </c>
      <c r="D1377" s="4">
        <v>402.5</v>
      </c>
      <c r="E1377" s="4">
        <v>381.2</v>
      </c>
      <c r="F1377" s="4" t="str">
        <v>3.75M</v>
      </c>
      <c r="G1377" s="4" t="str">
        <v>1.79%</v>
      </c>
      <c r="H1377" s="3">
        <v>43336</v>
      </c>
      <c r="I1377" s="4">
        <v>391.85</v>
      </c>
      <c r="O1377" s="4">
        <v>162</v>
      </c>
    </row>
    <row r="1378" spans="1:15" x14ac:dyDescent="0.25">
      <c r="A1378" s="3">
        <v>43335</v>
      </c>
      <c r="B1378" s="4">
        <v>391.45</v>
      </c>
      <c r="C1378" s="4">
        <v>388</v>
      </c>
      <c r="D1378" s="4">
        <v>397</v>
      </c>
      <c r="E1378" s="4">
        <v>388</v>
      </c>
      <c r="F1378" s="4" t="str">
        <v>4.30M</v>
      </c>
      <c r="G1378" s="4" t="str">
        <v>1.03%</v>
      </c>
      <c r="H1378" s="3">
        <v>43335</v>
      </c>
      <c r="I1378" s="4">
        <v>392.5</v>
      </c>
      <c r="O1378" s="4">
        <v>161</v>
      </c>
    </row>
    <row r="1379" spans="1:15" x14ac:dyDescent="0.25">
      <c r="A1379" s="3">
        <v>43333</v>
      </c>
      <c r="B1379" s="4">
        <v>387.45</v>
      </c>
      <c r="C1379" s="4">
        <v>379.8</v>
      </c>
      <c r="D1379" s="4">
        <v>389.7</v>
      </c>
      <c r="E1379" s="4">
        <v>371.05</v>
      </c>
      <c r="F1379" s="4" t="str">
        <v>4.92M</v>
      </c>
      <c r="G1379" s="4" t="str">
        <v>2.65%</v>
      </c>
      <c r="H1379" s="3">
        <v>43333</v>
      </c>
      <c r="I1379" s="4">
        <v>380.375</v>
      </c>
      <c r="O1379" s="4">
        <v>160</v>
      </c>
    </row>
    <row r="1380" spans="1:15" x14ac:dyDescent="0.25">
      <c r="A1380" s="3">
        <v>43332</v>
      </c>
      <c r="B1380" s="4">
        <v>377.45</v>
      </c>
      <c r="C1380" s="4">
        <v>359.95</v>
      </c>
      <c r="D1380" s="4">
        <v>385.95</v>
      </c>
      <c r="E1380" s="4">
        <v>358.35</v>
      </c>
      <c r="F1380" s="4" t="str">
        <v>9.30M</v>
      </c>
      <c r="G1380" s="4" t="str">
        <v>5.65%</v>
      </c>
      <c r="H1380" s="3">
        <v>43332</v>
      </c>
      <c r="I1380" s="4">
        <v>372.15</v>
      </c>
      <c r="O1380" s="4">
        <v>159</v>
      </c>
    </row>
    <row r="1381" spans="1:15" x14ac:dyDescent="0.25">
      <c r="A1381" s="3">
        <v>43329</v>
      </c>
      <c r="B1381" s="4">
        <v>357.25</v>
      </c>
      <c r="C1381" s="4">
        <v>344</v>
      </c>
      <c r="D1381" s="4">
        <v>359</v>
      </c>
      <c r="E1381" s="4">
        <v>344</v>
      </c>
      <c r="F1381" s="4" t="str">
        <v>6.56M</v>
      </c>
      <c r="G1381" s="4" t="str">
        <v>5.01%</v>
      </c>
      <c r="H1381" s="3">
        <v>43329</v>
      </c>
      <c r="I1381" s="4">
        <v>351.5</v>
      </c>
      <c r="O1381" s="4">
        <v>158</v>
      </c>
    </row>
    <row r="1382" spans="1:15" x14ac:dyDescent="0.25">
      <c r="A1382" s="3">
        <v>43328</v>
      </c>
      <c r="B1382" s="4">
        <v>340.2</v>
      </c>
      <c r="C1382" s="4">
        <v>343</v>
      </c>
      <c r="D1382" s="4">
        <v>343.9</v>
      </c>
      <c r="E1382" s="4">
        <v>332.85</v>
      </c>
      <c r="F1382" s="4" t="str">
        <v>7.45M</v>
      </c>
      <c r="G1382" s="4" t="str">
        <v>0.06%</v>
      </c>
      <c r="H1382" s="3">
        <v>43328</v>
      </c>
      <c r="I1382" s="4">
        <v>338.375</v>
      </c>
      <c r="O1382" s="4">
        <v>157</v>
      </c>
    </row>
    <row r="1383" spans="1:15" x14ac:dyDescent="0.25">
      <c r="A1383" s="3">
        <v>43326</v>
      </c>
      <c r="B1383" s="4">
        <v>340</v>
      </c>
      <c r="C1383" s="4">
        <v>355</v>
      </c>
      <c r="D1383" s="4">
        <v>356.9</v>
      </c>
      <c r="E1383" s="4">
        <v>336</v>
      </c>
      <c r="F1383" s="4" t="str">
        <v>9.58M</v>
      </c>
      <c r="G1383" s="4" t="str">
        <v>-4.05%</v>
      </c>
      <c r="H1383" s="3">
        <v>43326</v>
      </c>
      <c r="I1383" s="4">
        <v>346.45</v>
      </c>
      <c r="O1383" s="4">
        <v>156</v>
      </c>
    </row>
    <row r="1384" spans="1:15" x14ac:dyDescent="0.25">
      <c r="A1384" s="3">
        <v>43325</v>
      </c>
      <c r="B1384" s="4">
        <v>354.35</v>
      </c>
      <c r="C1384" s="4">
        <v>373.1</v>
      </c>
      <c r="D1384" s="4">
        <v>382.65</v>
      </c>
      <c r="E1384" s="4">
        <v>351</v>
      </c>
      <c r="F1384" s="4" t="str">
        <v>5.67M</v>
      </c>
      <c r="G1384" s="4" t="str">
        <v>-6.05%</v>
      </c>
      <c r="H1384" s="3">
        <v>43325</v>
      </c>
      <c r="I1384" s="4">
        <v>366.82499999999999</v>
      </c>
      <c r="O1384" s="4">
        <v>155</v>
      </c>
    </row>
    <row r="1385" spans="1:15" x14ac:dyDescent="0.25">
      <c r="A1385" s="3">
        <v>43322</v>
      </c>
      <c r="B1385" s="4">
        <v>377.15</v>
      </c>
      <c r="C1385" s="4">
        <v>379.9</v>
      </c>
      <c r="D1385" s="4">
        <v>381.1</v>
      </c>
      <c r="E1385" s="4">
        <v>374.5</v>
      </c>
      <c r="F1385" s="4" t="str">
        <v>833.81K</v>
      </c>
      <c r="G1385" s="4" t="str">
        <v>-0.37%</v>
      </c>
      <c r="H1385" s="3">
        <v>43322</v>
      </c>
      <c r="I1385" s="4">
        <v>377.8</v>
      </c>
      <c r="O1385" s="4">
        <v>154</v>
      </c>
    </row>
    <row r="1386" spans="1:15" x14ac:dyDescent="0.25">
      <c r="A1386" s="3">
        <v>43321</v>
      </c>
      <c r="B1386" s="4">
        <v>378.55</v>
      </c>
      <c r="C1386" s="4">
        <v>377.5</v>
      </c>
      <c r="D1386" s="4">
        <v>381.4</v>
      </c>
      <c r="E1386" s="4">
        <v>374.35</v>
      </c>
      <c r="F1386" s="4" t="str">
        <v>734.07K</v>
      </c>
      <c r="G1386" s="4" t="str">
        <v>0.76%</v>
      </c>
      <c r="H1386" s="3">
        <v>43321</v>
      </c>
      <c r="I1386" s="4">
        <v>377.875</v>
      </c>
      <c r="O1386" s="4">
        <v>153</v>
      </c>
    </row>
    <row r="1387" spans="1:15" x14ac:dyDescent="0.25">
      <c r="A1387" s="3">
        <v>43320</v>
      </c>
      <c r="B1387" s="4">
        <v>375.7</v>
      </c>
      <c r="C1387" s="4">
        <v>375.1</v>
      </c>
      <c r="D1387" s="4">
        <v>380.05</v>
      </c>
      <c r="E1387" s="4">
        <v>374.25</v>
      </c>
      <c r="F1387" s="4" t="str">
        <v>854.79K</v>
      </c>
      <c r="G1387" s="4" t="str">
        <v>0.49%</v>
      </c>
      <c r="H1387" s="3">
        <v>43320</v>
      </c>
      <c r="I1387" s="4">
        <v>377.15</v>
      </c>
      <c r="O1387" s="4">
        <v>152</v>
      </c>
    </row>
    <row r="1388" spans="1:15" x14ac:dyDescent="0.25">
      <c r="A1388" s="3">
        <v>43319</v>
      </c>
      <c r="B1388" s="4">
        <v>373.85</v>
      </c>
      <c r="C1388" s="4">
        <v>381</v>
      </c>
      <c r="D1388" s="4">
        <v>381.9</v>
      </c>
      <c r="E1388" s="4">
        <v>373</v>
      </c>
      <c r="F1388" s="4" t="str">
        <v>694.29K</v>
      </c>
      <c r="G1388" s="4" t="str">
        <v>-1.70%</v>
      </c>
      <c r="H1388" s="3">
        <v>43319</v>
      </c>
      <c r="I1388" s="4">
        <v>377.45</v>
      </c>
      <c r="O1388" s="4">
        <v>151</v>
      </c>
    </row>
    <row r="1389" spans="1:15" x14ac:dyDescent="0.25">
      <c r="A1389" s="3">
        <v>43318</v>
      </c>
      <c r="B1389" s="4">
        <v>380.3</v>
      </c>
      <c r="C1389" s="4">
        <v>380.75</v>
      </c>
      <c r="D1389" s="4">
        <v>385.95</v>
      </c>
      <c r="E1389" s="4">
        <v>377.55</v>
      </c>
      <c r="F1389" s="4" t="str">
        <v>1.25M</v>
      </c>
      <c r="G1389" s="4" t="str">
        <v>0.80%</v>
      </c>
      <c r="H1389" s="3">
        <v>43318</v>
      </c>
      <c r="I1389" s="4">
        <v>381.75</v>
      </c>
      <c r="O1389" s="4">
        <v>150</v>
      </c>
    </row>
    <row r="1390" spans="1:15" x14ac:dyDescent="0.25">
      <c r="A1390" s="3">
        <v>43315</v>
      </c>
      <c r="B1390" s="4">
        <v>377.3</v>
      </c>
      <c r="C1390" s="4">
        <v>378.1</v>
      </c>
      <c r="D1390" s="4">
        <v>382.6</v>
      </c>
      <c r="E1390" s="4">
        <v>376.6</v>
      </c>
      <c r="F1390" s="4" t="str">
        <v>1.43M</v>
      </c>
      <c r="G1390" s="4" t="str">
        <v>0.32%</v>
      </c>
      <c r="H1390" s="3">
        <v>43315</v>
      </c>
      <c r="I1390" s="4">
        <v>379.6</v>
      </c>
      <c r="O1390" s="4">
        <v>149</v>
      </c>
    </row>
    <row r="1391" spans="1:15" x14ac:dyDescent="0.25">
      <c r="A1391" s="3">
        <v>43314</v>
      </c>
      <c r="B1391" s="4">
        <v>376.1</v>
      </c>
      <c r="C1391" s="4">
        <v>379</v>
      </c>
      <c r="D1391" s="4">
        <v>381.55</v>
      </c>
      <c r="E1391" s="4">
        <v>374.55</v>
      </c>
      <c r="F1391" s="4" t="str">
        <v>1.17M</v>
      </c>
      <c r="G1391" s="4" t="str">
        <v>-0.37%</v>
      </c>
      <c r="H1391" s="3">
        <v>43314</v>
      </c>
      <c r="I1391" s="4">
        <v>378.05</v>
      </c>
      <c r="O1391" s="4">
        <v>148</v>
      </c>
    </row>
    <row r="1392" spans="1:15" x14ac:dyDescent="0.25">
      <c r="A1392" s="3">
        <v>43313</v>
      </c>
      <c r="B1392" s="4">
        <v>377.5</v>
      </c>
      <c r="C1392" s="4">
        <v>383.4</v>
      </c>
      <c r="D1392" s="4">
        <v>385</v>
      </c>
      <c r="E1392" s="4">
        <v>374</v>
      </c>
      <c r="F1392" s="4" t="str">
        <v>1.44M</v>
      </c>
      <c r="G1392" s="4" t="str">
        <v>-1.04%</v>
      </c>
      <c r="H1392" s="3">
        <v>43313</v>
      </c>
      <c r="I1392" s="4">
        <v>379.5</v>
      </c>
      <c r="O1392" s="4">
        <v>147</v>
      </c>
    </row>
    <row r="1393" spans="1:15" x14ac:dyDescent="0.25">
      <c r="A1393" s="3">
        <v>43312</v>
      </c>
      <c r="B1393" s="4">
        <v>381.45</v>
      </c>
      <c r="C1393" s="4">
        <v>381.8</v>
      </c>
      <c r="D1393" s="4">
        <v>385</v>
      </c>
      <c r="E1393" s="4">
        <v>377.65</v>
      </c>
      <c r="F1393" s="4" t="str">
        <v>1.48M</v>
      </c>
      <c r="G1393" s="4" t="str">
        <v>-0.30%</v>
      </c>
      <c r="H1393" s="3">
        <v>43312</v>
      </c>
      <c r="I1393" s="4">
        <v>381.32499999999999</v>
      </c>
      <c r="O1393" s="4">
        <v>146</v>
      </c>
    </row>
    <row r="1394" spans="1:15" x14ac:dyDescent="0.25">
      <c r="A1394" s="3">
        <v>43311</v>
      </c>
      <c r="B1394" s="4">
        <v>382.6</v>
      </c>
      <c r="C1394" s="4">
        <v>375</v>
      </c>
      <c r="D1394" s="4">
        <v>383.8</v>
      </c>
      <c r="E1394" s="4">
        <v>370.5</v>
      </c>
      <c r="F1394" s="4" t="str">
        <v>1.36M</v>
      </c>
      <c r="G1394" s="4" t="str">
        <v>2.42%</v>
      </c>
      <c r="H1394" s="3">
        <v>43311</v>
      </c>
      <c r="I1394" s="4">
        <v>377.15</v>
      </c>
      <c r="O1394" s="4">
        <v>145</v>
      </c>
    </row>
    <row r="1395" spans="1:15" x14ac:dyDescent="0.25">
      <c r="A1395" s="3">
        <v>43308</v>
      </c>
      <c r="B1395" s="4">
        <v>373.55</v>
      </c>
      <c r="C1395" s="4">
        <v>373.9</v>
      </c>
      <c r="D1395" s="4">
        <v>377</v>
      </c>
      <c r="E1395" s="4">
        <v>371.55</v>
      </c>
      <c r="F1395" s="4" t="str">
        <v>460.48K</v>
      </c>
      <c r="G1395" s="4" t="str">
        <v>0.66%</v>
      </c>
      <c r="H1395" s="3">
        <v>43308</v>
      </c>
      <c r="I1395" s="4">
        <v>374.27499999999998</v>
      </c>
      <c r="O1395" s="4">
        <v>144</v>
      </c>
    </row>
    <row r="1396" spans="1:15" x14ac:dyDescent="0.25">
      <c r="A1396" s="3">
        <v>43307</v>
      </c>
      <c r="B1396" s="4">
        <v>371.1</v>
      </c>
      <c r="C1396" s="4">
        <v>364</v>
      </c>
      <c r="D1396" s="4">
        <v>373.95</v>
      </c>
      <c r="E1396" s="4">
        <v>362.05</v>
      </c>
      <c r="F1396" s="4" t="str">
        <v>918.68K</v>
      </c>
      <c r="G1396" s="4" t="str">
        <v>1.69%</v>
      </c>
      <c r="H1396" s="3">
        <v>43307</v>
      </c>
      <c r="I1396" s="4">
        <v>368</v>
      </c>
      <c r="O1396" s="4">
        <v>143</v>
      </c>
    </row>
    <row r="1397" spans="1:15" x14ac:dyDescent="0.25">
      <c r="A1397" s="3">
        <v>43306</v>
      </c>
      <c r="B1397" s="4">
        <v>364.95</v>
      </c>
      <c r="C1397" s="4">
        <v>375.8</v>
      </c>
      <c r="D1397" s="4">
        <v>377.65</v>
      </c>
      <c r="E1397" s="4">
        <v>363</v>
      </c>
      <c r="F1397" s="4" t="str">
        <v>826.02K</v>
      </c>
      <c r="G1397" s="4" t="str">
        <v>-2.01%</v>
      </c>
      <c r="H1397" s="3">
        <v>43306</v>
      </c>
      <c r="I1397" s="4">
        <v>370.32499999999999</v>
      </c>
      <c r="O1397" s="4">
        <v>142</v>
      </c>
    </row>
    <row r="1398" spans="1:15" x14ac:dyDescent="0.25">
      <c r="A1398" s="3">
        <v>43305</v>
      </c>
      <c r="B1398" s="4">
        <v>372.45</v>
      </c>
      <c r="C1398" s="4">
        <v>359.8</v>
      </c>
      <c r="D1398" s="4">
        <v>374.65</v>
      </c>
      <c r="E1398" s="4">
        <v>359.6</v>
      </c>
      <c r="F1398" s="4" t="str">
        <v>1.35M</v>
      </c>
      <c r="G1398" s="4" t="str">
        <v>3.62%</v>
      </c>
      <c r="H1398" s="3">
        <v>43305</v>
      </c>
      <c r="I1398" s="4">
        <v>367.125</v>
      </c>
      <c r="O1398" s="4">
        <v>141</v>
      </c>
    </row>
    <row r="1399" spans="1:15" x14ac:dyDescent="0.25">
      <c r="A1399" s="3">
        <v>43304</v>
      </c>
      <c r="B1399" s="4">
        <v>359.45</v>
      </c>
      <c r="C1399" s="4">
        <v>350</v>
      </c>
      <c r="D1399" s="4">
        <v>360.9</v>
      </c>
      <c r="E1399" s="4">
        <v>348.8</v>
      </c>
      <c r="F1399" s="4" t="str">
        <v>1.34M</v>
      </c>
      <c r="G1399" s="4" t="str">
        <v>3.31%</v>
      </c>
      <c r="H1399" s="3">
        <v>43304</v>
      </c>
      <c r="I1399" s="4">
        <v>354.85</v>
      </c>
      <c r="O1399" s="4">
        <v>140</v>
      </c>
    </row>
    <row r="1400" spans="1:15" x14ac:dyDescent="0.25">
      <c r="A1400" s="3">
        <v>43301</v>
      </c>
      <c r="B1400" s="4">
        <v>347.95</v>
      </c>
      <c r="C1400" s="4">
        <v>342.45</v>
      </c>
      <c r="D1400" s="4">
        <v>350.8</v>
      </c>
      <c r="E1400" s="4">
        <v>332.75</v>
      </c>
      <c r="F1400" s="4" t="str">
        <v>3.53M</v>
      </c>
      <c r="G1400" s="4" t="str">
        <v>1.28%</v>
      </c>
      <c r="H1400" s="3">
        <v>43301</v>
      </c>
      <c r="I1400" s="4">
        <v>341.77499999999998</v>
      </c>
      <c r="O1400" s="4">
        <v>139</v>
      </c>
    </row>
    <row r="1401" spans="1:15" x14ac:dyDescent="0.25">
      <c r="A1401" s="3">
        <v>43300</v>
      </c>
      <c r="B1401" s="4">
        <v>343.55</v>
      </c>
      <c r="C1401" s="4">
        <v>357.7</v>
      </c>
      <c r="D1401" s="4">
        <v>357.7</v>
      </c>
      <c r="E1401" s="4">
        <v>342</v>
      </c>
      <c r="F1401" s="4" t="str">
        <v>1.72M</v>
      </c>
      <c r="G1401" s="4" t="str">
        <v>-3.02%</v>
      </c>
      <c r="H1401" s="3">
        <v>43300</v>
      </c>
      <c r="I1401" s="4">
        <v>349.85</v>
      </c>
      <c r="O1401" s="4">
        <v>138</v>
      </c>
    </row>
    <row r="1402" spans="1:15" x14ac:dyDescent="0.25">
      <c r="A1402" s="3">
        <v>43299</v>
      </c>
      <c r="B1402" s="4">
        <v>354.25</v>
      </c>
      <c r="C1402" s="4">
        <v>361.9</v>
      </c>
      <c r="D1402" s="4">
        <v>365.95</v>
      </c>
      <c r="E1402" s="4">
        <v>348.6</v>
      </c>
      <c r="F1402" s="4" t="str">
        <v>2.12M</v>
      </c>
      <c r="G1402" s="4" t="str">
        <v>-1.64%</v>
      </c>
      <c r="H1402" s="3">
        <v>43299</v>
      </c>
      <c r="I1402" s="4">
        <v>357.27499999999998</v>
      </c>
      <c r="O1402" s="4">
        <v>137</v>
      </c>
    </row>
    <row r="1403" spans="1:15" x14ac:dyDescent="0.25">
      <c r="A1403" s="3">
        <v>43298</v>
      </c>
      <c r="B1403" s="4">
        <v>360.15</v>
      </c>
      <c r="C1403" s="4">
        <v>351</v>
      </c>
      <c r="D1403" s="4">
        <v>365</v>
      </c>
      <c r="E1403" s="4">
        <v>346.9</v>
      </c>
      <c r="F1403" s="4" t="str">
        <v>1.49M</v>
      </c>
      <c r="G1403" s="4" t="str">
        <v>2.97%</v>
      </c>
      <c r="H1403" s="3">
        <v>43298</v>
      </c>
      <c r="I1403" s="4">
        <v>355.95</v>
      </c>
      <c r="O1403" s="4">
        <v>136</v>
      </c>
    </row>
    <row r="1404" spans="1:15" x14ac:dyDescent="0.25">
      <c r="A1404" s="3">
        <v>43297</v>
      </c>
      <c r="B1404" s="4">
        <v>349.75</v>
      </c>
      <c r="C1404" s="4">
        <v>365.35</v>
      </c>
      <c r="D1404" s="4">
        <v>365.35</v>
      </c>
      <c r="E1404" s="4">
        <v>348</v>
      </c>
      <c r="F1404" s="4" t="str">
        <v>1.18M</v>
      </c>
      <c r="G1404" s="4" t="str">
        <v>-4.47%</v>
      </c>
      <c r="H1404" s="3">
        <v>43297</v>
      </c>
      <c r="I1404" s="4">
        <v>356.67500000000001</v>
      </c>
      <c r="O1404" s="4">
        <v>135</v>
      </c>
    </row>
    <row r="1405" spans="1:15" x14ac:dyDescent="0.25">
      <c r="A1405" s="3">
        <v>43294</v>
      </c>
      <c r="B1405" s="4">
        <v>366.1</v>
      </c>
      <c r="C1405" s="4">
        <v>366.9</v>
      </c>
      <c r="D1405" s="4">
        <v>369.3</v>
      </c>
      <c r="E1405" s="4">
        <v>361</v>
      </c>
      <c r="F1405" s="4" t="str">
        <v>1.10M</v>
      </c>
      <c r="G1405" s="4" t="str">
        <v>0.08%</v>
      </c>
      <c r="H1405" s="3">
        <v>43294</v>
      </c>
      <c r="I1405" s="4">
        <v>365.15</v>
      </c>
      <c r="O1405" s="4">
        <v>134</v>
      </c>
    </row>
    <row r="1406" spans="1:15" x14ac:dyDescent="0.25">
      <c r="A1406" s="3">
        <v>43293</v>
      </c>
      <c r="B1406" s="4">
        <v>365.8</v>
      </c>
      <c r="C1406" s="4">
        <v>373.15</v>
      </c>
      <c r="D1406" s="4">
        <v>373.15</v>
      </c>
      <c r="E1406" s="4">
        <v>362.2</v>
      </c>
      <c r="F1406" s="4" t="str">
        <v>2.01M</v>
      </c>
      <c r="G1406" s="4" t="str">
        <v>-1.40%</v>
      </c>
      <c r="H1406" s="3">
        <v>43293</v>
      </c>
      <c r="I1406" s="4">
        <v>367.67499999999995</v>
      </c>
      <c r="O1406" s="4">
        <v>133</v>
      </c>
    </row>
    <row r="1407" spans="1:15" x14ac:dyDescent="0.25">
      <c r="A1407" s="3">
        <v>43292</v>
      </c>
      <c r="B1407" s="4">
        <v>371</v>
      </c>
      <c r="C1407" s="4">
        <v>381</v>
      </c>
      <c r="D1407" s="4">
        <v>383.95</v>
      </c>
      <c r="E1407" s="4">
        <v>369.35</v>
      </c>
      <c r="F1407" s="4" t="str">
        <v>1.89M</v>
      </c>
      <c r="G1407" s="4" t="str">
        <v>-2.66%</v>
      </c>
      <c r="H1407" s="3">
        <v>43292</v>
      </c>
      <c r="I1407" s="4">
        <v>376.65</v>
      </c>
      <c r="O1407" s="4">
        <v>132</v>
      </c>
    </row>
    <row r="1408" spans="1:15" x14ac:dyDescent="0.25">
      <c r="A1408" s="3">
        <v>43291</v>
      </c>
      <c r="B1408" s="4">
        <v>381.15</v>
      </c>
      <c r="C1408" s="4">
        <v>390</v>
      </c>
      <c r="D1408" s="4">
        <v>390.35</v>
      </c>
      <c r="E1408" s="4">
        <v>379.5</v>
      </c>
      <c r="F1408" s="4" t="str">
        <v>1.36M</v>
      </c>
      <c r="G1408" s="4" t="str">
        <v>-1.78%</v>
      </c>
      <c r="H1408" s="3">
        <v>43291</v>
      </c>
      <c r="I1408" s="4">
        <v>384.92500000000001</v>
      </c>
      <c r="O1408" s="4">
        <v>131</v>
      </c>
    </row>
    <row r="1409" spans="1:15" x14ac:dyDescent="0.25">
      <c r="A1409" s="3">
        <v>43290</v>
      </c>
      <c r="B1409" s="4">
        <v>388.05</v>
      </c>
      <c r="C1409" s="4">
        <v>389.55</v>
      </c>
      <c r="D1409" s="4">
        <v>391.6</v>
      </c>
      <c r="E1409" s="4">
        <v>384.5</v>
      </c>
      <c r="F1409" s="4" t="str">
        <v>1.03M</v>
      </c>
      <c r="G1409" s="4" t="str">
        <v>1.68%</v>
      </c>
      <c r="H1409" s="3">
        <v>43290</v>
      </c>
      <c r="I1409" s="4">
        <v>388.05</v>
      </c>
      <c r="O1409" s="4">
        <v>130</v>
      </c>
    </row>
    <row r="1410" spans="1:15" x14ac:dyDescent="0.25">
      <c r="A1410" s="3">
        <v>43287</v>
      </c>
      <c r="B1410" s="4">
        <v>381.65</v>
      </c>
      <c r="C1410" s="4">
        <v>387.35</v>
      </c>
      <c r="D1410" s="4">
        <v>390.9</v>
      </c>
      <c r="E1410" s="4">
        <v>380.15</v>
      </c>
      <c r="F1410" s="4" t="str">
        <v>571.32K</v>
      </c>
      <c r="G1410" s="4" t="str">
        <v>-1.47%</v>
      </c>
      <c r="H1410" s="3">
        <v>43287</v>
      </c>
      <c r="I1410" s="4">
        <v>385.52499999999998</v>
      </c>
      <c r="O1410" s="4">
        <v>129</v>
      </c>
    </row>
    <row r="1411" spans="1:15" x14ac:dyDescent="0.25">
      <c r="A1411" s="3">
        <v>43286</v>
      </c>
      <c r="B1411" s="4">
        <v>387.35</v>
      </c>
      <c r="C1411" s="4">
        <v>394.65</v>
      </c>
      <c r="D1411" s="4">
        <v>399.95</v>
      </c>
      <c r="E1411" s="4">
        <v>386.15</v>
      </c>
      <c r="F1411" s="4" t="str">
        <v>764.81K</v>
      </c>
      <c r="G1411" s="4" t="str">
        <v>-1.86%</v>
      </c>
      <c r="H1411" s="3">
        <v>43286</v>
      </c>
      <c r="I1411" s="4">
        <v>393.04999999999995</v>
      </c>
      <c r="O1411" s="4">
        <v>128</v>
      </c>
    </row>
    <row r="1412" spans="1:15" x14ac:dyDescent="0.25">
      <c r="A1412" s="3">
        <v>43285</v>
      </c>
      <c r="B1412" s="4">
        <v>394.7</v>
      </c>
      <c r="C1412" s="4">
        <v>388.2</v>
      </c>
      <c r="D1412" s="4">
        <v>396.8</v>
      </c>
      <c r="E1412" s="4">
        <v>388.2</v>
      </c>
      <c r="F1412" s="4" t="str">
        <v>1.23M</v>
      </c>
      <c r="G1412" s="4" t="str">
        <v>2.06%</v>
      </c>
      <c r="H1412" s="3">
        <v>43285</v>
      </c>
      <c r="I1412" s="4">
        <v>392.5</v>
      </c>
      <c r="O1412" s="4">
        <v>127</v>
      </c>
    </row>
    <row r="1413" spans="1:15" x14ac:dyDescent="0.25">
      <c r="A1413" s="3">
        <v>43284</v>
      </c>
      <c r="B1413" s="4">
        <v>386.75</v>
      </c>
      <c r="C1413" s="4">
        <v>386</v>
      </c>
      <c r="D1413" s="4">
        <v>390</v>
      </c>
      <c r="E1413" s="4">
        <v>380.9</v>
      </c>
      <c r="F1413" s="4" t="str">
        <v>1.22M</v>
      </c>
      <c r="G1413" s="4" t="str">
        <v>0.21%</v>
      </c>
      <c r="H1413" s="3">
        <v>43284</v>
      </c>
      <c r="I1413" s="4">
        <v>385.45</v>
      </c>
      <c r="O1413" s="4">
        <v>126</v>
      </c>
    </row>
    <row r="1414" spans="1:15" x14ac:dyDescent="0.25">
      <c r="A1414" s="3">
        <v>43283</v>
      </c>
      <c r="B1414" s="4">
        <v>385.95</v>
      </c>
      <c r="C1414" s="4">
        <v>380</v>
      </c>
      <c r="D1414" s="4">
        <v>388.25</v>
      </c>
      <c r="E1414" s="4">
        <v>376</v>
      </c>
      <c r="F1414" s="4" t="str">
        <v>1.26M</v>
      </c>
      <c r="G1414" s="4" t="str">
        <v>2.27%</v>
      </c>
      <c r="H1414" s="3">
        <v>43283</v>
      </c>
      <c r="I1414" s="4">
        <v>382.125</v>
      </c>
      <c r="O1414" s="4">
        <v>125</v>
      </c>
    </row>
    <row r="1415" spans="1:15" x14ac:dyDescent="0.25">
      <c r="A1415" s="3">
        <v>43280</v>
      </c>
      <c r="B1415" s="4">
        <v>377.4</v>
      </c>
      <c r="C1415" s="4">
        <v>384</v>
      </c>
      <c r="D1415" s="4">
        <v>384.5</v>
      </c>
      <c r="E1415" s="4">
        <v>372.3</v>
      </c>
      <c r="F1415" s="4" t="str">
        <v>1.40M</v>
      </c>
      <c r="G1415" s="4" t="str">
        <v>-0.17%</v>
      </c>
      <c r="H1415" s="3">
        <v>43280</v>
      </c>
      <c r="I1415" s="4">
        <v>378.4</v>
      </c>
      <c r="O1415" s="4">
        <v>124</v>
      </c>
    </row>
    <row r="1416" spans="1:15" x14ac:dyDescent="0.25">
      <c r="A1416" s="3">
        <v>43279</v>
      </c>
      <c r="B1416" s="4">
        <v>378.05</v>
      </c>
      <c r="C1416" s="4">
        <v>385.1</v>
      </c>
      <c r="D1416" s="4">
        <v>397.9</v>
      </c>
      <c r="E1416" s="4">
        <v>375.1</v>
      </c>
      <c r="F1416" s="4" t="str">
        <v>1.74M</v>
      </c>
      <c r="G1416" s="4" t="str">
        <v>-2.78%</v>
      </c>
      <c r="H1416" s="3">
        <v>43279</v>
      </c>
      <c r="I1416" s="4">
        <v>386.5</v>
      </c>
      <c r="O1416" s="4">
        <v>123</v>
      </c>
    </row>
    <row r="1417" spans="1:15" x14ac:dyDescent="0.25">
      <c r="A1417" s="3">
        <v>43278</v>
      </c>
      <c r="B1417" s="4">
        <v>388.85</v>
      </c>
      <c r="C1417" s="4">
        <v>404</v>
      </c>
      <c r="D1417" s="4">
        <v>404.65</v>
      </c>
      <c r="E1417" s="4">
        <v>382.6</v>
      </c>
      <c r="F1417" s="4" t="str">
        <v>1.84M</v>
      </c>
      <c r="G1417" s="4" t="str">
        <v>-3.50%</v>
      </c>
      <c r="H1417" s="3">
        <v>43278</v>
      </c>
      <c r="I1417" s="4">
        <v>393.625</v>
      </c>
      <c r="O1417" s="4">
        <v>122</v>
      </c>
    </row>
    <row r="1418" spans="1:15" x14ac:dyDescent="0.25">
      <c r="A1418" s="3">
        <v>43277</v>
      </c>
      <c r="B1418" s="4">
        <v>402.95</v>
      </c>
      <c r="C1418" s="4">
        <v>411.95</v>
      </c>
      <c r="D1418" s="4">
        <v>413.05</v>
      </c>
      <c r="E1418" s="4">
        <v>401.45</v>
      </c>
      <c r="F1418" s="4" t="str">
        <v>826.08K</v>
      </c>
      <c r="G1418" s="4" t="str">
        <v>-2.28%</v>
      </c>
      <c r="H1418" s="3">
        <v>43277</v>
      </c>
      <c r="I1418" s="4">
        <v>407.25</v>
      </c>
      <c r="O1418" s="4">
        <v>121</v>
      </c>
    </row>
    <row r="1419" spans="1:15" x14ac:dyDescent="0.25">
      <c r="A1419" s="3">
        <v>43276</v>
      </c>
      <c r="B1419" s="4">
        <v>412.35</v>
      </c>
      <c r="C1419" s="4">
        <v>411.15</v>
      </c>
      <c r="D1419" s="4">
        <v>422.8</v>
      </c>
      <c r="E1419" s="4">
        <v>410.1</v>
      </c>
      <c r="F1419" s="4" t="str">
        <v>2.31M</v>
      </c>
      <c r="G1419" s="4" t="str">
        <v>0.77%</v>
      </c>
      <c r="H1419" s="3">
        <v>43276</v>
      </c>
      <c r="I1419" s="4">
        <v>416.45000000000005</v>
      </c>
      <c r="O1419" s="4">
        <v>120</v>
      </c>
    </row>
    <row r="1420" spans="1:15" x14ac:dyDescent="0.25">
      <c r="A1420" s="3">
        <v>43273</v>
      </c>
      <c r="B1420" s="4">
        <v>409.2</v>
      </c>
      <c r="C1420" s="4">
        <v>411.05</v>
      </c>
      <c r="D1420" s="4">
        <v>414.7</v>
      </c>
      <c r="E1420" s="4">
        <v>405.6</v>
      </c>
      <c r="F1420" s="4" t="str">
        <v>1.78M</v>
      </c>
      <c r="G1420" s="4" t="str">
        <v>-0.75%</v>
      </c>
      <c r="H1420" s="3">
        <v>43273</v>
      </c>
      <c r="I1420" s="4">
        <v>410.15</v>
      </c>
      <c r="O1420" s="4">
        <v>119</v>
      </c>
    </row>
    <row r="1421" spans="1:15" x14ac:dyDescent="0.25">
      <c r="A1421" s="3">
        <v>43272</v>
      </c>
      <c r="B1421" s="4">
        <v>412.3</v>
      </c>
      <c r="C1421" s="4">
        <v>413</v>
      </c>
      <c r="D1421" s="4">
        <v>415</v>
      </c>
      <c r="E1421" s="4">
        <v>409.05</v>
      </c>
      <c r="F1421" s="4" t="str">
        <v>1.54M</v>
      </c>
      <c r="G1421" s="4" t="str">
        <v>0.12%</v>
      </c>
      <c r="H1421" s="3">
        <v>43272</v>
      </c>
      <c r="I1421" s="4">
        <v>412.02499999999998</v>
      </c>
      <c r="O1421" s="4">
        <v>118</v>
      </c>
    </row>
    <row r="1422" spans="1:15" x14ac:dyDescent="0.25">
      <c r="A1422" s="3">
        <v>43271</v>
      </c>
      <c r="B1422" s="4">
        <v>411.8</v>
      </c>
      <c r="C1422" s="4">
        <v>412.85</v>
      </c>
      <c r="D1422" s="4">
        <v>413.45</v>
      </c>
      <c r="E1422" s="4">
        <v>403.25</v>
      </c>
      <c r="F1422" s="4" t="str">
        <v>2.07M</v>
      </c>
      <c r="G1422" s="4" t="str">
        <v>0.70%</v>
      </c>
      <c r="H1422" s="3">
        <v>43271</v>
      </c>
      <c r="I1422" s="4">
        <v>408.35</v>
      </c>
      <c r="O1422" s="4">
        <v>117</v>
      </c>
    </row>
    <row r="1423" spans="1:15" x14ac:dyDescent="0.25">
      <c r="A1423" s="3">
        <v>43270</v>
      </c>
      <c r="B1423" s="4">
        <v>408.95</v>
      </c>
      <c r="C1423" s="4">
        <v>402.4</v>
      </c>
      <c r="D1423" s="4">
        <v>411.4</v>
      </c>
      <c r="E1423" s="4">
        <v>396</v>
      </c>
      <c r="F1423" s="4" t="str">
        <v>2.73M</v>
      </c>
      <c r="G1423" s="4" t="str">
        <v>2.11%</v>
      </c>
      <c r="H1423" s="3">
        <v>43270</v>
      </c>
      <c r="I1423" s="4">
        <v>403.7</v>
      </c>
      <c r="O1423" s="4">
        <v>116</v>
      </c>
    </row>
    <row r="1424" spans="1:15" x14ac:dyDescent="0.25">
      <c r="A1424" s="3">
        <v>43269</v>
      </c>
      <c r="B1424" s="4">
        <v>400.5</v>
      </c>
      <c r="C1424" s="4">
        <v>400.65</v>
      </c>
      <c r="D1424" s="4">
        <v>404.6</v>
      </c>
      <c r="E1424" s="4">
        <v>396.3</v>
      </c>
      <c r="F1424" s="4" t="str">
        <v>1.02M</v>
      </c>
      <c r="G1424" s="4" t="str">
        <v>0.50%</v>
      </c>
      <c r="H1424" s="3">
        <v>43269</v>
      </c>
      <c r="I1424" s="4">
        <v>400.45000000000005</v>
      </c>
      <c r="O1424" s="4">
        <v>115</v>
      </c>
    </row>
    <row r="1425" spans="1:15" x14ac:dyDescent="0.25">
      <c r="A1425" s="3">
        <v>43266</v>
      </c>
      <c r="B1425" s="4">
        <v>398.5</v>
      </c>
      <c r="C1425" s="4">
        <v>394</v>
      </c>
      <c r="D1425" s="4">
        <v>406.55</v>
      </c>
      <c r="E1425" s="4">
        <v>393.75</v>
      </c>
      <c r="F1425" s="4" t="str">
        <v>3.09M</v>
      </c>
      <c r="G1425" s="4" t="str">
        <v>-0.05%</v>
      </c>
      <c r="H1425" s="3">
        <v>43266</v>
      </c>
      <c r="I1425" s="4">
        <v>400.15</v>
      </c>
      <c r="O1425" s="4">
        <v>114</v>
      </c>
    </row>
    <row r="1426" spans="1:15" x14ac:dyDescent="0.25">
      <c r="A1426" s="3">
        <v>43265</v>
      </c>
      <c r="B1426" s="4">
        <v>398.7</v>
      </c>
      <c r="C1426" s="4">
        <v>394.3</v>
      </c>
      <c r="D1426" s="4">
        <v>403.75</v>
      </c>
      <c r="E1426" s="4">
        <v>394.05</v>
      </c>
      <c r="F1426" s="4" t="str">
        <v>2.70M</v>
      </c>
      <c r="G1426" s="4" t="str">
        <v>1.24%</v>
      </c>
      <c r="H1426" s="3">
        <v>43265</v>
      </c>
      <c r="I1426" s="4">
        <v>398.9</v>
      </c>
      <c r="O1426" s="4">
        <v>113</v>
      </c>
    </row>
    <row r="1427" spans="1:15" x14ac:dyDescent="0.25">
      <c r="A1427" s="3">
        <v>43264</v>
      </c>
      <c r="B1427" s="4">
        <v>393.8</v>
      </c>
      <c r="C1427" s="4">
        <v>383.75</v>
      </c>
      <c r="D1427" s="4">
        <v>401.4</v>
      </c>
      <c r="E1427" s="4">
        <v>382.4</v>
      </c>
      <c r="F1427" s="4" t="str">
        <v>3.55M</v>
      </c>
      <c r="G1427" s="4" t="str">
        <v>3.58%</v>
      </c>
      <c r="H1427" s="3">
        <v>43264</v>
      </c>
      <c r="I1427" s="4">
        <v>391.9</v>
      </c>
      <c r="O1427" s="4">
        <v>112</v>
      </c>
    </row>
    <row r="1428" spans="1:15" x14ac:dyDescent="0.25">
      <c r="A1428" s="3">
        <v>43263</v>
      </c>
      <c r="B1428" s="4">
        <v>380.2</v>
      </c>
      <c r="C1428" s="4">
        <v>372.3</v>
      </c>
      <c r="D1428" s="4">
        <v>383.05</v>
      </c>
      <c r="E1428" s="4">
        <v>369.8</v>
      </c>
      <c r="F1428" s="4" t="str">
        <v>2.43M</v>
      </c>
      <c r="G1428" s="4" t="str">
        <v>3.19%</v>
      </c>
      <c r="H1428" s="3">
        <v>43263</v>
      </c>
      <c r="I1428" s="4">
        <v>376.42500000000001</v>
      </c>
      <c r="O1428" s="4">
        <v>111</v>
      </c>
    </row>
    <row r="1429" spans="1:15" x14ac:dyDescent="0.25">
      <c r="A1429" s="3">
        <v>43262</v>
      </c>
      <c r="B1429" s="4">
        <v>368.45</v>
      </c>
      <c r="C1429" s="4">
        <v>365.1</v>
      </c>
      <c r="D1429" s="4">
        <v>374</v>
      </c>
      <c r="E1429" s="4">
        <v>365.1</v>
      </c>
      <c r="F1429" s="4" t="str">
        <v>1.28M</v>
      </c>
      <c r="G1429" s="4" t="str">
        <v>1.13%</v>
      </c>
      <c r="H1429" s="3">
        <v>43262</v>
      </c>
      <c r="I1429" s="4">
        <v>369.55</v>
      </c>
      <c r="O1429" s="4">
        <v>110</v>
      </c>
    </row>
    <row r="1430" spans="1:15" x14ac:dyDescent="0.25">
      <c r="A1430" s="3">
        <v>43259</v>
      </c>
      <c r="B1430" s="4">
        <v>364.35</v>
      </c>
      <c r="C1430" s="4">
        <v>357</v>
      </c>
      <c r="D1430" s="4">
        <v>370</v>
      </c>
      <c r="E1430" s="4">
        <v>354.5</v>
      </c>
      <c r="F1430" s="4" t="str">
        <v>2.15M</v>
      </c>
      <c r="G1430" s="4" t="str">
        <v>2.37%</v>
      </c>
      <c r="H1430" s="3">
        <v>43259</v>
      </c>
      <c r="I1430" s="4">
        <v>362.25</v>
      </c>
      <c r="O1430" s="4">
        <v>109</v>
      </c>
    </row>
    <row r="1431" spans="1:15" x14ac:dyDescent="0.25">
      <c r="A1431" s="3">
        <v>43258</v>
      </c>
      <c r="B1431" s="4">
        <v>355.9</v>
      </c>
      <c r="C1431" s="4">
        <v>351.85</v>
      </c>
      <c r="D1431" s="4">
        <v>358</v>
      </c>
      <c r="E1431" s="4">
        <v>351.7</v>
      </c>
      <c r="F1431" s="4" t="str">
        <v>612.62K</v>
      </c>
      <c r="G1431" s="4" t="str">
        <v>1.70%</v>
      </c>
      <c r="H1431" s="3">
        <v>43258</v>
      </c>
      <c r="I1431" s="4">
        <v>354.85</v>
      </c>
      <c r="O1431" s="4">
        <v>108</v>
      </c>
    </row>
    <row r="1432" spans="1:15" x14ac:dyDescent="0.25">
      <c r="A1432" s="3">
        <v>43257</v>
      </c>
      <c r="B1432" s="4">
        <v>349.95</v>
      </c>
      <c r="C1432" s="4">
        <v>349</v>
      </c>
      <c r="D1432" s="4">
        <v>359.95</v>
      </c>
      <c r="E1432" s="4">
        <v>345.75</v>
      </c>
      <c r="F1432" s="4" t="str">
        <v>1.37M</v>
      </c>
      <c r="G1432" s="4" t="str">
        <v>0.42%</v>
      </c>
      <c r="H1432" s="3">
        <v>43257</v>
      </c>
      <c r="I1432" s="4">
        <v>352.85</v>
      </c>
      <c r="O1432" s="4">
        <v>107</v>
      </c>
    </row>
    <row r="1433" spans="1:15" x14ac:dyDescent="0.25">
      <c r="A1433" s="3">
        <v>43256</v>
      </c>
      <c r="B1433" s="4">
        <v>348.5</v>
      </c>
      <c r="C1433" s="4">
        <v>352</v>
      </c>
      <c r="D1433" s="4">
        <v>354.3</v>
      </c>
      <c r="E1433" s="4">
        <v>344</v>
      </c>
      <c r="F1433" s="4" t="str">
        <v>666.27K</v>
      </c>
      <c r="G1433" s="4" t="str">
        <v>-0.99%</v>
      </c>
      <c r="H1433" s="3">
        <v>43256</v>
      </c>
      <c r="I1433" s="4">
        <v>349.15</v>
      </c>
      <c r="O1433" s="4">
        <v>106</v>
      </c>
    </row>
    <row r="1434" spans="1:15" x14ac:dyDescent="0.25">
      <c r="A1434" s="3">
        <v>43255</v>
      </c>
      <c r="B1434" s="4">
        <v>352</v>
      </c>
      <c r="C1434" s="4">
        <v>359</v>
      </c>
      <c r="D1434" s="4">
        <v>359.95</v>
      </c>
      <c r="E1434" s="4">
        <v>350.55</v>
      </c>
      <c r="F1434" s="4" t="str">
        <v>1.31M</v>
      </c>
      <c r="G1434" s="4" t="str">
        <v>-0.28%</v>
      </c>
      <c r="H1434" s="3">
        <v>43255</v>
      </c>
      <c r="I1434" s="4">
        <v>355.25</v>
      </c>
      <c r="O1434" s="4">
        <v>105</v>
      </c>
    </row>
    <row r="1435" spans="1:15" x14ac:dyDescent="0.25">
      <c r="A1435" s="3">
        <v>43252</v>
      </c>
      <c r="B1435" s="4">
        <v>353</v>
      </c>
      <c r="C1435" s="4">
        <v>361.3</v>
      </c>
      <c r="D1435" s="4">
        <v>366.9</v>
      </c>
      <c r="E1435" s="4">
        <v>351.75</v>
      </c>
      <c r="F1435" s="4" t="str">
        <v>862.30K</v>
      </c>
      <c r="G1435" s="4" t="str">
        <v>-2.30%</v>
      </c>
      <c r="H1435" s="3">
        <v>43252</v>
      </c>
      <c r="I1435" s="4">
        <v>359.32499999999999</v>
      </c>
      <c r="O1435" s="4">
        <v>104</v>
      </c>
    </row>
    <row r="1436" spans="1:15" x14ac:dyDescent="0.25">
      <c r="A1436" s="3">
        <v>43251</v>
      </c>
      <c r="B1436" s="4">
        <v>361.3</v>
      </c>
      <c r="C1436" s="4">
        <v>370.95</v>
      </c>
      <c r="D1436" s="4">
        <v>370.95</v>
      </c>
      <c r="E1436" s="4">
        <v>359.2</v>
      </c>
      <c r="F1436" s="4" t="str">
        <v>3.12M</v>
      </c>
      <c r="G1436" s="4" t="str">
        <v>-1.69%</v>
      </c>
      <c r="H1436" s="3">
        <v>43251</v>
      </c>
      <c r="I1436" s="4">
        <v>365.07499999999999</v>
      </c>
      <c r="O1436" s="4">
        <v>103</v>
      </c>
    </row>
    <row r="1437" spans="1:15" x14ac:dyDescent="0.25">
      <c r="A1437" s="3">
        <v>43250</v>
      </c>
      <c r="B1437" s="4">
        <v>367.5</v>
      </c>
      <c r="C1437" s="4">
        <v>361</v>
      </c>
      <c r="D1437" s="4">
        <v>371.7</v>
      </c>
      <c r="E1437" s="4">
        <v>361</v>
      </c>
      <c r="F1437" s="4" t="str">
        <v>876.26K</v>
      </c>
      <c r="G1437" s="4" t="str">
        <v>0.20%</v>
      </c>
      <c r="H1437" s="3">
        <v>43250</v>
      </c>
      <c r="I1437" s="4">
        <v>366.35</v>
      </c>
      <c r="O1437" s="4">
        <v>102</v>
      </c>
    </row>
    <row r="1438" spans="1:15" x14ac:dyDescent="0.25">
      <c r="A1438" s="3">
        <v>43249</v>
      </c>
      <c r="B1438" s="4">
        <v>366.75</v>
      </c>
      <c r="C1438" s="4">
        <v>372.9</v>
      </c>
      <c r="D1438" s="4">
        <v>380.5</v>
      </c>
      <c r="E1438" s="4">
        <v>365.5</v>
      </c>
      <c r="F1438" s="4" t="str">
        <v>1.84M</v>
      </c>
      <c r="G1438" s="4" t="str">
        <v>-0.73%</v>
      </c>
      <c r="H1438" s="3">
        <v>43249</v>
      </c>
      <c r="I1438" s="4">
        <v>373</v>
      </c>
      <c r="O1438" s="4">
        <v>101</v>
      </c>
    </row>
    <row r="1439" spans="1:15" x14ac:dyDescent="0.25">
      <c r="A1439" s="3">
        <v>43248</v>
      </c>
      <c r="B1439" s="4">
        <v>369.45</v>
      </c>
      <c r="C1439" s="4">
        <v>388.7</v>
      </c>
      <c r="D1439" s="4">
        <v>388.7</v>
      </c>
      <c r="E1439" s="4">
        <v>361.3</v>
      </c>
      <c r="F1439" s="4" t="str">
        <v>5.32M</v>
      </c>
      <c r="G1439" s="4" t="str">
        <v>-3.34%</v>
      </c>
      <c r="H1439" s="3">
        <v>43248</v>
      </c>
      <c r="I1439" s="4">
        <v>375</v>
      </c>
      <c r="O1439" s="4">
        <v>100</v>
      </c>
    </row>
    <row r="1440" spans="1:15" x14ac:dyDescent="0.25">
      <c r="A1440" s="3">
        <v>43245</v>
      </c>
      <c r="B1440" s="4">
        <v>382.2</v>
      </c>
      <c r="C1440" s="4">
        <v>365</v>
      </c>
      <c r="D1440" s="4">
        <v>408.05</v>
      </c>
      <c r="E1440" s="4">
        <v>352</v>
      </c>
      <c r="F1440" s="4" t="str">
        <v>4.77M</v>
      </c>
      <c r="G1440" s="4" t="str">
        <v>6.98%</v>
      </c>
      <c r="H1440" s="3">
        <v>43245</v>
      </c>
      <c r="I1440" s="4">
        <v>380.02499999999998</v>
      </c>
      <c r="O1440" s="4">
        <v>99</v>
      </c>
    </row>
    <row r="1441" spans="1:15" x14ac:dyDescent="0.25">
      <c r="A1441" s="3">
        <v>43244</v>
      </c>
      <c r="B1441" s="4">
        <v>357.25</v>
      </c>
      <c r="C1441" s="4">
        <v>348.35</v>
      </c>
      <c r="D1441" s="4">
        <v>359.8</v>
      </c>
      <c r="E1441" s="4">
        <v>348.35</v>
      </c>
      <c r="F1441" s="4" t="str">
        <v>737.97K</v>
      </c>
      <c r="G1441" s="4" t="str">
        <v>3.07%</v>
      </c>
      <c r="H1441" s="3">
        <v>43244</v>
      </c>
      <c r="I1441" s="4">
        <v>354.07500000000005</v>
      </c>
      <c r="O1441" s="4">
        <v>98</v>
      </c>
    </row>
    <row r="1442" spans="1:15" x14ac:dyDescent="0.25">
      <c r="A1442" s="3">
        <v>43243</v>
      </c>
      <c r="B1442" s="4">
        <v>346.6</v>
      </c>
      <c r="C1442" s="4">
        <v>344.4</v>
      </c>
      <c r="D1442" s="4">
        <v>353.95</v>
      </c>
      <c r="E1442" s="4">
        <v>342.6</v>
      </c>
      <c r="F1442" s="4" t="str">
        <v>676.73K</v>
      </c>
      <c r="G1442" s="4" t="str">
        <v>1.03%</v>
      </c>
      <c r="H1442" s="3">
        <v>43243</v>
      </c>
      <c r="I1442" s="4">
        <v>348.27499999999998</v>
      </c>
      <c r="O1442" s="4">
        <v>97</v>
      </c>
    </row>
    <row r="1443" spans="1:15" x14ac:dyDescent="0.25">
      <c r="A1443" s="3">
        <v>43242</v>
      </c>
      <c r="B1443" s="4">
        <v>343.05</v>
      </c>
      <c r="C1443" s="4">
        <v>353.15</v>
      </c>
      <c r="D1443" s="4">
        <v>359</v>
      </c>
      <c r="E1443" s="4">
        <v>341.2</v>
      </c>
      <c r="F1443" s="4" t="str">
        <v>897.34K</v>
      </c>
      <c r="G1443" s="4" t="str">
        <v>-2.86%</v>
      </c>
      <c r="H1443" s="3">
        <v>43242</v>
      </c>
      <c r="I1443" s="4">
        <v>350.1</v>
      </c>
      <c r="O1443" s="4">
        <v>96</v>
      </c>
    </row>
    <row r="1444" spans="1:15" x14ac:dyDescent="0.25">
      <c r="A1444" s="3">
        <v>43241</v>
      </c>
      <c r="B1444" s="4">
        <v>353.15</v>
      </c>
      <c r="C1444" s="4">
        <v>370.35</v>
      </c>
      <c r="D1444" s="4">
        <v>372.3</v>
      </c>
      <c r="E1444" s="4">
        <v>350.1</v>
      </c>
      <c r="F1444" s="4" t="str">
        <v>909.27K</v>
      </c>
      <c r="G1444" s="4" t="str">
        <v>-4.48%</v>
      </c>
      <c r="H1444" s="3">
        <v>43241</v>
      </c>
      <c r="I1444" s="4">
        <v>361.20000000000005</v>
      </c>
      <c r="O1444" s="4">
        <v>95</v>
      </c>
    </row>
    <row r="1445" spans="1:15" x14ac:dyDescent="0.25">
      <c r="A1445" s="3">
        <v>43238</v>
      </c>
      <c r="B1445" s="4">
        <v>369.7</v>
      </c>
      <c r="C1445" s="4">
        <v>386.95</v>
      </c>
      <c r="D1445" s="4">
        <v>386.95</v>
      </c>
      <c r="E1445" s="4">
        <v>360.6</v>
      </c>
      <c r="F1445" s="4" t="str">
        <v>2.29M</v>
      </c>
      <c r="G1445" s="4" t="str">
        <v>-4.46%</v>
      </c>
      <c r="H1445" s="3">
        <v>43238</v>
      </c>
      <c r="I1445" s="4">
        <v>373.77499999999998</v>
      </c>
      <c r="O1445" s="4">
        <v>94</v>
      </c>
    </row>
    <row r="1446" spans="1:15" x14ac:dyDescent="0.25">
      <c r="A1446" s="3">
        <v>43237</v>
      </c>
      <c r="B1446" s="4">
        <v>386.95</v>
      </c>
      <c r="C1446" s="4">
        <v>385</v>
      </c>
      <c r="D1446" s="4">
        <v>388.8</v>
      </c>
      <c r="E1446" s="4">
        <v>382</v>
      </c>
      <c r="F1446" s="4" t="str">
        <v>335.14K</v>
      </c>
      <c r="G1446" s="4" t="str">
        <v>0.77%</v>
      </c>
      <c r="H1446" s="3">
        <v>43237</v>
      </c>
      <c r="I1446" s="4">
        <v>385.4</v>
      </c>
      <c r="O1446" s="4">
        <v>93</v>
      </c>
    </row>
    <row r="1447" spans="1:15" x14ac:dyDescent="0.25">
      <c r="A1447" s="3">
        <v>43236</v>
      </c>
      <c r="B1447" s="4">
        <v>384</v>
      </c>
      <c r="C1447" s="4">
        <v>385</v>
      </c>
      <c r="D1447" s="4">
        <v>385</v>
      </c>
      <c r="E1447" s="4">
        <v>378.3</v>
      </c>
      <c r="F1447" s="4" t="str">
        <v>576.83K</v>
      </c>
      <c r="G1447" s="4" t="str">
        <v>-0.09%</v>
      </c>
      <c r="H1447" s="3">
        <v>43236</v>
      </c>
      <c r="I1447" s="4">
        <v>381.65</v>
      </c>
      <c r="O1447" s="4">
        <v>92</v>
      </c>
    </row>
    <row r="1448" spans="1:15" x14ac:dyDescent="0.25">
      <c r="A1448" s="3">
        <v>43235</v>
      </c>
      <c r="B1448" s="4">
        <v>384.35</v>
      </c>
      <c r="C1448" s="4">
        <v>390.45</v>
      </c>
      <c r="D1448" s="4">
        <v>394.1</v>
      </c>
      <c r="E1448" s="4">
        <v>380.3</v>
      </c>
      <c r="F1448" s="4" t="str">
        <v>686.99K</v>
      </c>
      <c r="G1448" s="4" t="str">
        <v>-2.05%</v>
      </c>
      <c r="H1448" s="3">
        <v>43235</v>
      </c>
      <c r="I1448" s="4">
        <v>387.20000000000005</v>
      </c>
      <c r="O1448" s="4">
        <v>91</v>
      </c>
    </row>
    <row r="1449" spans="1:15" x14ac:dyDescent="0.25">
      <c r="A1449" s="3">
        <v>43234</v>
      </c>
      <c r="B1449" s="4">
        <v>392.4</v>
      </c>
      <c r="C1449" s="4">
        <v>394</v>
      </c>
      <c r="D1449" s="4">
        <v>398</v>
      </c>
      <c r="E1449" s="4">
        <v>391</v>
      </c>
      <c r="F1449" s="4" t="str">
        <v>498.74K</v>
      </c>
      <c r="G1449" s="4" t="str">
        <v>-0.25%</v>
      </c>
      <c r="H1449" s="3">
        <v>43234</v>
      </c>
      <c r="I1449" s="4">
        <v>394.5</v>
      </c>
      <c r="O1449" s="4">
        <v>90</v>
      </c>
    </row>
    <row r="1450" spans="1:15" x14ac:dyDescent="0.25">
      <c r="A1450" s="3">
        <v>43231</v>
      </c>
      <c r="B1450" s="4">
        <v>393.4</v>
      </c>
      <c r="C1450" s="4">
        <v>394.7</v>
      </c>
      <c r="D1450" s="4">
        <v>398.35</v>
      </c>
      <c r="E1450" s="4">
        <v>390.05</v>
      </c>
      <c r="F1450" s="4" t="str">
        <v>324.06K</v>
      </c>
      <c r="G1450" s="4" t="str">
        <v>-1.33%</v>
      </c>
      <c r="H1450" s="3">
        <v>43231</v>
      </c>
      <c r="I1450" s="4">
        <v>394.20000000000005</v>
      </c>
      <c r="O1450" s="4">
        <v>89</v>
      </c>
    </row>
    <row r="1451" spans="1:15" x14ac:dyDescent="0.25">
      <c r="A1451" s="3">
        <v>43230</v>
      </c>
      <c r="B1451" s="4">
        <v>398.7</v>
      </c>
      <c r="C1451" s="4">
        <v>403</v>
      </c>
      <c r="D1451" s="4">
        <v>405.8</v>
      </c>
      <c r="E1451" s="4">
        <v>391.5</v>
      </c>
      <c r="F1451" s="4" t="str">
        <v>1.23M</v>
      </c>
      <c r="G1451" s="4" t="str">
        <v>-0.41%</v>
      </c>
      <c r="H1451" s="3">
        <v>43230</v>
      </c>
      <c r="I1451" s="4">
        <v>398.65</v>
      </c>
      <c r="O1451" s="4">
        <v>88</v>
      </c>
    </row>
    <row r="1452" spans="1:15" x14ac:dyDescent="0.25">
      <c r="A1452" s="3">
        <v>43229</v>
      </c>
      <c r="B1452" s="4">
        <v>400.35</v>
      </c>
      <c r="C1452" s="4">
        <v>393.8</v>
      </c>
      <c r="D1452" s="4">
        <v>402.4</v>
      </c>
      <c r="E1452" s="4">
        <v>390.5</v>
      </c>
      <c r="F1452" s="4" t="str">
        <v>1.13M</v>
      </c>
      <c r="G1452" s="4" t="str">
        <v>1.68%</v>
      </c>
      <c r="H1452" s="3">
        <v>43229</v>
      </c>
      <c r="I1452" s="4">
        <v>396.45</v>
      </c>
      <c r="O1452" s="4">
        <v>87</v>
      </c>
    </row>
    <row r="1453" spans="1:15" x14ac:dyDescent="0.25">
      <c r="A1453" s="3">
        <v>43228</v>
      </c>
      <c r="B1453" s="4">
        <v>393.75</v>
      </c>
      <c r="C1453" s="4">
        <v>394</v>
      </c>
      <c r="D1453" s="4">
        <v>397.4</v>
      </c>
      <c r="E1453" s="4">
        <v>392.05</v>
      </c>
      <c r="F1453" s="4" t="str">
        <v>396.09K</v>
      </c>
      <c r="G1453" s="4" t="str">
        <v>0.64%</v>
      </c>
      <c r="H1453" s="3">
        <v>43228</v>
      </c>
      <c r="I1453" s="4">
        <v>394.72500000000002</v>
      </c>
      <c r="O1453" s="4">
        <v>86</v>
      </c>
    </row>
    <row r="1454" spans="1:15" x14ac:dyDescent="0.25">
      <c r="A1454" s="3">
        <v>43227</v>
      </c>
      <c r="B1454" s="4">
        <v>391.25</v>
      </c>
      <c r="C1454" s="4">
        <v>394.8</v>
      </c>
      <c r="D1454" s="4">
        <v>407</v>
      </c>
      <c r="E1454" s="4">
        <v>386.05</v>
      </c>
      <c r="F1454" s="4" t="str">
        <v>828.32K</v>
      </c>
      <c r="G1454" s="4" t="str">
        <v>0.48%</v>
      </c>
      <c r="H1454" s="3">
        <v>43227</v>
      </c>
      <c r="I1454" s="4">
        <v>396.52499999999998</v>
      </c>
      <c r="O1454" s="4">
        <v>85</v>
      </c>
    </row>
    <row r="1455" spans="1:15" x14ac:dyDescent="0.25">
      <c r="A1455" s="3">
        <v>43224</v>
      </c>
      <c r="B1455" s="4">
        <v>389.4</v>
      </c>
      <c r="C1455" s="4">
        <v>394.2</v>
      </c>
      <c r="D1455" s="4">
        <v>394.5</v>
      </c>
      <c r="E1455" s="4">
        <v>388.1</v>
      </c>
      <c r="F1455" s="4" t="str">
        <v>474.20K</v>
      </c>
      <c r="G1455" s="4" t="str">
        <v>-1.12%</v>
      </c>
      <c r="H1455" s="3">
        <v>43224</v>
      </c>
      <c r="I1455" s="4">
        <v>391.3</v>
      </c>
      <c r="O1455" s="4">
        <v>84</v>
      </c>
    </row>
    <row r="1456" spans="1:15" x14ac:dyDescent="0.25">
      <c r="A1456" s="3">
        <v>43223</v>
      </c>
      <c r="B1456" s="4">
        <v>393.8</v>
      </c>
      <c r="C1456" s="4">
        <v>406.95</v>
      </c>
      <c r="D1456" s="4">
        <v>408.35</v>
      </c>
      <c r="E1456" s="4">
        <v>391.5</v>
      </c>
      <c r="F1456" s="4" t="str">
        <v>956.10K</v>
      </c>
      <c r="G1456" s="4" t="str">
        <v>-3.09%</v>
      </c>
      <c r="H1456" s="3">
        <v>43223</v>
      </c>
      <c r="I1456" s="4">
        <v>399.92500000000001</v>
      </c>
      <c r="O1456" s="4">
        <v>83</v>
      </c>
    </row>
    <row r="1457" spans="1:15" x14ac:dyDescent="0.25">
      <c r="A1457" s="3">
        <v>43222</v>
      </c>
      <c r="B1457" s="4">
        <v>406.35</v>
      </c>
      <c r="C1457" s="4">
        <v>413.5</v>
      </c>
      <c r="D1457" s="4">
        <v>416.6</v>
      </c>
      <c r="E1457" s="4">
        <v>403.6</v>
      </c>
      <c r="F1457" s="4" t="str">
        <v>632.03K</v>
      </c>
      <c r="G1457" s="4" t="str">
        <v>-1.46%</v>
      </c>
      <c r="H1457" s="3">
        <v>43222</v>
      </c>
      <c r="I1457" s="4">
        <v>410.1</v>
      </c>
      <c r="O1457" s="4">
        <v>82</v>
      </c>
    </row>
    <row r="1458" spans="1:15" x14ac:dyDescent="0.25">
      <c r="A1458" s="3">
        <v>43220</v>
      </c>
      <c r="B1458" s="4">
        <v>412.35</v>
      </c>
      <c r="C1458" s="4">
        <v>408</v>
      </c>
      <c r="D1458" s="4">
        <v>414.85</v>
      </c>
      <c r="E1458" s="4">
        <v>407</v>
      </c>
      <c r="F1458" s="4" t="str">
        <v>434.67K</v>
      </c>
      <c r="G1458" s="4" t="str">
        <v>1.41%</v>
      </c>
      <c r="H1458" s="3">
        <v>43220</v>
      </c>
      <c r="I1458" s="4">
        <v>410.92500000000001</v>
      </c>
      <c r="O1458" s="4">
        <v>81</v>
      </c>
    </row>
    <row r="1459" spans="1:15" x14ac:dyDescent="0.25">
      <c r="A1459" s="3">
        <v>43217</v>
      </c>
      <c r="B1459" s="4">
        <v>406.6</v>
      </c>
      <c r="C1459" s="4">
        <v>412</v>
      </c>
      <c r="D1459" s="4">
        <v>415.7</v>
      </c>
      <c r="E1459" s="4">
        <v>405.1</v>
      </c>
      <c r="F1459" s="4" t="str">
        <v>777.85K</v>
      </c>
      <c r="G1459" s="4" t="str">
        <v>-0.64%</v>
      </c>
      <c r="H1459" s="3">
        <v>43217</v>
      </c>
      <c r="I1459" s="4">
        <v>410.4</v>
      </c>
      <c r="O1459" s="4">
        <v>80</v>
      </c>
    </row>
    <row r="1460" spans="1:15" x14ac:dyDescent="0.25">
      <c r="A1460" s="3">
        <v>43216</v>
      </c>
      <c r="B1460" s="4">
        <v>409.2</v>
      </c>
      <c r="C1460" s="4">
        <v>406.6</v>
      </c>
      <c r="D1460" s="4">
        <v>414.75</v>
      </c>
      <c r="E1460" s="4">
        <v>402.85</v>
      </c>
      <c r="F1460" s="4" t="str">
        <v>2.31M</v>
      </c>
      <c r="G1460" s="4" t="str">
        <v>1.58%</v>
      </c>
      <c r="H1460" s="3">
        <v>43216</v>
      </c>
      <c r="I1460" s="4">
        <v>408.8</v>
      </c>
      <c r="O1460" s="4">
        <v>79</v>
      </c>
    </row>
    <row r="1461" spans="1:15" x14ac:dyDescent="0.25">
      <c r="A1461" s="3">
        <v>43215</v>
      </c>
      <c r="B1461" s="4">
        <v>402.85</v>
      </c>
      <c r="C1461" s="4">
        <v>405</v>
      </c>
      <c r="D1461" s="4">
        <v>407.4</v>
      </c>
      <c r="E1461" s="4">
        <v>399.1</v>
      </c>
      <c r="F1461" s="4" t="str">
        <v>490.17K</v>
      </c>
      <c r="G1461" s="4" t="str">
        <v>-0.51%</v>
      </c>
      <c r="H1461" s="3">
        <v>43215</v>
      </c>
      <c r="I1461" s="4">
        <v>403.25</v>
      </c>
      <c r="O1461" s="4">
        <v>78</v>
      </c>
    </row>
    <row r="1462" spans="1:15" x14ac:dyDescent="0.25">
      <c r="A1462" s="3">
        <v>43214</v>
      </c>
      <c r="B1462" s="4">
        <v>404.9</v>
      </c>
      <c r="C1462" s="4">
        <v>402.9</v>
      </c>
      <c r="D1462" s="4">
        <v>408.7</v>
      </c>
      <c r="E1462" s="4">
        <v>398.05</v>
      </c>
      <c r="F1462" s="4" t="str">
        <v>1.94M</v>
      </c>
      <c r="G1462" s="4" t="str">
        <v>1.49%</v>
      </c>
      <c r="H1462" s="3">
        <v>43214</v>
      </c>
      <c r="I1462" s="4">
        <v>403.375</v>
      </c>
      <c r="O1462" s="4">
        <v>77</v>
      </c>
    </row>
    <row r="1463" spans="1:15" x14ac:dyDescent="0.25">
      <c r="A1463" s="3">
        <v>43213</v>
      </c>
      <c r="B1463" s="4">
        <v>398.95</v>
      </c>
      <c r="C1463" s="4">
        <v>387</v>
      </c>
      <c r="D1463" s="4">
        <v>401.95</v>
      </c>
      <c r="E1463" s="4">
        <v>386.1</v>
      </c>
      <c r="F1463" s="4" t="str">
        <v>2.02M</v>
      </c>
      <c r="G1463" s="4" t="str">
        <v>3.58%</v>
      </c>
      <c r="H1463" s="3">
        <v>43213</v>
      </c>
      <c r="I1463" s="4">
        <v>394.02499999999998</v>
      </c>
      <c r="O1463" s="4">
        <v>76</v>
      </c>
    </row>
    <row r="1464" spans="1:15" x14ac:dyDescent="0.25">
      <c r="A1464" s="3">
        <v>43210</v>
      </c>
      <c r="B1464" s="4">
        <v>385.15</v>
      </c>
      <c r="C1464" s="4">
        <v>386.6</v>
      </c>
      <c r="D1464" s="4">
        <v>388.5</v>
      </c>
      <c r="E1464" s="4">
        <v>382.4</v>
      </c>
      <c r="F1464" s="4" t="str">
        <v>420.24K</v>
      </c>
      <c r="G1464" s="4" t="str">
        <v>-0.64%</v>
      </c>
      <c r="H1464" s="3">
        <v>43210</v>
      </c>
      <c r="I1464" s="4">
        <v>385.45</v>
      </c>
      <c r="O1464" s="4">
        <v>75</v>
      </c>
    </row>
    <row r="1465" spans="1:15" x14ac:dyDescent="0.25">
      <c r="A1465" s="3">
        <v>43209</v>
      </c>
      <c r="B1465" s="4">
        <v>387.65</v>
      </c>
      <c r="C1465" s="4">
        <v>385</v>
      </c>
      <c r="D1465" s="4">
        <v>389.6</v>
      </c>
      <c r="E1465" s="4">
        <v>382.4</v>
      </c>
      <c r="F1465" s="4" t="str">
        <v>763.71K</v>
      </c>
      <c r="G1465" s="4" t="str">
        <v>0.66%</v>
      </c>
      <c r="H1465" s="3">
        <v>43209</v>
      </c>
      <c r="I1465" s="4">
        <v>386</v>
      </c>
      <c r="O1465" s="4">
        <v>74</v>
      </c>
    </row>
    <row r="1466" spans="1:15" x14ac:dyDescent="0.25">
      <c r="A1466" s="3">
        <v>43208</v>
      </c>
      <c r="B1466" s="4">
        <v>385.1</v>
      </c>
      <c r="C1466" s="4">
        <v>388.65</v>
      </c>
      <c r="D1466" s="4">
        <v>390.95</v>
      </c>
      <c r="E1466" s="4">
        <v>383.35</v>
      </c>
      <c r="F1466" s="4" t="str">
        <v>479.17K</v>
      </c>
      <c r="G1466" s="4" t="str">
        <v>-0.67%</v>
      </c>
      <c r="H1466" s="3">
        <v>43208</v>
      </c>
      <c r="I1466" s="4">
        <v>387.15</v>
      </c>
      <c r="O1466" s="4">
        <v>73</v>
      </c>
    </row>
    <row r="1467" spans="1:15" x14ac:dyDescent="0.25">
      <c r="A1467" s="3">
        <v>43207</v>
      </c>
      <c r="B1467" s="4">
        <v>387.7</v>
      </c>
      <c r="C1467" s="4">
        <v>390.7</v>
      </c>
      <c r="D1467" s="4">
        <v>393.4</v>
      </c>
      <c r="E1467" s="4">
        <v>385.55</v>
      </c>
      <c r="F1467" s="4" t="str">
        <v>747.43K</v>
      </c>
      <c r="G1467" s="4" t="str">
        <v>-0.78%</v>
      </c>
      <c r="H1467" s="3">
        <v>43207</v>
      </c>
      <c r="I1467" s="4">
        <v>389.47500000000002</v>
      </c>
      <c r="O1467" s="4">
        <v>72</v>
      </c>
    </row>
    <row r="1468" spans="1:15" x14ac:dyDescent="0.25">
      <c r="A1468" s="3">
        <v>43206</v>
      </c>
      <c r="B1468" s="4">
        <v>390.75</v>
      </c>
      <c r="C1468" s="4">
        <v>388.35</v>
      </c>
      <c r="D1468" s="4">
        <v>394</v>
      </c>
      <c r="E1468" s="4">
        <v>388.15</v>
      </c>
      <c r="F1468" s="4" t="str">
        <v>562.96K</v>
      </c>
      <c r="G1468" s="4" t="str">
        <v>-0.10%</v>
      </c>
      <c r="H1468" s="3">
        <v>43206</v>
      </c>
      <c r="I1468" s="4">
        <v>391.07499999999999</v>
      </c>
      <c r="O1468" s="4">
        <v>71</v>
      </c>
    </row>
    <row r="1469" spans="1:15" x14ac:dyDescent="0.25">
      <c r="A1469" s="3">
        <v>43203</v>
      </c>
      <c r="B1469" s="4">
        <v>391.15</v>
      </c>
      <c r="C1469" s="4">
        <v>390</v>
      </c>
      <c r="D1469" s="4">
        <v>393.95</v>
      </c>
      <c r="E1469" s="4">
        <v>389.45</v>
      </c>
      <c r="F1469" s="4" t="str">
        <v>517.56K</v>
      </c>
      <c r="G1469" s="4" t="str">
        <v>0.24%</v>
      </c>
      <c r="H1469" s="3">
        <v>43203</v>
      </c>
      <c r="I1469" s="4">
        <v>391.7</v>
      </c>
      <c r="O1469" s="4">
        <v>70</v>
      </c>
    </row>
    <row r="1470" spans="1:15" x14ac:dyDescent="0.25">
      <c r="A1470" s="3">
        <v>43202</v>
      </c>
      <c r="B1470" s="4">
        <v>390.2</v>
      </c>
      <c r="C1470" s="4">
        <v>391.1</v>
      </c>
      <c r="D1470" s="4">
        <v>395.15</v>
      </c>
      <c r="E1470" s="4">
        <v>388</v>
      </c>
      <c r="F1470" s="4" t="str">
        <v>571.54K</v>
      </c>
      <c r="G1470" s="4" t="str">
        <v>0.22%</v>
      </c>
      <c r="H1470" s="3">
        <v>43202</v>
      </c>
      <c r="I1470" s="4">
        <v>391.57499999999999</v>
      </c>
      <c r="O1470" s="4">
        <v>69</v>
      </c>
    </row>
    <row r="1471" spans="1:15" x14ac:dyDescent="0.25">
      <c r="A1471" s="3">
        <v>43201</v>
      </c>
      <c r="B1471" s="4">
        <v>389.35</v>
      </c>
      <c r="C1471" s="4">
        <v>390</v>
      </c>
      <c r="D1471" s="4">
        <v>393.7</v>
      </c>
      <c r="E1471" s="4">
        <v>388.1</v>
      </c>
      <c r="F1471" s="4" t="str">
        <v>369.78K</v>
      </c>
      <c r="G1471" s="4" t="str">
        <v>0.18%</v>
      </c>
      <c r="H1471" s="3">
        <v>43201</v>
      </c>
      <c r="I1471" s="4">
        <v>390.9</v>
      </c>
      <c r="O1471" s="4">
        <v>68</v>
      </c>
    </row>
    <row r="1472" spans="1:15" x14ac:dyDescent="0.25">
      <c r="A1472" s="3">
        <v>43200</v>
      </c>
      <c r="B1472" s="4">
        <v>388.65</v>
      </c>
      <c r="C1472" s="4">
        <v>394.9</v>
      </c>
      <c r="D1472" s="4">
        <v>394.9</v>
      </c>
      <c r="E1472" s="4">
        <v>386.1</v>
      </c>
      <c r="F1472" s="4" t="str">
        <v>430.00K</v>
      </c>
      <c r="G1472" s="4" t="str">
        <v>-0.64%</v>
      </c>
      <c r="H1472" s="3">
        <v>43200</v>
      </c>
      <c r="I1472" s="4">
        <v>390.5</v>
      </c>
      <c r="O1472" s="4">
        <v>67</v>
      </c>
    </row>
    <row r="1473" spans="1:15" x14ac:dyDescent="0.25">
      <c r="A1473" s="3">
        <v>43199</v>
      </c>
      <c r="B1473" s="4">
        <v>391.15</v>
      </c>
      <c r="C1473" s="4">
        <v>396.9</v>
      </c>
      <c r="D1473" s="4">
        <v>399.95</v>
      </c>
      <c r="E1473" s="4">
        <v>386.5</v>
      </c>
      <c r="F1473" s="4" t="str">
        <v>833.59K</v>
      </c>
      <c r="G1473" s="4" t="str">
        <v>-0.66%</v>
      </c>
      <c r="H1473" s="3">
        <v>43199</v>
      </c>
      <c r="I1473" s="4">
        <v>393.22500000000002</v>
      </c>
      <c r="O1473" s="4">
        <v>66</v>
      </c>
    </row>
    <row r="1474" spans="1:15" x14ac:dyDescent="0.25">
      <c r="A1474" s="3">
        <v>43196</v>
      </c>
      <c r="B1474" s="4">
        <v>393.75</v>
      </c>
      <c r="C1474" s="4">
        <v>394</v>
      </c>
      <c r="D1474" s="4">
        <v>398</v>
      </c>
      <c r="E1474" s="4">
        <v>390.6</v>
      </c>
      <c r="F1474" s="4" t="str">
        <v>726.10K</v>
      </c>
      <c r="G1474" s="4" t="str">
        <v>-0.15%</v>
      </c>
      <c r="H1474" s="3">
        <v>43196</v>
      </c>
      <c r="I1474" s="4">
        <v>394.3</v>
      </c>
      <c r="O1474" s="4">
        <v>65</v>
      </c>
    </row>
    <row r="1475" spans="1:15" x14ac:dyDescent="0.25">
      <c r="A1475" s="3">
        <v>43195</v>
      </c>
      <c r="B1475" s="4">
        <v>394.35</v>
      </c>
      <c r="C1475" s="4">
        <v>397</v>
      </c>
      <c r="D1475" s="4">
        <v>403.45</v>
      </c>
      <c r="E1475" s="4">
        <v>393</v>
      </c>
      <c r="F1475" s="4" t="str">
        <v>1.13M</v>
      </c>
      <c r="G1475" s="4" t="str">
        <v>-0.09%</v>
      </c>
      <c r="H1475" s="3">
        <v>43195</v>
      </c>
      <c r="I1475" s="4">
        <v>398.22500000000002</v>
      </c>
      <c r="O1475" s="4">
        <v>64</v>
      </c>
    </row>
    <row r="1476" spans="1:15" x14ac:dyDescent="0.25">
      <c r="A1476" s="3">
        <v>43194</v>
      </c>
      <c r="B1476" s="4">
        <v>394.7</v>
      </c>
      <c r="C1476" s="4">
        <v>397.5</v>
      </c>
      <c r="D1476" s="4">
        <v>399.8</v>
      </c>
      <c r="E1476" s="4">
        <v>390</v>
      </c>
      <c r="F1476" s="4" t="str">
        <v>2.48M</v>
      </c>
      <c r="G1476" s="4" t="str">
        <v>0.18%</v>
      </c>
      <c r="H1476" s="3">
        <v>43194</v>
      </c>
      <c r="I1476" s="4">
        <v>394.9</v>
      </c>
      <c r="O1476" s="4">
        <v>63</v>
      </c>
    </row>
    <row r="1477" spans="1:15" x14ac:dyDescent="0.25">
      <c r="A1477" s="3">
        <v>43193</v>
      </c>
      <c r="B1477" s="4">
        <v>394</v>
      </c>
      <c r="C1477" s="4">
        <v>384</v>
      </c>
      <c r="D1477" s="4">
        <v>396</v>
      </c>
      <c r="E1477" s="4">
        <v>382.5</v>
      </c>
      <c r="F1477" s="4" t="str">
        <v>2.12M</v>
      </c>
      <c r="G1477" s="4" t="str">
        <v>2.32%</v>
      </c>
      <c r="H1477" s="3">
        <v>43193</v>
      </c>
      <c r="I1477" s="4">
        <v>389.25</v>
      </c>
      <c r="O1477" s="4">
        <v>62</v>
      </c>
    </row>
    <row r="1478" spans="1:15" x14ac:dyDescent="0.25">
      <c r="A1478" s="3">
        <v>43192</v>
      </c>
      <c r="B1478" s="4">
        <v>385.05</v>
      </c>
      <c r="C1478" s="4">
        <v>389.3</v>
      </c>
      <c r="D1478" s="4">
        <v>389.7</v>
      </c>
      <c r="E1478" s="4">
        <v>381.9</v>
      </c>
      <c r="F1478" s="4" t="str">
        <v>1.66M</v>
      </c>
      <c r="G1478" s="4" t="str">
        <v>1.91%</v>
      </c>
      <c r="H1478" s="3">
        <v>43192</v>
      </c>
      <c r="I1478" s="4">
        <v>385.79999999999995</v>
      </c>
      <c r="O1478" s="4">
        <v>61</v>
      </c>
    </row>
    <row r="1479" spans="1:15" x14ac:dyDescent="0.25">
      <c r="A1479" s="3">
        <v>43187</v>
      </c>
      <c r="B1479" s="4">
        <v>377.85</v>
      </c>
      <c r="C1479" s="4">
        <v>383</v>
      </c>
      <c r="D1479" s="4">
        <v>385.15</v>
      </c>
      <c r="E1479" s="4">
        <v>372.5</v>
      </c>
      <c r="F1479" s="4" t="str">
        <v>1.54M</v>
      </c>
      <c r="G1479" s="4" t="str">
        <v>-1.09%</v>
      </c>
      <c r="H1479" s="3">
        <v>43187</v>
      </c>
      <c r="I1479" s="4">
        <v>378.82499999999999</v>
      </c>
      <c r="O1479" s="4">
        <v>60</v>
      </c>
    </row>
    <row r="1480" spans="1:15" x14ac:dyDescent="0.25">
      <c r="A1480" s="3">
        <v>43186</v>
      </c>
      <c r="B1480" s="4">
        <v>382</v>
      </c>
      <c r="C1480" s="4">
        <v>390.95</v>
      </c>
      <c r="D1480" s="4">
        <v>390.95</v>
      </c>
      <c r="E1480" s="4">
        <v>380</v>
      </c>
      <c r="F1480" s="4" t="str">
        <v>952.91K</v>
      </c>
      <c r="G1480" s="4" t="str">
        <v>-1.32%</v>
      </c>
      <c r="H1480" s="3">
        <v>43186</v>
      </c>
      <c r="I1480" s="4">
        <v>385.47500000000002</v>
      </c>
      <c r="O1480" s="4">
        <v>59</v>
      </c>
    </row>
    <row r="1481" spans="1:15" x14ac:dyDescent="0.25">
      <c r="A1481" s="3">
        <v>43185</v>
      </c>
      <c r="B1481" s="4">
        <v>387.1</v>
      </c>
      <c r="C1481" s="4">
        <v>376.95</v>
      </c>
      <c r="D1481" s="4">
        <v>389.9</v>
      </c>
      <c r="E1481" s="4">
        <v>375.5</v>
      </c>
      <c r="F1481" s="4" t="str">
        <v>4.55M</v>
      </c>
      <c r="G1481" s="4" t="str">
        <v>4.52%</v>
      </c>
      <c r="H1481" s="3">
        <v>43185</v>
      </c>
      <c r="I1481" s="4">
        <v>382.7</v>
      </c>
      <c r="O1481" s="4">
        <v>58</v>
      </c>
    </row>
    <row r="1482" spans="1:15" x14ac:dyDescent="0.25">
      <c r="A1482" s="3">
        <v>43182</v>
      </c>
      <c r="B1482" s="4">
        <v>370.35</v>
      </c>
      <c r="C1482" s="4">
        <v>370</v>
      </c>
      <c r="D1482" s="4">
        <v>376.4</v>
      </c>
      <c r="E1482" s="4">
        <v>362</v>
      </c>
      <c r="F1482" s="4" t="str">
        <v>917.58K</v>
      </c>
      <c r="G1482" s="4" t="str">
        <v>-1.84%</v>
      </c>
      <c r="H1482" s="3">
        <v>43182</v>
      </c>
      <c r="I1482" s="4">
        <v>369.2</v>
      </c>
      <c r="O1482" s="4">
        <v>57</v>
      </c>
    </row>
    <row r="1483" spans="1:15" x14ac:dyDescent="0.25">
      <c r="A1483" s="3">
        <v>43181</v>
      </c>
      <c r="B1483" s="4">
        <v>377.3</v>
      </c>
      <c r="C1483" s="4">
        <v>379.85</v>
      </c>
      <c r="D1483" s="4">
        <v>383.65</v>
      </c>
      <c r="E1483" s="4">
        <v>375.75</v>
      </c>
      <c r="F1483" s="4" t="str">
        <v>432.04K</v>
      </c>
      <c r="G1483" s="4" t="str">
        <v>-0.65%</v>
      </c>
      <c r="H1483" s="3">
        <v>43181</v>
      </c>
      <c r="I1483" s="4">
        <v>379.7</v>
      </c>
      <c r="O1483" s="4">
        <v>56</v>
      </c>
    </row>
    <row r="1484" spans="1:15" x14ac:dyDescent="0.25">
      <c r="A1484" s="3">
        <v>43180</v>
      </c>
      <c r="B1484" s="4">
        <v>379.75</v>
      </c>
      <c r="C1484" s="4">
        <v>386</v>
      </c>
      <c r="D1484" s="4">
        <v>387.95</v>
      </c>
      <c r="E1484" s="4">
        <v>377.7</v>
      </c>
      <c r="F1484" s="4" t="str">
        <v>455.87K</v>
      </c>
      <c r="G1484" s="4" t="str">
        <v>-1.48%</v>
      </c>
      <c r="H1484" s="3">
        <v>43180</v>
      </c>
      <c r="I1484" s="4">
        <v>382.82499999999999</v>
      </c>
      <c r="O1484" s="4">
        <v>55</v>
      </c>
    </row>
    <row r="1485" spans="1:15" x14ac:dyDescent="0.25">
      <c r="A1485" s="3">
        <v>43179</v>
      </c>
      <c r="B1485" s="4">
        <v>385.45</v>
      </c>
      <c r="C1485" s="4">
        <v>376</v>
      </c>
      <c r="D1485" s="4">
        <v>388</v>
      </c>
      <c r="E1485" s="4">
        <v>373.45</v>
      </c>
      <c r="F1485" s="4" t="str">
        <v>554.87K</v>
      </c>
      <c r="G1485" s="4" t="str">
        <v>2.25%</v>
      </c>
      <c r="H1485" s="3">
        <v>43179</v>
      </c>
      <c r="I1485" s="4">
        <v>380.72500000000002</v>
      </c>
      <c r="O1485" s="4">
        <v>54</v>
      </c>
    </row>
    <row r="1486" spans="1:15" x14ac:dyDescent="0.25">
      <c r="A1486" s="3">
        <v>43178</v>
      </c>
      <c r="B1486" s="4">
        <v>376.95</v>
      </c>
      <c r="C1486" s="4">
        <v>384</v>
      </c>
      <c r="D1486" s="4">
        <v>385</v>
      </c>
      <c r="E1486" s="4">
        <v>373.5</v>
      </c>
      <c r="F1486" s="4" t="str">
        <v>617.45K</v>
      </c>
      <c r="G1486" s="4" t="str">
        <v>-0.57%</v>
      </c>
      <c r="H1486" s="3">
        <v>43178</v>
      </c>
      <c r="I1486" s="4">
        <v>379.25</v>
      </c>
      <c r="O1486" s="4">
        <v>53</v>
      </c>
    </row>
    <row r="1487" spans="1:15" x14ac:dyDescent="0.25">
      <c r="A1487" s="3">
        <v>43175</v>
      </c>
      <c r="B1487" s="4">
        <v>379.1</v>
      </c>
      <c r="C1487" s="4">
        <v>385</v>
      </c>
      <c r="D1487" s="4">
        <v>387.15</v>
      </c>
      <c r="E1487" s="4">
        <v>377.9</v>
      </c>
      <c r="F1487" s="4" t="str">
        <v>837.49K</v>
      </c>
      <c r="G1487" s="4" t="str">
        <v>-1.56%</v>
      </c>
      <c r="H1487" s="3">
        <v>43175</v>
      </c>
      <c r="I1487" s="4">
        <v>382.52499999999998</v>
      </c>
      <c r="O1487" s="4">
        <v>52</v>
      </c>
    </row>
    <row r="1488" spans="1:15" x14ac:dyDescent="0.25">
      <c r="A1488" s="3">
        <v>43174</v>
      </c>
      <c r="B1488" s="4">
        <v>385.1</v>
      </c>
      <c r="C1488" s="4">
        <v>389</v>
      </c>
      <c r="D1488" s="4">
        <v>392.8</v>
      </c>
      <c r="E1488" s="4">
        <v>382.75</v>
      </c>
      <c r="F1488" s="4" t="str">
        <v>512.23K</v>
      </c>
      <c r="G1488" s="4" t="str">
        <v>-0.93%</v>
      </c>
      <c r="H1488" s="3">
        <v>43174</v>
      </c>
      <c r="I1488" s="4">
        <v>387.77499999999998</v>
      </c>
      <c r="O1488" s="4">
        <v>51</v>
      </c>
    </row>
    <row r="1489" spans="1:15" x14ac:dyDescent="0.25">
      <c r="A1489" s="3">
        <v>43173</v>
      </c>
      <c r="B1489" s="4">
        <v>388.7</v>
      </c>
      <c r="C1489" s="4">
        <v>389.85</v>
      </c>
      <c r="D1489" s="4">
        <v>392.45</v>
      </c>
      <c r="E1489" s="4">
        <v>388</v>
      </c>
      <c r="F1489" s="4" t="str">
        <v>238.02K</v>
      </c>
      <c r="G1489" s="4" t="str">
        <v>-0.45%</v>
      </c>
      <c r="H1489" s="3">
        <v>43173</v>
      </c>
      <c r="I1489" s="4">
        <v>390.22500000000002</v>
      </c>
      <c r="O1489" s="4">
        <v>50</v>
      </c>
    </row>
    <row r="1490" spans="1:15" x14ac:dyDescent="0.25">
      <c r="A1490" s="3">
        <v>43172</v>
      </c>
      <c r="B1490" s="4">
        <v>390.45</v>
      </c>
      <c r="C1490" s="4">
        <v>388.8</v>
      </c>
      <c r="D1490" s="4">
        <v>396.7</v>
      </c>
      <c r="E1490" s="4">
        <v>384</v>
      </c>
      <c r="F1490" s="4" t="str">
        <v>899.15K</v>
      </c>
      <c r="G1490" s="4" t="str">
        <v>0.30%</v>
      </c>
      <c r="H1490" s="3">
        <v>43172</v>
      </c>
      <c r="I1490" s="4">
        <v>390.35</v>
      </c>
      <c r="O1490" s="4">
        <v>49</v>
      </c>
    </row>
    <row r="1491" spans="1:15" x14ac:dyDescent="0.25">
      <c r="A1491" s="3">
        <v>43171</v>
      </c>
      <c r="B1491" s="4">
        <v>389.3</v>
      </c>
      <c r="C1491" s="4">
        <v>389</v>
      </c>
      <c r="D1491" s="4">
        <v>392</v>
      </c>
      <c r="E1491" s="4">
        <v>378.9</v>
      </c>
      <c r="F1491" s="4" t="str">
        <v>574.31K</v>
      </c>
      <c r="G1491" s="4" t="str">
        <v>1.33%</v>
      </c>
      <c r="H1491" s="3">
        <v>43171</v>
      </c>
      <c r="I1491" s="4">
        <v>385.45</v>
      </c>
      <c r="O1491" s="4">
        <v>48</v>
      </c>
    </row>
    <row r="1492" spans="1:15" x14ac:dyDescent="0.25">
      <c r="A1492" s="3">
        <v>43168</v>
      </c>
      <c r="B1492" s="4">
        <v>384.2</v>
      </c>
      <c r="C1492" s="4">
        <v>392</v>
      </c>
      <c r="D1492" s="4">
        <v>394.9</v>
      </c>
      <c r="E1492" s="4">
        <v>383</v>
      </c>
      <c r="F1492" s="4" t="str">
        <v>451.89K</v>
      </c>
      <c r="G1492" s="4" t="str">
        <v>-1.21%</v>
      </c>
      <c r="H1492" s="3">
        <v>43168</v>
      </c>
      <c r="I1492" s="4">
        <v>388.95</v>
      </c>
      <c r="O1492" s="4">
        <v>47</v>
      </c>
    </row>
    <row r="1493" spans="1:15" x14ac:dyDescent="0.25">
      <c r="A1493" s="3">
        <v>43167</v>
      </c>
      <c r="B1493" s="4">
        <v>388.9</v>
      </c>
      <c r="C1493" s="4">
        <v>382.4</v>
      </c>
      <c r="D1493" s="4">
        <v>390.85</v>
      </c>
      <c r="E1493" s="4">
        <v>381</v>
      </c>
      <c r="F1493" s="4" t="str">
        <v>859.58K</v>
      </c>
      <c r="G1493" s="4" t="str">
        <v>1.99%</v>
      </c>
      <c r="H1493" s="3">
        <v>43167</v>
      </c>
      <c r="I1493" s="4">
        <v>385.92500000000001</v>
      </c>
      <c r="O1493" s="4">
        <v>46</v>
      </c>
    </row>
    <row r="1494" spans="1:15" x14ac:dyDescent="0.25">
      <c r="A1494" s="3">
        <v>43166</v>
      </c>
      <c r="B1494" s="4">
        <v>381.3</v>
      </c>
      <c r="C1494" s="4">
        <v>388</v>
      </c>
      <c r="D1494" s="4">
        <v>388.3</v>
      </c>
      <c r="E1494" s="4">
        <v>375.75</v>
      </c>
      <c r="F1494" s="4" t="str">
        <v>574.98K</v>
      </c>
      <c r="G1494" s="4" t="str">
        <v>-2.13%</v>
      </c>
      <c r="H1494" s="3">
        <v>43166</v>
      </c>
      <c r="I1494" s="4">
        <v>382.02499999999998</v>
      </c>
      <c r="O1494" s="4">
        <v>45</v>
      </c>
    </row>
    <row r="1495" spans="1:15" x14ac:dyDescent="0.25">
      <c r="A1495" s="3">
        <v>43165</v>
      </c>
      <c r="B1495" s="4">
        <v>389.6</v>
      </c>
      <c r="C1495" s="4">
        <v>393.8</v>
      </c>
      <c r="D1495" s="4">
        <v>396.9</v>
      </c>
      <c r="E1495" s="4">
        <v>386.15</v>
      </c>
      <c r="F1495" s="4" t="str">
        <v>681.76K</v>
      </c>
      <c r="G1495" s="4" t="str">
        <v>-0.59%</v>
      </c>
      <c r="H1495" s="3">
        <v>43165</v>
      </c>
      <c r="I1495" s="4">
        <v>391.52499999999998</v>
      </c>
      <c r="O1495" s="4">
        <v>44</v>
      </c>
    </row>
    <row r="1496" spans="1:15" x14ac:dyDescent="0.25">
      <c r="A1496" s="3">
        <v>43164</v>
      </c>
      <c r="B1496" s="4">
        <v>391.9</v>
      </c>
      <c r="C1496" s="4">
        <v>404.25</v>
      </c>
      <c r="D1496" s="4">
        <v>405</v>
      </c>
      <c r="E1496" s="4">
        <v>388.5</v>
      </c>
      <c r="F1496" s="4" t="str">
        <v>952.54K</v>
      </c>
      <c r="G1496" s="4" t="str">
        <v>-3.01%</v>
      </c>
      <c r="H1496" s="3">
        <v>43164</v>
      </c>
      <c r="I1496" s="4">
        <v>396.75</v>
      </c>
      <c r="O1496" s="4">
        <v>43</v>
      </c>
    </row>
    <row r="1497" spans="1:15" x14ac:dyDescent="0.25">
      <c r="A1497" s="3">
        <v>43160</v>
      </c>
      <c r="B1497" s="4">
        <v>404.05</v>
      </c>
      <c r="C1497" s="4">
        <v>405.1</v>
      </c>
      <c r="D1497" s="4">
        <v>409.5</v>
      </c>
      <c r="E1497" s="4">
        <v>403.45</v>
      </c>
      <c r="F1497" s="4" t="str">
        <v>577.58K</v>
      </c>
      <c r="G1497" s="4" t="str">
        <v>-0.26%</v>
      </c>
      <c r="H1497" s="3">
        <v>43160</v>
      </c>
      <c r="I1497" s="4">
        <v>406.47500000000002</v>
      </c>
      <c r="O1497" s="4">
        <v>42</v>
      </c>
    </row>
    <row r="1498" spans="1:15" x14ac:dyDescent="0.25">
      <c r="A1498" s="3">
        <v>43159</v>
      </c>
      <c r="B1498" s="4">
        <v>405.1</v>
      </c>
      <c r="C1498" s="4">
        <v>403.9</v>
      </c>
      <c r="D1498" s="4">
        <v>407.05</v>
      </c>
      <c r="E1498" s="4">
        <v>401.5</v>
      </c>
      <c r="F1498" s="4" t="str">
        <v>653.75K</v>
      </c>
      <c r="G1498" s="4" t="str">
        <v>-0.69%</v>
      </c>
      <c r="H1498" s="3">
        <v>43159</v>
      </c>
      <c r="I1498" s="4">
        <v>404.27499999999998</v>
      </c>
      <c r="O1498" s="4">
        <v>41</v>
      </c>
    </row>
    <row r="1499" spans="1:15" x14ac:dyDescent="0.25">
      <c r="A1499" s="3">
        <v>43158</v>
      </c>
      <c r="B1499" s="4">
        <v>407.9</v>
      </c>
      <c r="C1499" s="4">
        <v>409</v>
      </c>
      <c r="D1499" s="4">
        <v>410.75</v>
      </c>
      <c r="E1499" s="4">
        <v>404.75</v>
      </c>
      <c r="F1499" s="4" t="str">
        <v>466.32K</v>
      </c>
      <c r="G1499" s="4" t="str">
        <v>0.25%</v>
      </c>
      <c r="H1499" s="3">
        <v>43158</v>
      </c>
      <c r="I1499" s="4">
        <v>407.75</v>
      </c>
      <c r="O1499" s="4">
        <v>40</v>
      </c>
    </row>
    <row r="1500" spans="1:15" x14ac:dyDescent="0.25">
      <c r="A1500" s="3">
        <v>43157</v>
      </c>
      <c r="B1500" s="4">
        <v>406.9</v>
      </c>
      <c r="C1500" s="4">
        <v>408.85</v>
      </c>
      <c r="D1500" s="4">
        <v>410.8</v>
      </c>
      <c r="E1500" s="4">
        <v>405.35</v>
      </c>
      <c r="F1500" s="4" t="str">
        <v>1.23M</v>
      </c>
      <c r="G1500" s="4" t="str">
        <v>0.09%</v>
      </c>
      <c r="H1500" s="3">
        <v>43157</v>
      </c>
      <c r="I1500" s="4">
        <v>408.07500000000005</v>
      </c>
      <c r="O1500" s="4">
        <v>39</v>
      </c>
    </row>
    <row r="1501" spans="1:15" x14ac:dyDescent="0.25">
      <c r="A1501" s="3">
        <v>43154</v>
      </c>
      <c r="B1501" s="4">
        <v>406.55</v>
      </c>
      <c r="C1501" s="4">
        <v>400.95</v>
      </c>
      <c r="D1501" s="4">
        <v>408.95</v>
      </c>
      <c r="E1501" s="4">
        <v>399.9</v>
      </c>
      <c r="F1501" s="4" t="str">
        <v>618.50K</v>
      </c>
      <c r="G1501" s="4" t="str">
        <v>1.47%</v>
      </c>
      <c r="H1501" s="3">
        <v>43154</v>
      </c>
      <c r="I1501" s="4">
        <v>404.42499999999995</v>
      </c>
      <c r="O1501" s="4">
        <v>38</v>
      </c>
    </row>
    <row r="1502" spans="1:15" x14ac:dyDescent="0.25">
      <c r="A1502" s="3">
        <v>43153</v>
      </c>
      <c r="B1502" s="4">
        <v>400.65</v>
      </c>
      <c r="C1502" s="4">
        <v>410</v>
      </c>
      <c r="D1502" s="4">
        <v>410</v>
      </c>
      <c r="E1502" s="4">
        <v>399.1</v>
      </c>
      <c r="F1502" s="4" t="str">
        <v>4.17M</v>
      </c>
      <c r="G1502" s="4" t="str">
        <v>-2.55%</v>
      </c>
      <c r="H1502" s="3">
        <v>43153</v>
      </c>
      <c r="I1502" s="4">
        <v>404.55</v>
      </c>
      <c r="O1502" s="4">
        <v>37</v>
      </c>
    </row>
    <row r="1503" spans="1:15" x14ac:dyDescent="0.25">
      <c r="A1503" s="3">
        <v>43152</v>
      </c>
      <c r="B1503" s="4">
        <v>411.15</v>
      </c>
      <c r="C1503" s="4">
        <v>411</v>
      </c>
      <c r="D1503" s="4">
        <v>413.4</v>
      </c>
      <c r="E1503" s="4">
        <v>404.3</v>
      </c>
      <c r="F1503" s="4" t="str">
        <v>812.01K</v>
      </c>
      <c r="G1503" s="4" t="str">
        <v>0.51%</v>
      </c>
      <c r="H1503" s="3">
        <v>43152</v>
      </c>
      <c r="I1503" s="4">
        <v>408.85</v>
      </c>
      <c r="O1503" s="4">
        <v>36</v>
      </c>
    </row>
    <row r="1504" spans="1:15" x14ac:dyDescent="0.25">
      <c r="A1504" s="3">
        <v>43151</v>
      </c>
      <c r="B1504" s="4">
        <v>409.05</v>
      </c>
      <c r="C1504" s="4">
        <v>409</v>
      </c>
      <c r="D1504" s="4">
        <v>413.75</v>
      </c>
      <c r="E1504" s="4">
        <v>405.95</v>
      </c>
      <c r="F1504" s="4" t="str">
        <v>640.76K</v>
      </c>
      <c r="G1504" s="4" t="str">
        <v>0.02%</v>
      </c>
      <c r="H1504" s="3">
        <v>43151</v>
      </c>
      <c r="I1504" s="4">
        <v>409.85</v>
      </c>
      <c r="O1504" s="4">
        <v>35</v>
      </c>
    </row>
    <row r="1505" spans="1:15" x14ac:dyDescent="0.25">
      <c r="A1505" s="3">
        <v>43150</v>
      </c>
      <c r="B1505" s="4">
        <v>408.95</v>
      </c>
      <c r="C1505" s="4">
        <v>415</v>
      </c>
      <c r="D1505" s="4">
        <v>415.9</v>
      </c>
      <c r="E1505" s="4">
        <v>405.4</v>
      </c>
      <c r="F1505" s="4" t="str">
        <v>465.83K</v>
      </c>
      <c r="G1505" s="4" t="str">
        <v>-1.29%</v>
      </c>
      <c r="H1505" s="3">
        <v>43150</v>
      </c>
      <c r="I1505" s="4">
        <v>410.65</v>
      </c>
      <c r="O1505" s="4">
        <v>34</v>
      </c>
    </row>
    <row r="1506" spans="1:15" x14ac:dyDescent="0.25">
      <c r="A1506" s="3">
        <v>43147</v>
      </c>
      <c r="B1506" s="4">
        <v>414.3</v>
      </c>
      <c r="C1506" s="4">
        <v>419</v>
      </c>
      <c r="D1506" s="4">
        <v>422.7</v>
      </c>
      <c r="E1506" s="4">
        <v>413.05</v>
      </c>
      <c r="F1506" s="4" t="str">
        <v>513.77K</v>
      </c>
      <c r="G1506" s="4" t="str">
        <v>-0.67%</v>
      </c>
      <c r="H1506" s="3">
        <v>43147</v>
      </c>
      <c r="I1506" s="4">
        <v>417.875</v>
      </c>
      <c r="O1506" s="4">
        <v>33</v>
      </c>
    </row>
    <row r="1507" spans="1:15" x14ac:dyDescent="0.25">
      <c r="A1507" s="3">
        <v>43146</v>
      </c>
      <c r="B1507" s="4">
        <v>417.1</v>
      </c>
      <c r="C1507" s="4">
        <v>419.9</v>
      </c>
      <c r="D1507" s="4">
        <v>422.1</v>
      </c>
      <c r="E1507" s="4">
        <v>414.4</v>
      </c>
      <c r="F1507" s="4" t="str">
        <v>630.17K</v>
      </c>
      <c r="G1507" s="4" t="str">
        <v>-0.60%</v>
      </c>
      <c r="H1507" s="3">
        <v>43146</v>
      </c>
      <c r="I1507" s="4">
        <v>418.25</v>
      </c>
      <c r="O1507" s="4">
        <v>32</v>
      </c>
    </row>
    <row r="1508" spans="1:15" x14ac:dyDescent="0.25">
      <c r="A1508" s="3">
        <v>43145</v>
      </c>
      <c r="B1508" s="4">
        <v>419.6</v>
      </c>
      <c r="C1508" s="4">
        <v>423.5</v>
      </c>
      <c r="D1508" s="4">
        <v>426</v>
      </c>
      <c r="E1508" s="4">
        <v>418</v>
      </c>
      <c r="F1508" s="4" t="str">
        <v>897.28K</v>
      </c>
      <c r="G1508" s="4" t="str">
        <v>-0.96%</v>
      </c>
      <c r="H1508" s="3">
        <v>43145</v>
      </c>
      <c r="I1508" s="4">
        <v>422</v>
      </c>
      <c r="O1508" s="4">
        <v>31</v>
      </c>
    </row>
    <row r="1509" spans="1:15" x14ac:dyDescent="0.25">
      <c r="A1509" s="3">
        <v>43143</v>
      </c>
      <c r="B1509" s="4">
        <v>423.65</v>
      </c>
      <c r="C1509" s="4">
        <v>427.3</v>
      </c>
      <c r="D1509" s="4">
        <v>434.05</v>
      </c>
      <c r="E1509" s="4">
        <v>419.5</v>
      </c>
      <c r="F1509" s="4" t="str">
        <v>2.34M</v>
      </c>
      <c r="G1509" s="4" t="str">
        <v>2.89%</v>
      </c>
      <c r="H1509" s="3">
        <v>43143</v>
      </c>
      <c r="I1509" s="4">
        <v>426.77499999999998</v>
      </c>
      <c r="O1509" s="4">
        <v>30</v>
      </c>
    </row>
    <row r="1510" spans="1:15" x14ac:dyDescent="0.25">
      <c r="A1510" s="3">
        <v>43140</v>
      </c>
      <c r="B1510" s="4">
        <v>411.75</v>
      </c>
      <c r="C1510" s="4">
        <v>396.5</v>
      </c>
      <c r="D1510" s="4">
        <v>423</v>
      </c>
      <c r="E1510" s="4">
        <v>390.1</v>
      </c>
      <c r="F1510" s="4" t="str">
        <v>1.65M</v>
      </c>
      <c r="G1510" s="4" t="str">
        <v>1.62%</v>
      </c>
      <c r="H1510" s="3">
        <v>43140</v>
      </c>
      <c r="I1510" s="4">
        <v>406.55</v>
      </c>
      <c r="O1510" s="4">
        <v>29</v>
      </c>
    </row>
    <row r="1511" spans="1:15" x14ac:dyDescent="0.25">
      <c r="A1511" s="3">
        <v>43139</v>
      </c>
      <c r="B1511" s="4">
        <v>405.2</v>
      </c>
      <c r="C1511" s="4">
        <v>399.85</v>
      </c>
      <c r="D1511" s="4">
        <v>418</v>
      </c>
      <c r="E1511" s="4">
        <v>398.55</v>
      </c>
      <c r="F1511" s="4" t="str">
        <v>3.11M</v>
      </c>
      <c r="G1511" s="4" t="str">
        <v>2.23%</v>
      </c>
      <c r="H1511" s="3">
        <v>43139</v>
      </c>
      <c r="I1511" s="4">
        <v>408.27499999999998</v>
      </c>
      <c r="O1511" s="4">
        <v>28</v>
      </c>
    </row>
    <row r="1512" spans="1:15" x14ac:dyDescent="0.25">
      <c r="A1512" s="3">
        <v>43138</v>
      </c>
      <c r="B1512" s="4">
        <v>396.35</v>
      </c>
      <c r="C1512" s="4">
        <v>406</v>
      </c>
      <c r="D1512" s="4">
        <v>408</v>
      </c>
      <c r="E1512" s="4">
        <v>390.85</v>
      </c>
      <c r="F1512" s="4" t="str">
        <v>1.13M</v>
      </c>
      <c r="G1512" s="4" t="str">
        <v>-2.01%</v>
      </c>
      <c r="H1512" s="3">
        <v>43138</v>
      </c>
      <c r="I1512" s="4">
        <v>399.42500000000001</v>
      </c>
      <c r="O1512" s="4">
        <v>27</v>
      </c>
    </row>
    <row r="1513" spans="1:15" x14ac:dyDescent="0.25">
      <c r="A1513" s="3">
        <v>43137</v>
      </c>
      <c r="B1513" s="4">
        <v>404.5</v>
      </c>
      <c r="C1513" s="4">
        <v>400.1</v>
      </c>
      <c r="D1513" s="4">
        <v>411.2</v>
      </c>
      <c r="E1513" s="4">
        <v>378.55</v>
      </c>
      <c r="F1513" s="4" t="str">
        <v>1.40M</v>
      </c>
      <c r="G1513" s="4" t="str">
        <v>-0.89%</v>
      </c>
      <c r="H1513" s="3">
        <v>43137</v>
      </c>
      <c r="I1513" s="4">
        <v>394.875</v>
      </c>
      <c r="O1513" s="4">
        <v>26</v>
      </c>
    </row>
    <row r="1514" spans="1:15" x14ac:dyDescent="0.25">
      <c r="A1514" s="3">
        <v>43136</v>
      </c>
      <c r="B1514" s="4">
        <v>408.15</v>
      </c>
      <c r="C1514" s="4">
        <v>404.5</v>
      </c>
      <c r="D1514" s="4">
        <v>410.65</v>
      </c>
      <c r="E1514" s="4">
        <v>399.15</v>
      </c>
      <c r="F1514" s="4" t="str">
        <v>474.54K</v>
      </c>
      <c r="G1514" s="4" t="str">
        <v>-0.66%</v>
      </c>
      <c r="H1514" s="3">
        <v>43136</v>
      </c>
      <c r="I1514" s="4">
        <v>404.9</v>
      </c>
      <c r="O1514" s="4">
        <v>25</v>
      </c>
    </row>
    <row r="1515" spans="1:15" x14ac:dyDescent="0.25">
      <c r="A1515" s="3">
        <v>43133</v>
      </c>
      <c r="B1515" s="4">
        <v>410.85</v>
      </c>
      <c r="C1515" s="4">
        <v>412</v>
      </c>
      <c r="D1515" s="4">
        <v>423.35</v>
      </c>
      <c r="E1515" s="4">
        <v>407.45</v>
      </c>
      <c r="F1515" s="4" t="str">
        <v>751.62K</v>
      </c>
      <c r="G1515" s="4" t="str">
        <v>-1.63%</v>
      </c>
      <c r="H1515" s="3">
        <v>43133</v>
      </c>
      <c r="I1515" s="4">
        <v>415.4</v>
      </c>
      <c r="O1515" s="4">
        <v>24</v>
      </c>
    </row>
    <row r="1516" spans="1:15" x14ac:dyDescent="0.25">
      <c r="A1516" s="3">
        <v>43132</v>
      </c>
      <c r="B1516" s="4">
        <v>417.65</v>
      </c>
      <c r="C1516" s="4">
        <v>428.55</v>
      </c>
      <c r="D1516" s="4">
        <v>428.55</v>
      </c>
      <c r="E1516" s="4">
        <v>415</v>
      </c>
      <c r="F1516" s="4" t="str">
        <v>1.32M</v>
      </c>
      <c r="G1516" s="4" t="str">
        <v>-1.91%</v>
      </c>
      <c r="H1516" s="3">
        <v>43132</v>
      </c>
      <c r="I1516" s="4">
        <v>421.77499999999998</v>
      </c>
      <c r="O1516" s="4">
        <v>23</v>
      </c>
    </row>
    <row r="1517" spans="1:15" x14ac:dyDescent="0.25">
      <c r="A1517" s="3">
        <v>43131</v>
      </c>
      <c r="B1517" s="4">
        <v>425.8</v>
      </c>
      <c r="C1517" s="4">
        <v>425.35</v>
      </c>
      <c r="D1517" s="4">
        <v>430.4</v>
      </c>
      <c r="E1517" s="4">
        <v>420.3</v>
      </c>
      <c r="F1517" s="4" t="str">
        <v>1.24M</v>
      </c>
      <c r="G1517" s="4" t="str">
        <v>0.12%</v>
      </c>
      <c r="H1517" s="3">
        <v>43131</v>
      </c>
      <c r="I1517" s="4">
        <v>425.35</v>
      </c>
      <c r="O1517" s="4">
        <v>22</v>
      </c>
    </row>
    <row r="1518" spans="1:15" x14ac:dyDescent="0.25">
      <c r="A1518" s="3">
        <v>43130</v>
      </c>
      <c r="B1518" s="4">
        <v>425.3</v>
      </c>
      <c r="C1518" s="4">
        <v>418</v>
      </c>
      <c r="D1518" s="4">
        <v>427.5</v>
      </c>
      <c r="E1518" s="4">
        <v>414.05</v>
      </c>
      <c r="F1518" s="4" t="str">
        <v>810.71K</v>
      </c>
      <c r="G1518" s="4" t="str">
        <v>1.31%</v>
      </c>
      <c r="H1518" s="3">
        <v>43130</v>
      </c>
      <c r="I1518" s="4">
        <v>420.77499999999998</v>
      </c>
      <c r="O1518" s="4">
        <v>21</v>
      </c>
    </row>
    <row r="1519" spans="1:15" x14ac:dyDescent="0.25">
      <c r="A1519" s="3">
        <v>43129</v>
      </c>
      <c r="B1519" s="4">
        <v>419.8</v>
      </c>
      <c r="C1519" s="4">
        <v>419.8</v>
      </c>
      <c r="D1519" s="4">
        <v>427.5</v>
      </c>
      <c r="E1519" s="4">
        <v>418</v>
      </c>
      <c r="F1519" s="4" t="str">
        <v>455.89K</v>
      </c>
      <c r="G1519" s="4" t="str">
        <v>0.39%</v>
      </c>
      <c r="H1519" s="3">
        <v>43129</v>
      </c>
      <c r="I1519" s="4">
        <v>422.75</v>
      </c>
      <c r="O1519" s="4">
        <v>20</v>
      </c>
    </row>
    <row r="1520" spans="1:15" x14ac:dyDescent="0.25">
      <c r="A1520" s="3">
        <v>43125</v>
      </c>
      <c r="B1520" s="4">
        <v>418.15</v>
      </c>
      <c r="C1520" s="4">
        <v>426.95</v>
      </c>
      <c r="D1520" s="4">
        <v>429.6</v>
      </c>
      <c r="E1520" s="4">
        <v>415.55</v>
      </c>
      <c r="F1520" s="4" t="str">
        <v>643.67K</v>
      </c>
      <c r="G1520" s="4" t="str">
        <v>-1.55%</v>
      </c>
      <c r="H1520" s="3">
        <v>43125</v>
      </c>
      <c r="I1520" s="4">
        <v>422.57500000000005</v>
      </c>
      <c r="O1520" s="4">
        <v>19</v>
      </c>
    </row>
    <row r="1521" spans="1:15" x14ac:dyDescent="0.25">
      <c r="A1521" s="3">
        <v>43124</v>
      </c>
      <c r="B1521" s="4">
        <v>424.75</v>
      </c>
      <c r="C1521" s="4">
        <v>430.95</v>
      </c>
      <c r="D1521" s="4">
        <v>434.5</v>
      </c>
      <c r="E1521" s="4">
        <v>421.5</v>
      </c>
      <c r="F1521" s="4" t="str">
        <v>1.21M</v>
      </c>
      <c r="G1521" s="4" t="str">
        <v>-1.44%</v>
      </c>
      <c r="H1521" s="3">
        <v>43124</v>
      </c>
      <c r="I1521" s="4">
        <v>428</v>
      </c>
      <c r="O1521" s="4">
        <v>18</v>
      </c>
    </row>
    <row r="1522" spans="1:15" x14ac:dyDescent="0.25">
      <c r="A1522" s="3">
        <v>43123</v>
      </c>
      <c r="B1522" s="4">
        <v>430.95</v>
      </c>
      <c r="C1522" s="4">
        <v>439.95</v>
      </c>
      <c r="D1522" s="4">
        <v>442</v>
      </c>
      <c r="E1522" s="4">
        <v>426.1</v>
      </c>
      <c r="F1522" s="4" t="str">
        <v>1.01M</v>
      </c>
      <c r="G1522" s="4" t="str">
        <v>-1.78%</v>
      </c>
      <c r="H1522" s="3">
        <v>43123</v>
      </c>
      <c r="I1522" s="4">
        <v>434.05</v>
      </c>
      <c r="O1522" s="4">
        <v>17</v>
      </c>
    </row>
    <row r="1523" spans="1:15" x14ac:dyDescent="0.25">
      <c r="A1523" s="3">
        <v>43122</v>
      </c>
      <c r="B1523" s="4">
        <v>438.75</v>
      </c>
      <c r="C1523" s="4">
        <v>441.25</v>
      </c>
      <c r="D1523" s="4">
        <v>445</v>
      </c>
      <c r="E1523" s="4">
        <v>435.3</v>
      </c>
      <c r="F1523" s="4" t="str">
        <v>491.15K</v>
      </c>
      <c r="G1523" s="4" t="str">
        <v>-0.63%</v>
      </c>
      <c r="H1523" s="3">
        <v>43122</v>
      </c>
      <c r="I1523" s="4">
        <v>440.15</v>
      </c>
      <c r="O1523" s="4">
        <v>16</v>
      </c>
    </row>
    <row r="1524" spans="1:15" x14ac:dyDescent="0.25">
      <c r="A1524" s="3">
        <v>43119</v>
      </c>
      <c r="B1524" s="4">
        <v>441.55</v>
      </c>
      <c r="C1524" s="4">
        <v>437.75</v>
      </c>
      <c r="D1524" s="4">
        <v>451</v>
      </c>
      <c r="E1524" s="4">
        <v>433.15</v>
      </c>
      <c r="F1524" s="4" t="str">
        <v>1.33M</v>
      </c>
      <c r="G1524" s="4" t="str">
        <v>0.90%</v>
      </c>
      <c r="H1524" s="3">
        <v>43119</v>
      </c>
      <c r="I1524" s="4">
        <v>442.07499999999999</v>
      </c>
      <c r="O1524" s="4">
        <v>15</v>
      </c>
    </row>
    <row r="1525" spans="1:15" x14ac:dyDescent="0.25">
      <c r="A1525" s="3">
        <v>43118</v>
      </c>
      <c r="B1525" s="4">
        <v>437.6</v>
      </c>
      <c r="C1525" s="4">
        <v>441.95</v>
      </c>
      <c r="D1525" s="4">
        <v>446</v>
      </c>
      <c r="E1525" s="4">
        <v>432.7</v>
      </c>
      <c r="F1525" s="4" t="str">
        <v>335.85K</v>
      </c>
      <c r="G1525" s="4" t="str">
        <v>-0.60%</v>
      </c>
      <c r="H1525" s="3">
        <v>43118</v>
      </c>
      <c r="I1525" s="4">
        <v>439.35</v>
      </c>
      <c r="O1525" s="4">
        <v>14</v>
      </c>
    </row>
    <row r="1526" spans="1:15" x14ac:dyDescent="0.25">
      <c r="A1526" s="3">
        <v>43117</v>
      </c>
      <c r="B1526" s="4">
        <v>440.25</v>
      </c>
      <c r="C1526" s="4">
        <v>436.3</v>
      </c>
      <c r="D1526" s="4">
        <v>442.9</v>
      </c>
      <c r="E1526" s="4">
        <v>425.6</v>
      </c>
      <c r="F1526" s="4" t="str">
        <v>552.31K</v>
      </c>
      <c r="G1526" s="4" t="str">
        <v>0.95%</v>
      </c>
      <c r="H1526" s="3">
        <v>43117</v>
      </c>
      <c r="I1526" s="4">
        <v>434.25</v>
      </c>
      <c r="O1526" s="4">
        <v>13</v>
      </c>
    </row>
    <row r="1527" spans="1:15" x14ac:dyDescent="0.25">
      <c r="A1527" s="3">
        <v>43116</v>
      </c>
      <c r="B1527" s="4">
        <v>436.1</v>
      </c>
      <c r="C1527" s="4">
        <v>442.85</v>
      </c>
      <c r="D1527" s="4">
        <v>443</v>
      </c>
      <c r="E1527" s="4">
        <v>435</v>
      </c>
      <c r="F1527" s="4" t="str">
        <v>347.54K</v>
      </c>
      <c r="G1527" s="4" t="str">
        <v>-0.93%</v>
      </c>
      <c r="H1527" s="3">
        <v>43116</v>
      </c>
      <c r="I1527" s="4">
        <v>439</v>
      </c>
      <c r="O1527" s="4">
        <v>12</v>
      </c>
    </row>
    <row r="1528" spans="1:15" x14ac:dyDescent="0.25">
      <c r="A1528" s="3">
        <v>43115</v>
      </c>
      <c r="B1528" s="4">
        <v>440.2</v>
      </c>
      <c r="C1528" s="4">
        <v>450.25</v>
      </c>
      <c r="D1528" s="4">
        <v>451.3</v>
      </c>
      <c r="E1528" s="4">
        <v>439.4</v>
      </c>
      <c r="F1528" s="4" t="str">
        <v>499.75K</v>
      </c>
      <c r="G1528" s="4" t="str">
        <v>-1.86%</v>
      </c>
      <c r="H1528" s="3">
        <v>43115</v>
      </c>
      <c r="I1528" s="4">
        <v>445.35</v>
      </c>
      <c r="O1528" s="4">
        <v>11</v>
      </c>
    </row>
    <row r="1529" spans="1:15" x14ac:dyDescent="0.25">
      <c r="A1529" s="3">
        <v>43112</v>
      </c>
      <c r="B1529" s="4">
        <v>448.55</v>
      </c>
      <c r="C1529" s="4">
        <v>445.8</v>
      </c>
      <c r="D1529" s="4">
        <v>450</v>
      </c>
      <c r="E1529" s="4">
        <v>441.6</v>
      </c>
      <c r="F1529" s="4" t="str">
        <v>529.95K</v>
      </c>
      <c r="G1529" s="4" t="str">
        <v>0.82%</v>
      </c>
      <c r="H1529" s="3">
        <v>43112</v>
      </c>
      <c r="I1529" s="4">
        <v>445.8</v>
      </c>
      <c r="O1529" s="4">
        <v>10</v>
      </c>
    </row>
    <row r="1530" spans="1:15" x14ac:dyDescent="0.25">
      <c r="A1530" s="3">
        <v>43111</v>
      </c>
      <c r="B1530" s="4">
        <v>444.9</v>
      </c>
      <c r="C1530" s="4">
        <v>443.75</v>
      </c>
      <c r="D1530" s="4">
        <v>450</v>
      </c>
      <c r="E1530" s="4">
        <v>441</v>
      </c>
      <c r="F1530" s="4" t="str">
        <v>622.73K</v>
      </c>
      <c r="G1530" s="4" t="str">
        <v>0.27%</v>
      </c>
      <c r="H1530" s="3">
        <v>43111</v>
      </c>
      <c r="I1530" s="4">
        <v>445.5</v>
      </c>
      <c r="O1530" s="4">
        <v>9</v>
      </c>
    </row>
    <row r="1531" spans="1:15" x14ac:dyDescent="0.25">
      <c r="A1531" s="3">
        <v>43110</v>
      </c>
      <c r="B1531" s="4">
        <v>443.7</v>
      </c>
      <c r="C1531" s="4">
        <v>444.3</v>
      </c>
      <c r="D1531" s="4">
        <v>452.3</v>
      </c>
      <c r="E1531" s="4">
        <v>439.35</v>
      </c>
      <c r="F1531" s="4" t="str">
        <v>919.32K</v>
      </c>
      <c r="G1531" s="4" t="str">
        <v>-0.12%</v>
      </c>
      <c r="H1531" s="3">
        <v>43110</v>
      </c>
      <c r="I1531" s="4">
        <v>445.82500000000005</v>
      </c>
      <c r="O1531" s="4">
        <v>8</v>
      </c>
    </row>
    <row r="1532" spans="1:15" x14ac:dyDescent="0.25">
      <c r="A1532" s="3">
        <v>43109</v>
      </c>
      <c r="B1532" s="4">
        <v>444.25</v>
      </c>
      <c r="C1532" s="4">
        <v>454</v>
      </c>
      <c r="D1532" s="4">
        <v>454</v>
      </c>
      <c r="E1532" s="4">
        <v>443.05</v>
      </c>
      <c r="F1532" s="4" t="str">
        <v>376.65K</v>
      </c>
      <c r="G1532" s="4" t="str">
        <v>-1.71%</v>
      </c>
      <c r="H1532" s="3">
        <v>43109</v>
      </c>
      <c r="I1532" s="4">
        <v>448.52499999999998</v>
      </c>
      <c r="O1532" s="4">
        <v>7</v>
      </c>
    </row>
    <row r="1533" spans="1:15" x14ac:dyDescent="0.25">
      <c r="A1533" s="3">
        <v>43108</v>
      </c>
      <c r="B1533" s="4">
        <v>452</v>
      </c>
      <c r="C1533" s="4">
        <v>444</v>
      </c>
      <c r="D1533" s="4">
        <v>456.75</v>
      </c>
      <c r="E1533" s="4">
        <v>440.25</v>
      </c>
      <c r="F1533" s="4" t="str">
        <v>1.67M</v>
      </c>
      <c r="G1533" s="4" t="str">
        <v>2.68%</v>
      </c>
      <c r="H1533" s="3">
        <v>43108</v>
      </c>
      <c r="I1533" s="4">
        <v>448.5</v>
      </c>
      <c r="O1533" s="4">
        <v>6</v>
      </c>
    </row>
    <row r="1534" spans="1:15" x14ac:dyDescent="0.25">
      <c r="A1534" s="3">
        <v>43105</v>
      </c>
      <c r="B1534" s="4">
        <v>440.2</v>
      </c>
      <c r="C1534" s="4">
        <v>433</v>
      </c>
      <c r="D1534" s="4">
        <v>442.55</v>
      </c>
      <c r="E1534" s="4">
        <v>432.45</v>
      </c>
      <c r="F1534" s="4" t="str">
        <v>1.38M</v>
      </c>
      <c r="G1534" s="4" t="str">
        <v>2.02%</v>
      </c>
      <c r="H1534" s="3">
        <v>43105</v>
      </c>
      <c r="I1534" s="4">
        <v>437.5</v>
      </c>
      <c r="O1534" s="4">
        <v>5</v>
      </c>
    </row>
    <row r="1535" spans="1:15" x14ac:dyDescent="0.25">
      <c r="A1535" s="3">
        <v>43104</v>
      </c>
      <c r="B1535" s="4">
        <v>431.5</v>
      </c>
      <c r="C1535" s="4">
        <v>429.1</v>
      </c>
      <c r="D1535" s="4">
        <v>433</v>
      </c>
      <c r="E1535" s="4">
        <v>428.6</v>
      </c>
      <c r="F1535" s="4" t="str">
        <v>523.37K</v>
      </c>
      <c r="G1535" s="4" t="str">
        <v>0.70%</v>
      </c>
      <c r="H1535" s="3">
        <v>43104</v>
      </c>
      <c r="I1535" s="4">
        <v>430.8</v>
      </c>
      <c r="O1535" s="4">
        <v>4</v>
      </c>
    </row>
    <row r="1536" spans="1:15" x14ac:dyDescent="0.25">
      <c r="A1536" s="3">
        <v>43103</v>
      </c>
      <c r="B1536" s="4">
        <v>428.5</v>
      </c>
      <c r="C1536" s="4">
        <v>429.95</v>
      </c>
      <c r="D1536" s="4">
        <v>431.45</v>
      </c>
      <c r="E1536" s="4">
        <v>426.4</v>
      </c>
      <c r="F1536" s="4" t="str">
        <v>472.67K</v>
      </c>
      <c r="G1536" s="4" t="str">
        <v>0.05%</v>
      </c>
      <c r="H1536" s="3">
        <v>43103</v>
      </c>
      <c r="I1536" s="4">
        <v>428.92499999999995</v>
      </c>
      <c r="O1536" s="4">
        <v>3</v>
      </c>
    </row>
    <row r="1537" spans="1:15" x14ac:dyDescent="0.25">
      <c r="A1537" s="3">
        <v>43102</v>
      </c>
      <c r="B1537" s="4">
        <v>428.3</v>
      </c>
      <c r="C1537" s="4">
        <v>434</v>
      </c>
      <c r="D1537" s="4">
        <v>436</v>
      </c>
      <c r="E1537" s="4">
        <v>427</v>
      </c>
      <c r="F1537" s="4" t="str">
        <v>348.08K</v>
      </c>
      <c r="G1537" s="4" t="str">
        <v>-0.98%</v>
      </c>
      <c r="H1537" s="3">
        <v>43102</v>
      </c>
      <c r="I1537" s="4">
        <v>431.5</v>
      </c>
      <c r="O1537" s="4">
        <v>2</v>
      </c>
    </row>
    <row r="1538" spans="1:15" x14ac:dyDescent="0.25">
      <c r="A1538" s="3">
        <v>43101</v>
      </c>
      <c r="B1538" s="4">
        <v>432.55</v>
      </c>
      <c r="C1538" s="4">
        <v>438.45</v>
      </c>
      <c r="D1538" s="4">
        <v>438.9</v>
      </c>
      <c r="E1538" s="4">
        <v>430.35</v>
      </c>
      <c r="F1538" s="4" t="str">
        <v>803.34K</v>
      </c>
      <c r="G1538" s="4" t="str">
        <v>-0.22%</v>
      </c>
      <c r="H1538" s="3">
        <v>43101</v>
      </c>
      <c r="I1538" s="4">
        <v>434.625</v>
      </c>
      <c r="O1538" s="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86110-DB06-43BC-BEE1-95C4E0B6F55F}">
  <sheetPr codeName="Sheet2"/>
  <dimension ref="A1:N1533"/>
  <sheetViews>
    <sheetView workbookViewId="0"/>
  </sheetViews>
  <sheetFormatPr defaultRowHeight="15" x14ac:dyDescent="0.25"/>
  <cols>
    <col min="1" max="1" width="10.42578125" bestFit="1" customWidth="1"/>
  </cols>
  <sheetData>
    <row r="1" spans="1:14" x14ac:dyDescent="0.25">
      <c r="A1" t="str" cm="1">
        <f t="array" ref="A1:H1533">get_stock_data_yf("ZYDUSLIFE.NS","01/01/2018","15/03/2024")</f>
        <v>Date</v>
      </c>
      <c r="B1" t="str">
        <v>Open</v>
      </c>
      <c r="C1" t="str">
        <v>High</v>
      </c>
      <c r="D1" t="str">
        <v>Low</v>
      </c>
      <c r="E1" t="str">
        <v>Close</v>
      </c>
      <c r="F1" t="str">
        <v>Volume</v>
      </c>
      <c r="G1" t="str">
        <v>Dividends</v>
      </c>
      <c r="H1" t="str">
        <v>Stock Splits</v>
      </c>
      <c r="J1" t="s">
        <v>0</v>
      </c>
      <c r="K1" t="s">
        <v>1</v>
      </c>
      <c r="L1" t="s">
        <v>2</v>
      </c>
    </row>
    <row r="2" spans="1:14" x14ac:dyDescent="0.25">
      <c r="A2" s="1">
        <v>43101</v>
      </c>
      <c r="B2">
        <v>413.26414295809866</v>
      </c>
      <c r="C2">
        <v>413.68827636455615</v>
      </c>
      <c r="D2">
        <v>405.62942523172734</v>
      </c>
      <c r="E2">
        <v>407.70303344726563</v>
      </c>
      <c r="F2">
        <v>803342</v>
      </c>
      <c r="G2">
        <v>0</v>
      </c>
      <c r="H2">
        <v>0</v>
      </c>
      <c r="J2">
        <f>_xlfn.STDEV.S(E2:E1532)</f>
        <v>136.23944159546554</v>
      </c>
      <c r="K2">
        <f>AVERAGE(E2:E1532)</f>
        <v>417.80631185839331</v>
      </c>
      <c r="L2" s="2">
        <f>J2/K2</f>
        <v>0.32608277502911692</v>
      </c>
      <c r="N2" cm="1">
        <f t="array" ref="N2:N1533">_xlfn.XLOOKUP(A2:A1533,'Cadila healthcare investing.com'!A:A,'Cadila healthcare investing.com'!B:B,0,0)</f>
        <v>432.55</v>
      </c>
    </row>
    <row r="3" spans="1:14" x14ac:dyDescent="0.25">
      <c r="A3" s="1">
        <v>43102</v>
      </c>
      <c r="B3">
        <v>409.06972985351706</v>
      </c>
      <c r="C3">
        <v>410.95484381597566</v>
      </c>
      <c r="D3">
        <v>402.47183098491195</v>
      </c>
      <c r="E3">
        <v>403.6971435546875</v>
      </c>
      <c r="F3">
        <v>348082</v>
      </c>
      <c r="G3">
        <v>0</v>
      </c>
      <c r="H3">
        <v>0</v>
      </c>
      <c r="N3">
        <v>428.3</v>
      </c>
    </row>
    <row r="4" spans="1:14" x14ac:dyDescent="0.25">
      <c r="A4" s="1">
        <v>43103</v>
      </c>
      <c r="B4">
        <v>405.25240033067752</v>
      </c>
      <c r="C4">
        <v>406.66623585396462</v>
      </c>
      <c r="D4">
        <v>401.90630566683035</v>
      </c>
      <c r="E4">
        <v>403.88568115234375</v>
      </c>
      <c r="F4">
        <v>472672</v>
      </c>
      <c r="G4">
        <v>0</v>
      </c>
      <c r="H4">
        <v>0</v>
      </c>
      <c r="N4">
        <v>428.5</v>
      </c>
    </row>
    <row r="5" spans="1:14" x14ac:dyDescent="0.25">
      <c r="A5" s="1">
        <v>43104</v>
      </c>
      <c r="B5">
        <v>404.45118697767651</v>
      </c>
      <c r="C5">
        <v>408.1271532750489</v>
      </c>
      <c r="D5">
        <v>403.97990850969148</v>
      </c>
      <c r="E5">
        <v>406.71331787109375</v>
      </c>
      <c r="F5">
        <v>523367</v>
      </c>
      <c r="G5">
        <v>0</v>
      </c>
      <c r="H5">
        <v>0</v>
      </c>
      <c r="N5">
        <v>431.5</v>
      </c>
    </row>
    <row r="6" spans="1:14" x14ac:dyDescent="0.25">
      <c r="A6" s="1">
        <v>43105</v>
      </c>
      <c r="B6">
        <v>408.12718280056521</v>
      </c>
      <c r="C6">
        <v>417.12859068445465</v>
      </c>
      <c r="D6">
        <v>407.60878795410093</v>
      </c>
      <c r="E6">
        <v>414.91360473632813</v>
      </c>
      <c r="F6">
        <v>1383248</v>
      </c>
      <c r="G6">
        <v>0</v>
      </c>
      <c r="H6">
        <v>0</v>
      </c>
      <c r="N6">
        <v>440.2</v>
      </c>
    </row>
    <row r="7" spans="1:14" x14ac:dyDescent="0.25">
      <c r="A7" s="1">
        <v>43108</v>
      </c>
      <c r="B7">
        <v>418.49534053296111</v>
      </c>
      <c r="C7">
        <v>430.51294321718467</v>
      </c>
      <c r="D7">
        <v>414.9607515081895</v>
      </c>
      <c r="E7">
        <v>426.03579711914063</v>
      </c>
      <c r="F7">
        <v>1665935</v>
      </c>
      <c r="G7">
        <v>0</v>
      </c>
      <c r="H7">
        <v>0</v>
      </c>
      <c r="N7">
        <v>452</v>
      </c>
    </row>
    <row r="8" spans="1:14" x14ac:dyDescent="0.25">
      <c r="A8" s="1">
        <v>43109</v>
      </c>
      <c r="B8">
        <v>427.92085680856957</v>
      </c>
      <c r="C8">
        <v>427.92085680856957</v>
      </c>
      <c r="D8">
        <v>417.59984666386231</v>
      </c>
      <c r="E8">
        <v>418.73092651367188</v>
      </c>
      <c r="F8">
        <v>376650</v>
      </c>
      <c r="G8">
        <v>0</v>
      </c>
      <c r="H8">
        <v>0</v>
      </c>
      <c r="N8">
        <v>444.25</v>
      </c>
    </row>
    <row r="9" spans="1:14" x14ac:dyDescent="0.25">
      <c r="A9" s="1">
        <v>43110</v>
      </c>
      <c r="B9">
        <v>418.77809668225484</v>
      </c>
      <c r="C9">
        <v>426.31855327803385</v>
      </c>
      <c r="D9">
        <v>414.11245642235207</v>
      </c>
      <c r="E9">
        <v>418.21258544921875</v>
      </c>
      <c r="F9">
        <v>919324</v>
      </c>
      <c r="G9">
        <v>0</v>
      </c>
      <c r="H9">
        <v>0</v>
      </c>
      <c r="N9">
        <v>443.7</v>
      </c>
    </row>
    <row r="10" spans="1:14" x14ac:dyDescent="0.25">
      <c r="A10" s="1">
        <v>43111</v>
      </c>
      <c r="B10">
        <v>418.25966263087867</v>
      </c>
      <c r="C10">
        <v>424.15064379469385</v>
      </c>
      <c r="D10">
        <v>415.6676309188</v>
      </c>
      <c r="E10">
        <v>419.34359741210938</v>
      </c>
      <c r="F10">
        <v>622725</v>
      </c>
      <c r="G10">
        <v>0</v>
      </c>
      <c r="H10">
        <v>0</v>
      </c>
      <c r="N10">
        <v>444.9</v>
      </c>
    </row>
    <row r="11" spans="1:14" x14ac:dyDescent="0.25">
      <c r="A11" s="1">
        <v>43112</v>
      </c>
      <c r="B11">
        <v>420.1919037680434</v>
      </c>
      <c r="C11">
        <v>424.15065471790001</v>
      </c>
      <c r="D11">
        <v>416.23318158274401</v>
      </c>
      <c r="E11">
        <v>422.783935546875</v>
      </c>
      <c r="F11">
        <v>529949</v>
      </c>
      <c r="G11">
        <v>0</v>
      </c>
      <c r="H11">
        <v>0</v>
      </c>
      <c r="N11">
        <v>448.55</v>
      </c>
    </row>
    <row r="12" spans="1:14" x14ac:dyDescent="0.25">
      <c r="A12" s="1">
        <v>43115</v>
      </c>
      <c r="B12">
        <v>424.38629112229671</v>
      </c>
      <c r="C12">
        <v>425.37596447084019</v>
      </c>
      <c r="D12">
        <v>414.15954187426723</v>
      </c>
      <c r="E12">
        <v>414.91360473632813</v>
      </c>
      <c r="F12">
        <v>499752</v>
      </c>
      <c r="G12">
        <v>0</v>
      </c>
      <c r="H12">
        <v>0</v>
      </c>
      <c r="N12">
        <v>440.2</v>
      </c>
    </row>
    <row r="13" spans="1:14" x14ac:dyDescent="0.25">
      <c r="A13" s="1">
        <v>43116</v>
      </c>
      <c r="B13">
        <v>417.41133137812398</v>
      </c>
      <c r="C13">
        <v>417.55270916104649</v>
      </c>
      <c r="D13">
        <v>410.01225391660324</v>
      </c>
      <c r="E13">
        <v>411.049072265625</v>
      </c>
      <c r="F13">
        <v>347544</v>
      </c>
      <c r="G13">
        <v>0</v>
      </c>
      <c r="H13">
        <v>0</v>
      </c>
      <c r="N13">
        <v>436.1</v>
      </c>
    </row>
    <row r="14" spans="1:14" x14ac:dyDescent="0.25">
      <c r="A14" s="1">
        <v>43117</v>
      </c>
      <c r="B14">
        <v>411.23761217961641</v>
      </c>
      <c r="C14">
        <v>417.45849420189273</v>
      </c>
      <c r="D14">
        <v>401.15226942589555</v>
      </c>
      <c r="E14">
        <v>414.96072387695313</v>
      </c>
      <c r="F14">
        <v>552311</v>
      </c>
      <c r="G14">
        <v>0</v>
      </c>
      <c r="H14">
        <v>0</v>
      </c>
      <c r="N14">
        <v>440.25</v>
      </c>
    </row>
    <row r="15" spans="1:14" x14ac:dyDescent="0.25">
      <c r="A15" s="1">
        <v>43118</v>
      </c>
      <c r="B15">
        <v>416.56308038997923</v>
      </c>
      <c r="C15">
        <v>420.38042475921208</v>
      </c>
      <c r="D15">
        <v>407.84442808275344</v>
      </c>
      <c r="E15">
        <v>412.46295166015625</v>
      </c>
      <c r="F15">
        <v>335848</v>
      </c>
      <c r="G15">
        <v>0</v>
      </c>
      <c r="H15">
        <v>0</v>
      </c>
      <c r="N15">
        <v>437.6</v>
      </c>
    </row>
    <row r="16" spans="1:14" x14ac:dyDescent="0.25">
      <c r="A16" s="1">
        <v>43119</v>
      </c>
      <c r="B16">
        <v>412.60429977862572</v>
      </c>
      <c r="C16">
        <v>425.09317921224493</v>
      </c>
      <c r="D16">
        <v>408.26853210913754</v>
      </c>
      <c r="E16">
        <v>416.18600463867188</v>
      </c>
      <c r="F16">
        <v>1331752</v>
      </c>
      <c r="G16">
        <v>0</v>
      </c>
      <c r="H16">
        <v>0</v>
      </c>
      <c r="N16">
        <v>441.55</v>
      </c>
    </row>
    <row r="17" spans="1:14" x14ac:dyDescent="0.25">
      <c r="A17" s="1">
        <v>43122</v>
      </c>
      <c r="B17">
        <v>415.90323675867501</v>
      </c>
      <c r="C17">
        <v>419.43782517305465</v>
      </c>
      <c r="D17">
        <v>410.29501163537094</v>
      </c>
      <c r="E17">
        <v>413.54684448242188</v>
      </c>
      <c r="F17">
        <v>491150</v>
      </c>
      <c r="G17">
        <v>0</v>
      </c>
      <c r="H17">
        <v>0</v>
      </c>
      <c r="N17">
        <v>438.75</v>
      </c>
    </row>
    <row r="18" spans="1:14" x14ac:dyDescent="0.25">
      <c r="A18" s="1">
        <v>43123</v>
      </c>
      <c r="B18">
        <v>414.6779903527767</v>
      </c>
      <c r="C18">
        <v>416.61022082135088</v>
      </c>
      <c r="D18">
        <v>401.62356930942218</v>
      </c>
      <c r="E18">
        <v>406.19497680664063</v>
      </c>
      <c r="F18">
        <v>1006539</v>
      </c>
      <c r="G18">
        <v>0</v>
      </c>
      <c r="H18">
        <v>0</v>
      </c>
      <c r="N18">
        <v>430.95</v>
      </c>
    </row>
    <row r="19" spans="1:14" x14ac:dyDescent="0.25">
      <c r="A19" s="1">
        <v>43124</v>
      </c>
      <c r="B19">
        <v>406.19490799321414</v>
      </c>
      <c r="C19">
        <v>409.54097348595451</v>
      </c>
      <c r="D19">
        <v>397.287733772911</v>
      </c>
      <c r="E19">
        <v>400.35104370117188</v>
      </c>
      <c r="F19">
        <v>1212613</v>
      </c>
      <c r="G19">
        <v>0</v>
      </c>
      <c r="H19">
        <v>0</v>
      </c>
      <c r="N19">
        <v>424.75</v>
      </c>
    </row>
    <row r="20" spans="1:14" x14ac:dyDescent="0.25">
      <c r="A20" s="1">
        <v>43125</v>
      </c>
      <c r="B20">
        <v>402.4247376741414</v>
      </c>
      <c r="C20">
        <v>404.92250806444571</v>
      </c>
      <c r="D20">
        <v>391.6795644614906</v>
      </c>
      <c r="E20">
        <v>394.13021850585938</v>
      </c>
      <c r="F20">
        <v>643671</v>
      </c>
      <c r="G20">
        <v>0</v>
      </c>
      <c r="H20">
        <v>0</v>
      </c>
      <c r="N20">
        <v>418.15</v>
      </c>
    </row>
    <row r="21" spans="1:14" x14ac:dyDescent="0.25">
      <c r="A21" s="1">
        <v>43129</v>
      </c>
      <c r="B21">
        <v>395.68545532226563</v>
      </c>
      <c r="C21">
        <v>402.94315642927171</v>
      </c>
      <c r="D21">
        <v>393.98886406417677</v>
      </c>
      <c r="E21">
        <v>395.68545532226563</v>
      </c>
      <c r="F21">
        <v>455894</v>
      </c>
      <c r="G21">
        <v>0</v>
      </c>
      <c r="H21">
        <v>0</v>
      </c>
      <c r="N21">
        <v>419.8</v>
      </c>
    </row>
    <row r="22" spans="1:14" x14ac:dyDescent="0.25">
      <c r="A22" s="1">
        <v>43130</v>
      </c>
      <c r="B22">
        <v>393.98882179757368</v>
      </c>
      <c r="C22">
        <v>402.94311320206401</v>
      </c>
      <c r="D22">
        <v>390.26571018146296</v>
      </c>
      <c r="E22">
        <v>400.86947631835938</v>
      </c>
      <c r="F22">
        <v>810714</v>
      </c>
      <c r="G22">
        <v>0</v>
      </c>
      <c r="H22">
        <v>0</v>
      </c>
      <c r="N22">
        <v>425.3</v>
      </c>
    </row>
    <row r="23" spans="1:14" x14ac:dyDescent="0.25">
      <c r="A23" s="1">
        <v>43131</v>
      </c>
      <c r="B23">
        <v>400.9165954005569</v>
      </c>
      <c r="C23">
        <v>405.676496384968</v>
      </c>
      <c r="D23">
        <v>396.15666565159103</v>
      </c>
      <c r="E23">
        <v>401.34072875976563</v>
      </c>
      <c r="F23">
        <v>1240632</v>
      </c>
      <c r="G23">
        <v>0</v>
      </c>
      <c r="H23">
        <v>0</v>
      </c>
      <c r="N23">
        <v>425.8</v>
      </c>
    </row>
    <row r="24" spans="1:14" x14ac:dyDescent="0.25">
      <c r="A24" s="1">
        <v>43132</v>
      </c>
      <c r="B24">
        <v>403.93277004742868</v>
      </c>
      <c r="C24">
        <v>403.93277004742868</v>
      </c>
      <c r="D24">
        <v>391.16113486080764</v>
      </c>
      <c r="E24">
        <v>393.65890502929688</v>
      </c>
      <c r="F24">
        <v>1318106</v>
      </c>
      <c r="G24">
        <v>0</v>
      </c>
      <c r="H24">
        <v>0</v>
      </c>
      <c r="N24">
        <v>417.65</v>
      </c>
    </row>
    <row r="25" spans="1:14" x14ac:dyDescent="0.25">
      <c r="A25" s="1">
        <v>43133</v>
      </c>
      <c r="B25">
        <v>388.33347701391688</v>
      </c>
      <c r="C25">
        <v>399.03150452437171</v>
      </c>
      <c r="D25">
        <v>384.04485424689153</v>
      </c>
      <c r="E25">
        <v>387.24954223632813</v>
      </c>
      <c r="F25">
        <v>751620</v>
      </c>
      <c r="G25">
        <v>0</v>
      </c>
      <c r="H25">
        <v>0</v>
      </c>
      <c r="N25">
        <v>410.85</v>
      </c>
    </row>
    <row r="26" spans="1:14" x14ac:dyDescent="0.25">
      <c r="A26" s="1">
        <v>43136</v>
      </c>
      <c r="B26">
        <v>381.2642931843925</v>
      </c>
      <c r="C26">
        <v>387.06101277903139</v>
      </c>
      <c r="D26">
        <v>376.22160765759628</v>
      </c>
      <c r="E26">
        <v>384.70462036132813</v>
      </c>
      <c r="F26">
        <v>474543</v>
      </c>
      <c r="G26">
        <v>0</v>
      </c>
      <c r="H26">
        <v>0</v>
      </c>
      <c r="N26">
        <v>408.15</v>
      </c>
    </row>
    <row r="27" spans="1:14" x14ac:dyDescent="0.25">
      <c r="A27" s="1">
        <v>43137</v>
      </c>
      <c r="B27">
        <v>377.11706762913064</v>
      </c>
      <c r="C27">
        <v>387.57945625338937</v>
      </c>
      <c r="D27">
        <v>356.80494668773559</v>
      </c>
      <c r="E27">
        <v>381.26431274414063</v>
      </c>
      <c r="F27">
        <v>1402738</v>
      </c>
      <c r="G27">
        <v>0</v>
      </c>
      <c r="H27">
        <v>0</v>
      </c>
      <c r="N27">
        <v>404.5</v>
      </c>
    </row>
    <row r="28" spans="1:14" x14ac:dyDescent="0.25">
      <c r="A28" s="1">
        <v>43138</v>
      </c>
      <c r="B28">
        <v>382.6781587078811</v>
      </c>
      <c r="C28">
        <v>384.56327279018592</v>
      </c>
      <c r="D28">
        <v>368.39842528733362</v>
      </c>
      <c r="E28">
        <v>373.58248901367188</v>
      </c>
      <c r="F28">
        <v>1125800</v>
      </c>
      <c r="G28">
        <v>0</v>
      </c>
      <c r="H28">
        <v>0</v>
      </c>
      <c r="N28">
        <v>396.35</v>
      </c>
    </row>
    <row r="29" spans="1:14" x14ac:dyDescent="0.25">
      <c r="A29" s="1">
        <v>43139</v>
      </c>
      <c r="B29">
        <v>376.88141714792761</v>
      </c>
      <c r="C29">
        <v>393.98882071556034</v>
      </c>
      <c r="D29">
        <v>375.65607580562857</v>
      </c>
      <c r="E29">
        <v>381.92410278320313</v>
      </c>
      <c r="F29">
        <v>3105912</v>
      </c>
      <c r="G29">
        <v>0</v>
      </c>
      <c r="H29">
        <v>0</v>
      </c>
      <c r="N29">
        <v>405.2</v>
      </c>
    </row>
    <row r="30" spans="1:14" x14ac:dyDescent="0.25">
      <c r="A30" s="1">
        <v>43140</v>
      </c>
      <c r="B30">
        <v>373.7238453052662</v>
      </c>
      <c r="C30">
        <v>398.70160545807721</v>
      </c>
      <c r="D30">
        <v>367.69148634202691</v>
      </c>
      <c r="E30">
        <v>388.09783935546875</v>
      </c>
      <c r="F30">
        <v>1645064</v>
      </c>
      <c r="G30">
        <v>0</v>
      </c>
      <c r="H30">
        <v>0</v>
      </c>
      <c r="N30">
        <v>411.75</v>
      </c>
    </row>
    <row r="31" spans="1:14" x14ac:dyDescent="0.25">
      <c r="A31" s="1">
        <v>43143</v>
      </c>
      <c r="B31">
        <v>402.75459734007529</v>
      </c>
      <c r="C31">
        <v>409.1168571334519</v>
      </c>
      <c r="D31">
        <v>395.40266419577409</v>
      </c>
      <c r="E31">
        <v>399.31427001953125</v>
      </c>
      <c r="F31">
        <v>2335436</v>
      </c>
      <c r="G31">
        <v>0</v>
      </c>
      <c r="H31">
        <v>0</v>
      </c>
      <c r="N31">
        <v>423.65</v>
      </c>
    </row>
    <row r="32" spans="1:14" x14ac:dyDescent="0.25">
      <c r="A32" s="1">
        <v>43145</v>
      </c>
      <c r="B32">
        <v>399.17288422310327</v>
      </c>
      <c r="C32">
        <v>401.52927669195276</v>
      </c>
      <c r="D32">
        <v>393.9888207916344</v>
      </c>
      <c r="E32">
        <v>395.49691772460938</v>
      </c>
      <c r="F32">
        <v>897280</v>
      </c>
      <c r="G32">
        <v>0</v>
      </c>
      <c r="H32">
        <v>0</v>
      </c>
      <c r="N32">
        <v>419.6</v>
      </c>
    </row>
    <row r="33" spans="1:14" x14ac:dyDescent="0.25">
      <c r="A33" s="1">
        <v>43146</v>
      </c>
      <c r="B33">
        <v>395.77965083910163</v>
      </c>
      <c r="C33">
        <v>397.85328759975192</v>
      </c>
      <c r="D33">
        <v>390.59558770203074</v>
      </c>
      <c r="E33">
        <v>393.1405029296875</v>
      </c>
      <c r="F33">
        <v>630169</v>
      </c>
      <c r="G33">
        <v>0</v>
      </c>
      <c r="H33">
        <v>0</v>
      </c>
      <c r="N33">
        <v>417.1</v>
      </c>
    </row>
    <row r="34" spans="1:14" x14ac:dyDescent="0.25">
      <c r="A34" s="1">
        <v>43147</v>
      </c>
      <c r="B34">
        <v>394.93137205650476</v>
      </c>
      <c r="C34">
        <v>398.41884436569012</v>
      </c>
      <c r="D34">
        <v>389.32314655608513</v>
      </c>
      <c r="E34">
        <v>390.5013427734375</v>
      </c>
      <c r="F34">
        <v>513765</v>
      </c>
      <c r="G34">
        <v>0</v>
      </c>
      <c r="H34">
        <v>0</v>
      </c>
      <c r="N34">
        <v>414.3</v>
      </c>
    </row>
    <row r="35" spans="1:14" x14ac:dyDescent="0.25">
      <c r="A35" s="1">
        <v>43150</v>
      </c>
      <c r="B35">
        <v>391.16113728514375</v>
      </c>
      <c r="C35">
        <v>392.00943279381488</v>
      </c>
      <c r="D35">
        <v>382.11258474202208</v>
      </c>
      <c r="E35">
        <v>385.45867919921875</v>
      </c>
      <c r="F35">
        <v>465831</v>
      </c>
      <c r="G35">
        <v>0</v>
      </c>
      <c r="H35">
        <v>0</v>
      </c>
      <c r="N35">
        <v>408.95</v>
      </c>
    </row>
    <row r="36" spans="1:14" x14ac:dyDescent="0.25">
      <c r="A36" s="1">
        <v>43151</v>
      </c>
      <c r="B36">
        <v>385.50577062389254</v>
      </c>
      <c r="C36">
        <v>389.98291588174948</v>
      </c>
      <c r="D36">
        <v>382.63098359572166</v>
      </c>
      <c r="E36">
        <v>385.55288696289063</v>
      </c>
      <c r="F36">
        <v>640764</v>
      </c>
      <c r="G36">
        <v>0</v>
      </c>
      <c r="H36">
        <v>0</v>
      </c>
      <c r="N36">
        <v>409.05</v>
      </c>
    </row>
    <row r="37" spans="1:14" x14ac:dyDescent="0.25">
      <c r="A37" s="1">
        <v>43152</v>
      </c>
      <c r="B37">
        <v>387.39090980684227</v>
      </c>
      <c r="C37">
        <v>389.65304075353311</v>
      </c>
      <c r="D37">
        <v>381.07576668129775</v>
      </c>
      <c r="E37">
        <v>387.53228759765625</v>
      </c>
      <c r="F37">
        <v>812011</v>
      </c>
      <c r="G37">
        <v>0</v>
      </c>
      <c r="H37">
        <v>0</v>
      </c>
      <c r="N37">
        <v>411.15</v>
      </c>
    </row>
    <row r="38" spans="1:14" x14ac:dyDescent="0.25">
      <c r="A38" s="1">
        <v>43153</v>
      </c>
      <c r="B38">
        <v>386.44838149433531</v>
      </c>
      <c r="C38">
        <v>386.44838149433531</v>
      </c>
      <c r="D38">
        <v>376.17451564166578</v>
      </c>
      <c r="E38">
        <v>377.63546752929688</v>
      </c>
      <c r="F38">
        <v>4166528</v>
      </c>
      <c r="G38">
        <v>0</v>
      </c>
      <c r="H38">
        <v>0</v>
      </c>
      <c r="N38">
        <v>400.65</v>
      </c>
    </row>
    <row r="39" spans="1:14" x14ac:dyDescent="0.25">
      <c r="A39" s="1">
        <v>43154</v>
      </c>
      <c r="B39">
        <v>377.91829725935833</v>
      </c>
      <c r="C39">
        <v>385.45875438874674</v>
      </c>
      <c r="D39">
        <v>376.92859500238939</v>
      </c>
      <c r="E39">
        <v>383.19659423828125</v>
      </c>
      <c r="F39">
        <v>618503</v>
      </c>
      <c r="G39">
        <v>0</v>
      </c>
      <c r="H39">
        <v>0</v>
      </c>
      <c r="N39">
        <v>406.55</v>
      </c>
    </row>
    <row r="40" spans="1:14" x14ac:dyDescent="0.25">
      <c r="A40" s="1">
        <v>43157</v>
      </c>
      <c r="B40">
        <v>385.36442583379295</v>
      </c>
      <c r="C40">
        <v>387.20239468037346</v>
      </c>
      <c r="D40">
        <v>382.06547641399823</v>
      </c>
      <c r="E40">
        <v>383.52642822265625</v>
      </c>
      <c r="F40">
        <v>1225265</v>
      </c>
      <c r="G40">
        <v>0</v>
      </c>
      <c r="H40">
        <v>0</v>
      </c>
      <c r="N40">
        <v>406.9</v>
      </c>
    </row>
    <row r="41" spans="1:14" x14ac:dyDescent="0.25">
      <c r="A41" s="1">
        <v>43158</v>
      </c>
      <c r="B41">
        <v>385.50581259244024</v>
      </c>
      <c r="C41">
        <v>387.15528734069642</v>
      </c>
      <c r="D41">
        <v>381.4999453466753</v>
      </c>
      <c r="E41">
        <v>384.468994140625</v>
      </c>
      <c r="F41">
        <v>466319</v>
      </c>
      <c r="G41">
        <v>0</v>
      </c>
      <c r="H41">
        <v>0</v>
      </c>
      <c r="N41">
        <v>407.9</v>
      </c>
    </row>
    <row r="42" spans="1:14" x14ac:dyDescent="0.25">
      <c r="A42" s="1">
        <v>43159</v>
      </c>
      <c r="B42">
        <v>380.69872368831022</v>
      </c>
      <c r="C42">
        <v>383.66777215114558</v>
      </c>
      <c r="D42">
        <v>378.43659289589061</v>
      </c>
      <c r="E42">
        <v>381.82980346679688</v>
      </c>
      <c r="F42">
        <v>653753</v>
      </c>
      <c r="G42">
        <v>0</v>
      </c>
      <c r="H42">
        <v>0</v>
      </c>
      <c r="N42">
        <v>405.1</v>
      </c>
    </row>
    <row r="43" spans="1:14" x14ac:dyDescent="0.25">
      <c r="A43" s="1">
        <v>43160</v>
      </c>
      <c r="B43">
        <v>381.82982044953661</v>
      </c>
      <c r="C43">
        <v>385.97706521418957</v>
      </c>
      <c r="D43">
        <v>380.27460725836107</v>
      </c>
      <c r="E43">
        <v>380.84011840820313</v>
      </c>
      <c r="F43">
        <v>577581</v>
      </c>
      <c r="G43">
        <v>0</v>
      </c>
      <c r="H43">
        <v>0</v>
      </c>
      <c r="N43">
        <v>404.05</v>
      </c>
    </row>
    <row r="44" spans="1:14" x14ac:dyDescent="0.25">
      <c r="A44" s="1">
        <v>43164</v>
      </c>
      <c r="B44">
        <v>381.02867704311063</v>
      </c>
      <c r="C44">
        <v>381.73559481127967</v>
      </c>
      <c r="D44">
        <v>366.18340391156084</v>
      </c>
      <c r="E44">
        <v>369.38809204101563</v>
      </c>
      <c r="F44">
        <v>952536</v>
      </c>
      <c r="G44">
        <v>0</v>
      </c>
      <c r="H44">
        <v>0</v>
      </c>
      <c r="N44">
        <v>391.9</v>
      </c>
    </row>
    <row r="45" spans="1:14" x14ac:dyDescent="0.25">
      <c r="A45" s="1">
        <v>43165</v>
      </c>
      <c r="B45">
        <v>371.17893700539958</v>
      </c>
      <c r="C45">
        <v>374.10086947335617</v>
      </c>
      <c r="D45">
        <v>363.96838167118341</v>
      </c>
      <c r="E45">
        <v>367.22021484375</v>
      </c>
      <c r="F45">
        <v>681762</v>
      </c>
      <c r="G45">
        <v>0</v>
      </c>
      <c r="H45">
        <v>0</v>
      </c>
      <c r="N45">
        <v>389.6</v>
      </c>
    </row>
    <row r="46" spans="1:14" x14ac:dyDescent="0.25">
      <c r="A46" s="1">
        <v>43166</v>
      </c>
      <c r="B46">
        <v>365.71214711698121</v>
      </c>
      <c r="C46">
        <v>365.99490273521695</v>
      </c>
      <c r="D46">
        <v>354.16582288455072</v>
      </c>
      <c r="E46">
        <v>359.39700317382813</v>
      </c>
      <c r="F46">
        <v>574978</v>
      </c>
      <c r="G46">
        <v>0</v>
      </c>
      <c r="H46">
        <v>0</v>
      </c>
      <c r="N46">
        <v>381.3</v>
      </c>
    </row>
    <row r="47" spans="1:14" x14ac:dyDescent="0.25">
      <c r="A47" s="1">
        <v>43167</v>
      </c>
      <c r="B47">
        <v>360.43374406807618</v>
      </c>
      <c r="C47">
        <v>368.39836118578899</v>
      </c>
      <c r="D47">
        <v>359.11417019298108</v>
      </c>
      <c r="E47">
        <v>366.56036376953125</v>
      </c>
      <c r="F47">
        <v>859579</v>
      </c>
      <c r="G47">
        <v>0</v>
      </c>
      <c r="H47">
        <v>0</v>
      </c>
      <c r="N47">
        <v>388.9</v>
      </c>
    </row>
    <row r="48" spans="1:14" x14ac:dyDescent="0.25">
      <c r="A48" s="1">
        <v>43168</v>
      </c>
      <c r="B48">
        <v>369.48233451680949</v>
      </c>
      <c r="C48">
        <v>372.21574399374202</v>
      </c>
      <c r="D48">
        <v>360.99932173453584</v>
      </c>
      <c r="E48">
        <v>362.13040161132813</v>
      </c>
      <c r="F48">
        <v>451894</v>
      </c>
      <c r="G48">
        <v>0</v>
      </c>
      <c r="H48">
        <v>0</v>
      </c>
      <c r="N48">
        <v>384.2</v>
      </c>
    </row>
    <row r="49" spans="1:14" x14ac:dyDescent="0.25">
      <c r="A49" s="1">
        <v>43171</v>
      </c>
      <c r="B49">
        <v>366.65468336267503</v>
      </c>
      <c r="C49">
        <v>369.48235444259285</v>
      </c>
      <c r="D49">
        <v>357.13485164070687</v>
      </c>
      <c r="E49">
        <v>366.93743896484375</v>
      </c>
      <c r="F49">
        <v>574306</v>
      </c>
      <c r="G49">
        <v>0</v>
      </c>
      <c r="H49">
        <v>0</v>
      </c>
      <c r="N49">
        <v>389.3</v>
      </c>
    </row>
    <row r="50" spans="1:14" x14ac:dyDescent="0.25">
      <c r="A50" s="1">
        <v>43172</v>
      </c>
      <c r="B50">
        <v>366.4661507578038</v>
      </c>
      <c r="C50">
        <v>373.91237408293352</v>
      </c>
      <c r="D50">
        <v>361.94188865543362</v>
      </c>
      <c r="E50">
        <v>368.02139282226563</v>
      </c>
      <c r="F50">
        <v>899152</v>
      </c>
      <c r="G50">
        <v>0</v>
      </c>
      <c r="H50">
        <v>0</v>
      </c>
      <c r="N50">
        <v>390.45</v>
      </c>
    </row>
    <row r="51" spans="1:14" x14ac:dyDescent="0.25">
      <c r="A51" s="1">
        <v>43173</v>
      </c>
      <c r="B51">
        <v>367.45588313050752</v>
      </c>
      <c r="C51">
        <v>369.90653728968266</v>
      </c>
      <c r="D51">
        <v>365.71214678083135</v>
      </c>
      <c r="E51">
        <v>366.3719482421875</v>
      </c>
      <c r="F51">
        <v>238018</v>
      </c>
      <c r="G51">
        <v>0</v>
      </c>
      <c r="H51">
        <v>0</v>
      </c>
      <c r="N51">
        <v>388.7</v>
      </c>
    </row>
    <row r="52" spans="1:14" x14ac:dyDescent="0.25">
      <c r="A52" s="1">
        <v>43174</v>
      </c>
      <c r="B52">
        <v>366.65466519935046</v>
      </c>
      <c r="C52">
        <v>370.23637021732623</v>
      </c>
      <c r="D52">
        <v>360.7636840746822</v>
      </c>
      <c r="E52">
        <v>362.97869873046875</v>
      </c>
      <c r="F52">
        <v>512230</v>
      </c>
      <c r="G52">
        <v>0</v>
      </c>
      <c r="H52">
        <v>0</v>
      </c>
      <c r="N52">
        <v>385.1</v>
      </c>
    </row>
    <row r="53" spans="1:14" x14ac:dyDescent="0.25">
      <c r="A53" s="1">
        <v>43175</v>
      </c>
      <c r="B53">
        <v>362.88444480186473</v>
      </c>
      <c r="C53">
        <v>364.9109365978469</v>
      </c>
      <c r="D53">
        <v>356.19228435260732</v>
      </c>
      <c r="E53">
        <v>357.3233642578125</v>
      </c>
      <c r="F53">
        <v>837492</v>
      </c>
      <c r="G53">
        <v>0</v>
      </c>
      <c r="H53">
        <v>0</v>
      </c>
      <c r="N53">
        <v>379.1</v>
      </c>
    </row>
    <row r="54" spans="1:14" x14ac:dyDescent="0.25">
      <c r="A54" s="1">
        <v>43178</v>
      </c>
      <c r="B54">
        <v>361.94185929968012</v>
      </c>
      <c r="C54">
        <v>362.88441622493968</v>
      </c>
      <c r="D54">
        <v>352.04501158445447</v>
      </c>
      <c r="E54">
        <v>355.29684448242188</v>
      </c>
      <c r="F54">
        <v>617450</v>
      </c>
      <c r="G54">
        <v>0</v>
      </c>
      <c r="H54">
        <v>0</v>
      </c>
      <c r="N54">
        <v>376.95</v>
      </c>
    </row>
    <row r="55" spans="1:14" x14ac:dyDescent="0.25">
      <c r="A55" s="1">
        <v>43179</v>
      </c>
      <c r="B55">
        <v>354.40138915346165</v>
      </c>
      <c r="C55">
        <v>365.7120717860189</v>
      </c>
      <c r="D55">
        <v>351.99788059986457</v>
      </c>
      <c r="E55">
        <v>363.30856323242188</v>
      </c>
      <c r="F55">
        <v>554872</v>
      </c>
      <c r="G55">
        <v>0</v>
      </c>
      <c r="H55">
        <v>0</v>
      </c>
      <c r="N55">
        <v>385.45</v>
      </c>
    </row>
    <row r="56" spans="1:14" x14ac:dyDescent="0.25">
      <c r="A56" s="1">
        <v>43180</v>
      </c>
      <c r="B56">
        <v>363.82695460366608</v>
      </c>
      <c r="C56">
        <v>365.6649520200499</v>
      </c>
      <c r="D56">
        <v>356.00374402863127</v>
      </c>
      <c r="E56">
        <v>357.93597412109375</v>
      </c>
      <c r="F56">
        <v>455866</v>
      </c>
      <c r="G56">
        <v>0</v>
      </c>
      <c r="H56">
        <v>0</v>
      </c>
      <c r="N56">
        <v>379.75</v>
      </c>
    </row>
    <row r="57" spans="1:14" x14ac:dyDescent="0.25">
      <c r="A57" s="1">
        <v>43181</v>
      </c>
      <c r="B57">
        <v>358.03024635243685</v>
      </c>
      <c r="C57">
        <v>361.61195108796892</v>
      </c>
      <c r="D57">
        <v>354.16575728648655</v>
      </c>
      <c r="E57">
        <v>355.626708984375</v>
      </c>
      <c r="F57">
        <v>432037</v>
      </c>
      <c r="G57">
        <v>0</v>
      </c>
      <c r="H57">
        <v>0</v>
      </c>
      <c r="N57">
        <v>377.3</v>
      </c>
    </row>
    <row r="58" spans="1:14" x14ac:dyDescent="0.25">
      <c r="A58" s="1">
        <v>43182</v>
      </c>
      <c r="B58">
        <v>348.74611855718399</v>
      </c>
      <c r="C58">
        <v>354.77847809823425</v>
      </c>
      <c r="D58">
        <v>341.20566193973133</v>
      </c>
      <c r="E58">
        <v>349.07601928710938</v>
      </c>
      <c r="F58">
        <v>917584</v>
      </c>
      <c r="G58">
        <v>0</v>
      </c>
      <c r="H58">
        <v>0</v>
      </c>
      <c r="N58">
        <v>370.35</v>
      </c>
    </row>
    <row r="59" spans="1:14" x14ac:dyDescent="0.25">
      <c r="A59" s="1">
        <v>43185</v>
      </c>
      <c r="B59">
        <v>355.2968527867468</v>
      </c>
      <c r="C59">
        <v>367.50294799541774</v>
      </c>
      <c r="D59">
        <v>353.93013370735434</v>
      </c>
      <c r="E59">
        <v>364.86380004882813</v>
      </c>
      <c r="F59">
        <v>4548091</v>
      </c>
      <c r="G59">
        <v>0</v>
      </c>
      <c r="H59">
        <v>0</v>
      </c>
      <c r="N59">
        <v>387.1</v>
      </c>
    </row>
    <row r="60" spans="1:14" x14ac:dyDescent="0.25">
      <c r="A60" s="1">
        <v>43186</v>
      </c>
      <c r="B60">
        <v>368.49265908627376</v>
      </c>
      <c r="C60">
        <v>368.49265908627376</v>
      </c>
      <c r="D60">
        <v>358.17164875449936</v>
      </c>
      <c r="E60">
        <v>360.0567626953125</v>
      </c>
      <c r="F60">
        <v>952907</v>
      </c>
      <c r="G60">
        <v>0</v>
      </c>
      <c r="H60">
        <v>0</v>
      </c>
      <c r="N60">
        <v>382</v>
      </c>
    </row>
    <row r="61" spans="1:14" x14ac:dyDescent="0.25">
      <c r="A61" s="1">
        <v>43187</v>
      </c>
      <c r="B61">
        <v>360.99936590313087</v>
      </c>
      <c r="C61">
        <v>363.02585789615034</v>
      </c>
      <c r="D61">
        <v>351.10251644625652</v>
      </c>
      <c r="E61">
        <v>356.14520263671875</v>
      </c>
      <c r="F61">
        <v>1535232</v>
      </c>
      <c r="G61">
        <v>0</v>
      </c>
      <c r="H61">
        <v>0</v>
      </c>
      <c r="N61">
        <v>377.85</v>
      </c>
    </row>
    <row r="62" spans="1:14" x14ac:dyDescent="0.25">
      <c r="A62" s="1">
        <v>43192</v>
      </c>
      <c r="B62">
        <v>366.93744704123083</v>
      </c>
      <c r="C62">
        <v>367.31449287183159</v>
      </c>
      <c r="D62">
        <v>359.96253064349207</v>
      </c>
      <c r="E62">
        <v>362.93157958984375</v>
      </c>
      <c r="F62">
        <v>1661277</v>
      </c>
      <c r="G62">
        <v>0</v>
      </c>
      <c r="H62">
        <v>0</v>
      </c>
      <c r="N62">
        <v>385.05</v>
      </c>
    </row>
    <row r="63" spans="1:14" x14ac:dyDescent="0.25">
      <c r="A63" s="1">
        <v>43193</v>
      </c>
      <c r="B63">
        <v>361.94189205266497</v>
      </c>
      <c r="C63">
        <v>373.25257617931072</v>
      </c>
      <c r="D63">
        <v>360.52805653683424</v>
      </c>
      <c r="E63">
        <v>371.36746215820313</v>
      </c>
      <c r="F63">
        <v>2116787</v>
      </c>
      <c r="G63">
        <v>0</v>
      </c>
      <c r="H63">
        <v>0</v>
      </c>
      <c r="N63">
        <v>394</v>
      </c>
    </row>
    <row r="64" spans="1:14" x14ac:dyDescent="0.25">
      <c r="A64" s="1">
        <v>43194</v>
      </c>
      <c r="B64">
        <v>374.66640024030562</v>
      </c>
      <c r="C64">
        <v>376.8342697924773</v>
      </c>
      <c r="D64">
        <v>367.59722287728101</v>
      </c>
      <c r="E64">
        <v>372.02725219726563</v>
      </c>
      <c r="F64">
        <v>2480827</v>
      </c>
      <c r="G64">
        <v>0</v>
      </c>
      <c r="H64">
        <v>0</v>
      </c>
      <c r="N64">
        <v>394.7</v>
      </c>
    </row>
    <row r="65" spans="1:14" x14ac:dyDescent="0.25">
      <c r="A65" s="1">
        <v>43195</v>
      </c>
      <c r="B65">
        <v>374.19512746457394</v>
      </c>
      <c r="C65">
        <v>380.27463159545078</v>
      </c>
      <c r="D65">
        <v>370.42489948004425</v>
      </c>
      <c r="E65">
        <v>371.69735717773438</v>
      </c>
      <c r="F65">
        <v>1133101</v>
      </c>
      <c r="G65">
        <v>0</v>
      </c>
      <c r="H65">
        <v>0</v>
      </c>
      <c r="N65">
        <v>394.35</v>
      </c>
    </row>
    <row r="66" spans="1:14" x14ac:dyDescent="0.25">
      <c r="A66" s="1">
        <v>43196</v>
      </c>
      <c r="B66">
        <v>371.36744466145831</v>
      </c>
      <c r="C66">
        <v>375.13767252604163</v>
      </c>
      <c r="D66">
        <v>368.16275672947364</v>
      </c>
      <c r="E66">
        <v>371.13180541992188</v>
      </c>
      <c r="F66">
        <v>726101</v>
      </c>
      <c r="G66">
        <v>0</v>
      </c>
      <c r="H66">
        <v>0</v>
      </c>
      <c r="N66">
        <v>393.75</v>
      </c>
    </row>
    <row r="67" spans="1:14" x14ac:dyDescent="0.25">
      <c r="A67" s="1">
        <v>43199</v>
      </c>
      <c r="B67">
        <v>374.10088587687682</v>
      </c>
      <c r="C67">
        <v>376.97570212646809</v>
      </c>
      <c r="D67">
        <v>364.29829834949169</v>
      </c>
      <c r="E67">
        <v>368.68118286132813</v>
      </c>
      <c r="F67">
        <v>833590</v>
      </c>
      <c r="G67">
        <v>0</v>
      </c>
      <c r="H67">
        <v>0</v>
      </c>
      <c r="N67">
        <v>391.15</v>
      </c>
    </row>
    <row r="68" spans="1:14" x14ac:dyDescent="0.25">
      <c r="A68" s="1">
        <v>43200</v>
      </c>
      <c r="B68">
        <v>372.2157182400307</v>
      </c>
      <c r="C68">
        <v>372.2157182400307</v>
      </c>
      <c r="D68">
        <v>363.92122893263917</v>
      </c>
      <c r="E68">
        <v>366.32473754882813</v>
      </c>
      <c r="F68">
        <v>430001</v>
      </c>
      <c r="G68">
        <v>0</v>
      </c>
      <c r="H68">
        <v>0</v>
      </c>
      <c r="N68">
        <v>388.65</v>
      </c>
    </row>
    <row r="69" spans="1:14" x14ac:dyDescent="0.25">
      <c r="A69" s="1">
        <v>43201</v>
      </c>
      <c r="B69">
        <v>367.59724494504366</v>
      </c>
      <c r="C69">
        <v>371.08471749265317</v>
      </c>
      <c r="D69">
        <v>365.80639232514608</v>
      </c>
      <c r="E69">
        <v>366.98458862304688</v>
      </c>
      <c r="F69">
        <v>369780</v>
      </c>
      <c r="G69">
        <v>0</v>
      </c>
      <c r="H69">
        <v>0</v>
      </c>
      <c r="N69">
        <v>389.35</v>
      </c>
    </row>
    <row r="70" spans="1:14" x14ac:dyDescent="0.25">
      <c r="A70" s="1">
        <v>43202</v>
      </c>
      <c r="B70">
        <v>368.63403159227352</v>
      </c>
      <c r="C70">
        <v>372.45137576185249</v>
      </c>
      <c r="D70">
        <v>365.71209927300589</v>
      </c>
      <c r="E70">
        <v>367.78573608398438</v>
      </c>
      <c r="F70">
        <v>571541</v>
      </c>
      <c r="G70">
        <v>0</v>
      </c>
      <c r="H70">
        <v>0</v>
      </c>
      <c r="N70">
        <v>390.2</v>
      </c>
    </row>
    <row r="71" spans="1:14" x14ac:dyDescent="0.25">
      <c r="A71" s="1">
        <v>43203</v>
      </c>
      <c r="B71">
        <v>367.59724801113003</v>
      </c>
      <c r="C71">
        <v>371.32035984937374</v>
      </c>
      <c r="D71">
        <v>367.07885314155305</v>
      </c>
      <c r="E71">
        <v>368.68118286132813</v>
      </c>
      <c r="F71">
        <v>517564</v>
      </c>
      <c r="G71">
        <v>0</v>
      </c>
      <c r="H71">
        <v>0</v>
      </c>
      <c r="N71">
        <v>391.15</v>
      </c>
    </row>
    <row r="72" spans="1:14" x14ac:dyDescent="0.25">
      <c r="A72" s="1">
        <v>43206</v>
      </c>
      <c r="B72">
        <v>366.04203752540076</v>
      </c>
      <c r="C72">
        <v>371.36747912542984</v>
      </c>
      <c r="D72">
        <v>365.85351460885374</v>
      </c>
      <c r="E72">
        <v>368.30416870117188</v>
      </c>
      <c r="F72">
        <v>562961</v>
      </c>
      <c r="G72">
        <v>0</v>
      </c>
      <c r="H72">
        <v>0</v>
      </c>
      <c r="N72">
        <v>390.75</v>
      </c>
    </row>
    <row r="73" spans="1:14" x14ac:dyDescent="0.25">
      <c r="A73" s="1">
        <v>43207</v>
      </c>
      <c r="B73">
        <v>368.25702274010064</v>
      </c>
      <c r="C73">
        <v>370.80190932148099</v>
      </c>
      <c r="D73">
        <v>363.40283129268266</v>
      </c>
      <c r="E73">
        <v>365.42935180664063</v>
      </c>
      <c r="F73">
        <v>747430</v>
      </c>
      <c r="G73">
        <v>0</v>
      </c>
      <c r="H73">
        <v>0</v>
      </c>
      <c r="N73">
        <v>387.7</v>
      </c>
    </row>
    <row r="74" spans="1:14" x14ac:dyDescent="0.25">
      <c r="A74" s="1">
        <v>43208</v>
      </c>
      <c r="B74">
        <v>366.3247645034578</v>
      </c>
      <c r="C74">
        <v>368.49266281606947</v>
      </c>
      <c r="D74">
        <v>361.32922401556164</v>
      </c>
      <c r="E74">
        <v>362.97869873046875</v>
      </c>
      <c r="F74">
        <v>479171</v>
      </c>
      <c r="G74">
        <v>0</v>
      </c>
      <c r="H74">
        <v>0</v>
      </c>
      <c r="N74">
        <v>385.1</v>
      </c>
    </row>
    <row r="75" spans="1:14" x14ac:dyDescent="0.25">
      <c r="A75" s="1">
        <v>43209</v>
      </c>
      <c r="B75">
        <v>362.88443194123369</v>
      </c>
      <c r="C75">
        <v>367.22019973811803</v>
      </c>
      <c r="D75">
        <v>360.4337780765116</v>
      </c>
      <c r="E75">
        <v>365.3822021484375</v>
      </c>
      <c r="F75">
        <v>763706</v>
      </c>
      <c r="G75">
        <v>0</v>
      </c>
      <c r="H75">
        <v>0</v>
      </c>
      <c r="N75">
        <v>387.65</v>
      </c>
    </row>
    <row r="76" spans="1:14" x14ac:dyDescent="0.25">
      <c r="A76" s="1">
        <v>43210</v>
      </c>
      <c r="B76">
        <v>364.39253700837111</v>
      </c>
      <c r="C76">
        <v>366.18338953115921</v>
      </c>
      <c r="D76">
        <v>360.43378615626574</v>
      </c>
      <c r="E76">
        <v>363.02581787109375</v>
      </c>
      <c r="F76">
        <v>420244</v>
      </c>
      <c r="G76">
        <v>0</v>
      </c>
      <c r="H76">
        <v>0</v>
      </c>
      <c r="N76">
        <v>385.15</v>
      </c>
    </row>
    <row r="77" spans="1:14" x14ac:dyDescent="0.25">
      <c r="A77" s="1">
        <v>43213</v>
      </c>
      <c r="B77">
        <v>364.76954436825059</v>
      </c>
      <c r="C77">
        <v>378.86078245884124</v>
      </c>
      <c r="D77">
        <v>363.92124885518905</v>
      </c>
      <c r="E77">
        <v>376.03311157226563</v>
      </c>
      <c r="F77">
        <v>2019759</v>
      </c>
      <c r="G77">
        <v>0</v>
      </c>
      <c r="H77">
        <v>0</v>
      </c>
      <c r="N77">
        <v>398.95</v>
      </c>
    </row>
    <row r="78" spans="1:14" x14ac:dyDescent="0.25">
      <c r="A78" s="1">
        <v>43214</v>
      </c>
      <c r="B78">
        <v>379.75624325455078</v>
      </c>
      <c r="C78">
        <v>385.22309159852665</v>
      </c>
      <c r="D78">
        <v>375.18483564587768</v>
      </c>
      <c r="E78">
        <v>381.641357421875</v>
      </c>
      <c r="F78">
        <v>1935854</v>
      </c>
      <c r="G78">
        <v>0</v>
      </c>
      <c r="H78">
        <v>0</v>
      </c>
      <c r="N78">
        <v>404.9</v>
      </c>
    </row>
    <row r="79" spans="1:14" x14ac:dyDescent="0.25">
      <c r="A79" s="1">
        <v>43215</v>
      </c>
      <c r="B79">
        <v>381.73559831307529</v>
      </c>
      <c r="C79">
        <v>383.997729439056</v>
      </c>
      <c r="D79">
        <v>376.17451757204327</v>
      </c>
      <c r="E79">
        <v>379.7091064453125</v>
      </c>
      <c r="F79">
        <v>490169</v>
      </c>
      <c r="G79">
        <v>0</v>
      </c>
      <c r="H79">
        <v>0</v>
      </c>
      <c r="N79">
        <v>402.85</v>
      </c>
    </row>
    <row r="80" spans="1:14" x14ac:dyDescent="0.25">
      <c r="A80" s="1">
        <v>43216</v>
      </c>
      <c r="B80">
        <v>383.24365166071414</v>
      </c>
      <c r="C80">
        <v>390.92548485061826</v>
      </c>
      <c r="D80">
        <v>379.70906319009373</v>
      </c>
      <c r="E80">
        <v>385.69430541992188</v>
      </c>
      <c r="F80">
        <v>2314175</v>
      </c>
      <c r="G80">
        <v>0</v>
      </c>
      <c r="H80">
        <v>0</v>
      </c>
      <c r="N80">
        <v>409.2</v>
      </c>
    </row>
    <row r="81" spans="1:14" x14ac:dyDescent="0.25">
      <c r="A81" s="1">
        <v>43217</v>
      </c>
      <c r="B81">
        <v>388.33348492048128</v>
      </c>
      <c r="C81">
        <v>391.82095733457055</v>
      </c>
      <c r="D81">
        <v>381.82984735797686</v>
      </c>
      <c r="E81">
        <v>383.24368286132813</v>
      </c>
      <c r="F81">
        <v>777849</v>
      </c>
      <c r="G81">
        <v>0</v>
      </c>
      <c r="H81">
        <v>0</v>
      </c>
      <c r="N81">
        <v>406.6</v>
      </c>
    </row>
    <row r="82" spans="1:14" x14ac:dyDescent="0.25">
      <c r="A82" s="1">
        <v>43220</v>
      </c>
      <c r="B82">
        <v>384.56326234274491</v>
      </c>
      <c r="C82">
        <v>391.01978365214609</v>
      </c>
      <c r="D82">
        <v>383.62070532719895</v>
      </c>
      <c r="E82">
        <v>388.66339111328125</v>
      </c>
      <c r="F82">
        <v>434665</v>
      </c>
      <c r="G82">
        <v>0</v>
      </c>
      <c r="H82">
        <v>0</v>
      </c>
      <c r="N82">
        <v>412.35</v>
      </c>
    </row>
    <row r="83" spans="1:14" x14ac:dyDescent="0.25">
      <c r="A83" s="1">
        <v>43222</v>
      </c>
      <c r="B83">
        <v>389.74733368295682</v>
      </c>
      <c r="C83">
        <v>392.66926624219769</v>
      </c>
      <c r="D83">
        <v>380.41602479630063</v>
      </c>
      <c r="E83">
        <v>383.008056640625</v>
      </c>
      <c r="F83">
        <v>632026</v>
      </c>
      <c r="G83">
        <v>0</v>
      </c>
      <c r="H83">
        <v>0</v>
      </c>
      <c r="N83">
        <v>406.35</v>
      </c>
    </row>
    <row r="84" spans="1:14" x14ac:dyDescent="0.25">
      <c r="A84" s="1">
        <v>43223</v>
      </c>
      <c r="B84">
        <v>383.57360330708747</v>
      </c>
      <c r="C84">
        <v>384.89317742522081</v>
      </c>
      <c r="D84">
        <v>369.0110853672316</v>
      </c>
      <c r="E84">
        <v>371.178955078125</v>
      </c>
      <c r="F84">
        <v>956102</v>
      </c>
      <c r="G84">
        <v>0</v>
      </c>
      <c r="H84">
        <v>0</v>
      </c>
      <c r="N84">
        <v>393.8</v>
      </c>
    </row>
    <row r="85" spans="1:14" x14ac:dyDescent="0.25">
      <c r="A85" s="1">
        <v>43224</v>
      </c>
      <c r="B85">
        <v>371.55599884079305</v>
      </c>
      <c r="C85">
        <v>371.83875444861889</v>
      </c>
      <c r="D85">
        <v>365.80639511034889</v>
      </c>
      <c r="E85">
        <v>367.03170776367188</v>
      </c>
      <c r="F85">
        <v>474198</v>
      </c>
      <c r="G85">
        <v>0</v>
      </c>
      <c r="H85">
        <v>0</v>
      </c>
      <c r="N85">
        <v>389.4</v>
      </c>
    </row>
    <row r="86" spans="1:14" x14ac:dyDescent="0.25">
      <c r="A86" s="1">
        <v>43227</v>
      </c>
      <c r="B86">
        <v>372.12148694041343</v>
      </c>
      <c r="C86">
        <v>383.62069368697587</v>
      </c>
      <c r="D86">
        <v>363.87411330463692</v>
      </c>
      <c r="E86">
        <v>368.77542114257813</v>
      </c>
      <c r="F86">
        <v>828317</v>
      </c>
      <c r="G86">
        <v>0</v>
      </c>
      <c r="H86">
        <v>0</v>
      </c>
      <c r="N86">
        <v>391.25</v>
      </c>
    </row>
    <row r="87" spans="1:14" x14ac:dyDescent="0.25">
      <c r="A87" s="1">
        <v>43228</v>
      </c>
      <c r="B87">
        <v>371.36744466145831</v>
      </c>
      <c r="C87">
        <v>374.57213259344297</v>
      </c>
      <c r="D87">
        <v>369.52944707165159</v>
      </c>
      <c r="E87">
        <v>371.13180541992188</v>
      </c>
      <c r="F87">
        <v>396090</v>
      </c>
      <c r="G87">
        <v>0</v>
      </c>
      <c r="H87">
        <v>0</v>
      </c>
      <c r="N87">
        <v>393.75</v>
      </c>
    </row>
    <row r="88" spans="1:14" x14ac:dyDescent="0.25">
      <c r="A88" s="1">
        <v>43229</v>
      </c>
      <c r="B88">
        <v>371.17892618976236</v>
      </c>
      <c r="C88">
        <v>379.28492194821456</v>
      </c>
      <c r="D88">
        <v>368.06849967020281</v>
      </c>
      <c r="E88">
        <v>377.35269165039063</v>
      </c>
      <c r="F88">
        <v>1128741</v>
      </c>
      <c r="G88">
        <v>0</v>
      </c>
      <c r="H88">
        <v>0</v>
      </c>
      <c r="N88">
        <v>400.35</v>
      </c>
    </row>
    <row r="89" spans="1:14" x14ac:dyDescent="0.25">
      <c r="A89" s="1">
        <v>43230</v>
      </c>
      <c r="B89">
        <v>379.8504997702953</v>
      </c>
      <c r="C89">
        <v>382.48964806436459</v>
      </c>
      <c r="D89">
        <v>369.01109344930677</v>
      </c>
      <c r="E89">
        <v>375.79751586914063</v>
      </c>
      <c r="F89">
        <v>1233147</v>
      </c>
      <c r="G89">
        <v>0</v>
      </c>
      <c r="H89">
        <v>0</v>
      </c>
      <c r="N89">
        <v>398.7</v>
      </c>
    </row>
    <row r="90" spans="1:14" x14ac:dyDescent="0.25">
      <c r="A90" s="1">
        <v>43231</v>
      </c>
      <c r="B90">
        <v>372.0272823522813</v>
      </c>
      <c r="C90">
        <v>375.46760986156761</v>
      </c>
      <c r="D90">
        <v>367.64436902029991</v>
      </c>
      <c r="E90">
        <v>370.80194091796875</v>
      </c>
      <c r="F90">
        <v>324055</v>
      </c>
      <c r="G90">
        <v>0</v>
      </c>
      <c r="H90">
        <v>0</v>
      </c>
      <c r="N90">
        <v>393.4</v>
      </c>
    </row>
    <row r="91" spans="1:14" x14ac:dyDescent="0.25">
      <c r="A91" s="1">
        <v>43234</v>
      </c>
      <c r="B91">
        <v>371.36744136779106</v>
      </c>
      <c r="C91">
        <v>375.13766919893612</v>
      </c>
      <c r="D91">
        <v>368.53977049443222</v>
      </c>
      <c r="E91">
        <v>369.85934448242188</v>
      </c>
      <c r="F91">
        <v>498737</v>
      </c>
      <c r="G91">
        <v>0</v>
      </c>
      <c r="H91">
        <v>0</v>
      </c>
      <c r="N91">
        <v>392.4</v>
      </c>
    </row>
    <row r="92" spans="1:14" x14ac:dyDescent="0.25">
      <c r="A92" s="1">
        <v>43235</v>
      </c>
      <c r="B92">
        <v>368.02139301714914</v>
      </c>
      <c r="C92">
        <v>371.46172032228964</v>
      </c>
      <c r="D92">
        <v>358.45441643311284</v>
      </c>
      <c r="E92">
        <v>362.27178955078125</v>
      </c>
      <c r="F92">
        <v>686987</v>
      </c>
      <c r="G92">
        <v>0</v>
      </c>
      <c r="H92">
        <v>0</v>
      </c>
      <c r="N92">
        <v>384.35</v>
      </c>
    </row>
    <row r="93" spans="1:14" x14ac:dyDescent="0.25">
      <c r="A93" s="1">
        <v>43236</v>
      </c>
      <c r="B93">
        <v>362.88445154825843</v>
      </c>
      <c r="C93">
        <v>362.88445154825843</v>
      </c>
      <c r="D93">
        <v>356.56930802847876</v>
      </c>
      <c r="E93">
        <v>361.94189453125</v>
      </c>
      <c r="F93">
        <v>576831</v>
      </c>
      <c r="G93">
        <v>0</v>
      </c>
      <c r="H93">
        <v>0</v>
      </c>
      <c r="N93">
        <v>384</v>
      </c>
    </row>
    <row r="94" spans="1:14" x14ac:dyDescent="0.25">
      <c r="A94" s="1">
        <v>43237</v>
      </c>
      <c r="B94">
        <v>362.88444497127585</v>
      </c>
      <c r="C94">
        <v>366.46615006516959</v>
      </c>
      <c r="D94">
        <v>360.05677397149969</v>
      </c>
      <c r="E94">
        <v>364.72244262695313</v>
      </c>
      <c r="F94">
        <v>335135</v>
      </c>
      <c r="G94">
        <v>0</v>
      </c>
      <c r="H94">
        <v>0</v>
      </c>
      <c r="N94">
        <v>386.95</v>
      </c>
    </row>
    <row r="95" spans="1:14" x14ac:dyDescent="0.25">
      <c r="A95" s="1">
        <v>43238</v>
      </c>
      <c r="B95">
        <v>364.72245729110398</v>
      </c>
      <c r="C95">
        <v>364.72245729110398</v>
      </c>
      <c r="D95">
        <v>339.88607359157874</v>
      </c>
      <c r="E95">
        <v>348.46334838867188</v>
      </c>
      <c r="F95">
        <v>2287807</v>
      </c>
      <c r="G95">
        <v>0</v>
      </c>
      <c r="H95">
        <v>0</v>
      </c>
      <c r="N95">
        <v>369.7</v>
      </c>
    </row>
    <row r="96" spans="1:14" x14ac:dyDescent="0.25">
      <c r="A96" s="1">
        <v>43241</v>
      </c>
      <c r="B96">
        <v>349.07600630216757</v>
      </c>
      <c r="C96">
        <v>350.91397527556728</v>
      </c>
      <c r="D96">
        <v>329.98922619923133</v>
      </c>
      <c r="E96">
        <v>332.864013671875</v>
      </c>
      <c r="F96">
        <v>909271</v>
      </c>
      <c r="G96">
        <v>0</v>
      </c>
      <c r="H96">
        <v>0</v>
      </c>
      <c r="N96">
        <v>353.15</v>
      </c>
    </row>
    <row r="97" spans="1:14" x14ac:dyDescent="0.25">
      <c r="A97" s="1">
        <v>43242</v>
      </c>
      <c r="B97">
        <v>332.86397757446503</v>
      </c>
      <c r="C97">
        <v>338.37794142581902</v>
      </c>
      <c r="D97">
        <v>321.60043940133585</v>
      </c>
      <c r="E97">
        <v>323.34414672851563</v>
      </c>
      <c r="F97">
        <v>897340</v>
      </c>
      <c r="G97">
        <v>0</v>
      </c>
      <c r="H97">
        <v>0</v>
      </c>
      <c r="N97">
        <v>343.05</v>
      </c>
    </row>
    <row r="98" spans="1:14" x14ac:dyDescent="0.25">
      <c r="A98" s="1">
        <v>43243</v>
      </c>
      <c r="B98">
        <v>324.61660977377375</v>
      </c>
      <c r="C98">
        <v>333.61804595898747</v>
      </c>
      <c r="D98">
        <v>322.92001875942168</v>
      </c>
      <c r="E98">
        <v>326.69024658203125</v>
      </c>
      <c r="F98">
        <v>676727</v>
      </c>
      <c r="G98">
        <v>0</v>
      </c>
      <c r="H98">
        <v>0</v>
      </c>
      <c r="N98">
        <v>346.6</v>
      </c>
    </row>
    <row r="99" spans="1:14" x14ac:dyDescent="0.25">
      <c r="A99" s="1">
        <v>43244</v>
      </c>
      <c r="B99">
        <v>328.33976339593147</v>
      </c>
      <c r="C99">
        <v>339.13202466457523</v>
      </c>
      <c r="D99">
        <v>328.33976339593147</v>
      </c>
      <c r="E99">
        <v>336.728515625</v>
      </c>
      <c r="F99">
        <v>737969</v>
      </c>
      <c r="G99">
        <v>0</v>
      </c>
      <c r="H99">
        <v>0</v>
      </c>
      <c r="N99">
        <v>357.25</v>
      </c>
    </row>
    <row r="100" spans="1:14" x14ac:dyDescent="0.25">
      <c r="A100" s="1">
        <v>43245</v>
      </c>
      <c r="B100">
        <v>344.03330823471549</v>
      </c>
      <c r="C100">
        <v>384.61037596041177</v>
      </c>
      <c r="D100">
        <v>331.78006711950644</v>
      </c>
      <c r="E100">
        <v>360.24530029296875</v>
      </c>
      <c r="F100">
        <v>4773225</v>
      </c>
      <c r="G100">
        <v>0</v>
      </c>
      <c r="H100">
        <v>0</v>
      </c>
      <c r="N100">
        <v>382.2</v>
      </c>
    </row>
    <row r="101" spans="1:14" x14ac:dyDescent="0.25">
      <c r="A101" s="1">
        <v>43248</v>
      </c>
      <c r="B101">
        <v>366.3719137177419</v>
      </c>
      <c r="C101">
        <v>366.3719137177419</v>
      </c>
      <c r="D101">
        <v>340.54582916607455</v>
      </c>
      <c r="E101">
        <v>348.22769165039063</v>
      </c>
      <c r="F101">
        <v>5315262</v>
      </c>
      <c r="G101">
        <v>0</v>
      </c>
      <c r="H101">
        <v>0</v>
      </c>
      <c r="N101">
        <v>369.45</v>
      </c>
    </row>
    <row r="102" spans="1:14" x14ac:dyDescent="0.25">
      <c r="A102" s="1">
        <v>43249</v>
      </c>
      <c r="B102">
        <v>351.47948940521604</v>
      </c>
      <c r="C102">
        <v>358.64292815142778</v>
      </c>
      <c r="D102">
        <v>344.50457355938727</v>
      </c>
      <c r="E102">
        <v>345.68276977539063</v>
      </c>
      <c r="F102">
        <v>1839175</v>
      </c>
      <c r="G102">
        <v>0</v>
      </c>
      <c r="H102">
        <v>0</v>
      </c>
      <c r="N102">
        <v>366.75</v>
      </c>
    </row>
    <row r="103" spans="1:14" x14ac:dyDescent="0.25">
      <c r="A103" s="1">
        <v>43250</v>
      </c>
      <c r="B103">
        <v>340.26305878308358</v>
      </c>
      <c r="C103">
        <v>350.3484296489583</v>
      </c>
      <c r="D103">
        <v>340.26305878308358</v>
      </c>
      <c r="E103">
        <v>346.38967895507813</v>
      </c>
      <c r="F103">
        <v>876255</v>
      </c>
      <c r="G103">
        <v>0</v>
      </c>
      <c r="H103">
        <v>0</v>
      </c>
      <c r="N103">
        <v>367.5</v>
      </c>
    </row>
    <row r="104" spans="1:14" x14ac:dyDescent="0.25">
      <c r="A104" s="1">
        <v>43251</v>
      </c>
      <c r="B104">
        <v>349.6415355924114</v>
      </c>
      <c r="C104">
        <v>349.6415355924114</v>
      </c>
      <c r="D104">
        <v>338.56649068604287</v>
      </c>
      <c r="E104">
        <v>340.54583740234375</v>
      </c>
      <c r="F104">
        <v>3116812</v>
      </c>
      <c r="G104">
        <v>0</v>
      </c>
      <c r="H104">
        <v>0</v>
      </c>
      <c r="N104">
        <v>361.3</v>
      </c>
    </row>
    <row r="105" spans="1:14" x14ac:dyDescent="0.25">
      <c r="A105" s="1">
        <v>43252</v>
      </c>
      <c r="B105">
        <v>340.54583743787123</v>
      </c>
      <c r="C105">
        <v>345.82416246585791</v>
      </c>
      <c r="D105">
        <v>331.544429465664</v>
      </c>
      <c r="E105">
        <v>332.72262573242188</v>
      </c>
      <c r="F105">
        <v>862303</v>
      </c>
      <c r="G105">
        <v>0</v>
      </c>
      <c r="H105">
        <v>0</v>
      </c>
      <c r="N105">
        <v>353</v>
      </c>
    </row>
    <row r="106" spans="1:14" x14ac:dyDescent="0.25">
      <c r="A106" s="1">
        <v>43255</v>
      </c>
      <c r="B106">
        <v>338.37798985567963</v>
      </c>
      <c r="C106">
        <v>339.27343058256986</v>
      </c>
      <c r="D106">
        <v>330.41337106773756</v>
      </c>
      <c r="E106">
        <v>331.78009033203125</v>
      </c>
      <c r="F106">
        <v>1306674</v>
      </c>
      <c r="G106">
        <v>0</v>
      </c>
      <c r="H106">
        <v>0</v>
      </c>
      <c r="N106">
        <v>352</v>
      </c>
    </row>
    <row r="107" spans="1:14" x14ac:dyDescent="0.25">
      <c r="A107" s="1">
        <v>43256</v>
      </c>
      <c r="B107">
        <v>331.78005907012198</v>
      </c>
      <c r="C107">
        <v>333.9479286320871</v>
      </c>
      <c r="D107">
        <v>324.23960318216461</v>
      </c>
      <c r="E107">
        <v>328.48110961914063</v>
      </c>
      <c r="F107">
        <v>666265</v>
      </c>
      <c r="G107">
        <v>0</v>
      </c>
      <c r="H107">
        <v>0</v>
      </c>
      <c r="N107">
        <v>348.5</v>
      </c>
    </row>
    <row r="108" spans="1:14" x14ac:dyDescent="0.25">
      <c r="A108" s="1">
        <v>43257</v>
      </c>
      <c r="B108">
        <v>328.95236824944135</v>
      </c>
      <c r="C108">
        <v>339.27337812870559</v>
      </c>
      <c r="D108">
        <v>325.88905822992649</v>
      </c>
      <c r="E108">
        <v>329.84780883789063</v>
      </c>
      <c r="F108">
        <v>1367479</v>
      </c>
      <c r="G108">
        <v>0</v>
      </c>
      <c r="H108">
        <v>0</v>
      </c>
      <c r="N108">
        <v>349.95</v>
      </c>
    </row>
    <row r="109" spans="1:14" x14ac:dyDescent="0.25">
      <c r="A109" s="1">
        <v>43258</v>
      </c>
      <c r="B109">
        <v>331.63871006861535</v>
      </c>
      <c r="C109">
        <v>337.43543028285313</v>
      </c>
      <c r="D109">
        <v>331.49733226135277</v>
      </c>
      <c r="E109">
        <v>335.4560546875</v>
      </c>
      <c r="F109">
        <v>612624</v>
      </c>
      <c r="G109">
        <v>0</v>
      </c>
      <c r="H109">
        <v>0</v>
      </c>
      <c r="N109">
        <v>355.9</v>
      </c>
    </row>
    <row r="110" spans="1:14" x14ac:dyDescent="0.25">
      <c r="A110" s="1">
        <v>43259</v>
      </c>
      <c r="B110">
        <v>336.49285448111704</v>
      </c>
      <c r="C110">
        <v>348.74609568070952</v>
      </c>
      <c r="D110">
        <v>334.13646194273383</v>
      </c>
      <c r="E110">
        <v>343.420654296875</v>
      </c>
      <c r="F110">
        <v>2145021</v>
      </c>
      <c r="G110">
        <v>0</v>
      </c>
      <c r="H110">
        <v>0</v>
      </c>
      <c r="N110">
        <v>364.35</v>
      </c>
    </row>
    <row r="111" spans="1:14" x14ac:dyDescent="0.25">
      <c r="A111" s="1">
        <v>43262</v>
      </c>
      <c r="B111">
        <v>344.12758438257345</v>
      </c>
      <c r="C111">
        <v>352.51633636673108</v>
      </c>
      <c r="D111">
        <v>344.12758438257345</v>
      </c>
      <c r="E111">
        <v>347.28515625</v>
      </c>
      <c r="F111">
        <v>1284875</v>
      </c>
      <c r="G111">
        <v>0</v>
      </c>
      <c r="H111">
        <v>0</v>
      </c>
      <c r="N111">
        <v>368.45</v>
      </c>
    </row>
    <row r="112" spans="1:14" x14ac:dyDescent="0.25">
      <c r="A112" s="1">
        <v>43263</v>
      </c>
      <c r="B112">
        <v>350.91397532907695</v>
      </c>
      <c r="C112">
        <v>361.04646353341536</v>
      </c>
      <c r="D112">
        <v>348.55758272341689</v>
      </c>
      <c r="E112">
        <v>358.36019897460938</v>
      </c>
      <c r="F112">
        <v>2425614</v>
      </c>
      <c r="G112">
        <v>0</v>
      </c>
      <c r="H112">
        <v>0</v>
      </c>
      <c r="N112">
        <v>380.2</v>
      </c>
    </row>
    <row r="113" spans="1:14" x14ac:dyDescent="0.25">
      <c r="A113" s="1">
        <v>43264</v>
      </c>
      <c r="B113">
        <v>361.70626822394667</v>
      </c>
      <c r="C113">
        <v>378.34239441670968</v>
      </c>
      <c r="D113">
        <v>360.43381045252727</v>
      </c>
      <c r="E113">
        <v>371.178955078125</v>
      </c>
      <c r="F113">
        <v>3551639</v>
      </c>
      <c r="G113">
        <v>0</v>
      </c>
      <c r="H113">
        <v>0</v>
      </c>
      <c r="N113">
        <v>393.8</v>
      </c>
    </row>
    <row r="114" spans="1:14" x14ac:dyDescent="0.25">
      <c r="A114" s="1">
        <v>43265</v>
      </c>
      <c r="B114">
        <v>371.650241743376</v>
      </c>
      <c r="C114">
        <v>380.55741757383805</v>
      </c>
      <c r="D114">
        <v>371.4146024755284</v>
      </c>
      <c r="E114">
        <v>375.79751586914063</v>
      </c>
      <c r="F114">
        <v>2696573</v>
      </c>
      <c r="G114">
        <v>0</v>
      </c>
      <c r="H114">
        <v>0</v>
      </c>
      <c r="N114">
        <v>398.7</v>
      </c>
    </row>
    <row r="115" spans="1:14" x14ac:dyDescent="0.25">
      <c r="A115" s="1">
        <v>43266</v>
      </c>
      <c r="B115">
        <v>371.36750178893504</v>
      </c>
      <c r="C115">
        <v>383.19658202791078</v>
      </c>
      <c r="D115">
        <v>371.13186251115019</v>
      </c>
      <c r="E115">
        <v>375.6090087890625</v>
      </c>
      <c r="F115">
        <v>3087095</v>
      </c>
      <c r="G115">
        <v>0</v>
      </c>
      <c r="H115">
        <v>0</v>
      </c>
      <c r="N115">
        <v>398.5</v>
      </c>
    </row>
    <row r="116" spans="1:14" x14ac:dyDescent="0.25">
      <c r="A116" s="1">
        <v>43269</v>
      </c>
      <c r="B116">
        <v>377.63542685833306</v>
      </c>
      <c r="C116">
        <v>381.35853822391886</v>
      </c>
      <c r="D116">
        <v>373.53529847504922</v>
      </c>
      <c r="E116">
        <v>377.49404907226563</v>
      </c>
      <c r="F116">
        <v>1020295</v>
      </c>
      <c r="G116">
        <v>0</v>
      </c>
      <c r="H116">
        <v>0</v>
      </c>
      <c r="N116">
        <v>400.5</v>
      </c>
    </row>
    <row r="117" spans="1:14" x14ac:dyDescent="0.25">
      <c r="A117" s="1">
        <v>43270</v>
      </c>
      <c r="B117">
        <v>379.28491387008131</v>
      </c>
      <c r="C117">
        <v>387.76792648590367</v>
      </c>
      <c r="D117">
        <v>373.2525550961854</v>
      </c>
      <c r="E117">
        <v>385.45867919921875</v>
      </c>
      <c r="F117">
        <v>2731032</v>
      </c>
      <c r="G117">
        <v>0</v>
      </c>
      <c r="H117">
        <v>0</v>
      </c>
      <c r="N117">
        <v>408.95</v>
      </c>
    </row>
    <row r="118" spans="1:14" x14ac:dyDescent="0.25">
      <c r="A118" s="1">
        <v>43271</v>
      </c>
      <c r="B118">
        <v>389.13466059820325</v>
      </c>
      <c r="C118">
        <v>389.70020054732913</v>
      </c>
      <c r="D118">
        <v>380.08610770585915</v>
      </c>
      <c r="E118">
        <v>388.14495849609375</v>
      </c>
      <c r="F118">
        <v>2069692</v>
      </c>
      <c r="G118">
        <v>0</v>
      </c>
      <c r="H118">
        <v>0</v>
      </c>
      <c r="N118">
        <v>411.8</v>
      </c>
    </row>
    <row r="119" spans="1:14" x14ac:dyDescent="0.25">
      <c r="A119" s="1">
        <v>43272</v>
      </c>
      <c r="B119">
        <v>389.27601229466882</v>
      </c>
      <c r="C119">
        <v>391.16112615565993</v>
      </c>
      <c r="D119">
        <v>385.55290091338941</v>
      </c>
      <c r="E119">
        <v>388.6162109375</v>
      </c>
      <c r="F119">
        <v>1535823</v>
      </c>
      <c r="G119">
        <v>0</v>
      </c>
      <c r="H119">
        <v>0</v>
      </c>
      <c r="N119">
        <v>412.3</v>
      </c>
    </row>
    <row r="120" spans="1:14" x14ac:dyDescent="0.25">
      <c r="A120" s="1">
        <v>43273</v>
      </c>
      <c r="B120">
        <v>387.43801272045096</v>
      </c>
      <c r="C120">
        <v>390.87836851016516</v>
      </c>
      <c r="D120">
        <v>382.30109473521537</v>
      </c>
      <c r="E120">
        <v>385.69430541992188</v>
      </c>
      <c r="F120">
        <v>1775883</v>
      </c>
      <c r="G120">
        <v>0</v>
      </c>
      <c r="H120">
        <v>0</v>
      </c>
      <c r="N120">
        <v>409.2</v>
      </c>
    </row>
    <row r="121" spans="1:14" x14ac:dyDescent="0.25">
      <c r="A121" s="1">
        <v>43276</v>
      </c>
      <c r="B121">
        <v>387.53231118880313</v>
      </c>
      <c r="C121">
        <v>398.51309466700195</v>
      </c>
      <c r="D121">
        <v>386.54263782830287</v>
      </c>
      <c r="E121">
        <v>388.66339111328125</v>
      </c>
      <c r="F121">
        <v>2310166</v>
      </c>
      <c r="G121">
        <v>0</v>
      </c>
      <c r="H121">
        <v>0</v>
      </c>
      <c r="N121">
        <v>412.35</v>
      </c>
    </row>
    <row r="122" spans="1:14" x14ac:dyDescent="0.25">
      <c r="A122" s="1">
        <v>43277</v>
      </c>
      <c r="B122">
        <v>388.28635750478975</v>
      </c>
      <c r="C122">
        <v>389.32314716603929</v>
      </c>
      <c r="D122">
        <v>378.38950926352464</v>
      </c>
      <c r="E122">
        <v>379.8033447265625</v>
      </c>
      <c r="F122">
        <v>826083</v>
      </c>
      <c r="G122">
        <v>0</v>
      </c>
      <c r="H122">
        <v>0</v>
      </c>
      <c r="N122">
        <v>402.95</v>
      </c>
    </row>
    <row r="123" spans="1:14" x14ac:dyDescent="0.25">
      <c r="A123" s="1">
        <v>43278</v>
      </c>
      <c r="B123">
        <v>380.79300716215414</v>
      </c>
      <c r="C123">
        <v>381.4056634257168</v>
      </c>
      <c r="D123">
        <v>360.62229421885206</v>
      </c>
      <c r="E123">
        <v>366.51327514648438</v>
      </c>
      <c r="F123">
        <v>1840808</v>
      </c>
      <c r="G123">
        <v>0</v>
      </c>
      <c r="H123">
        <v>0</v>
      </c>
      <c r="N123">
        <v>388.85</v>
      </c>
    </row>
    <row r="124" spans="1:14" x14ac:dyDescent="0.25">
      <c r="A124" s="1">
        <v>43279</v>
      </c>
      <c r="B124">
        <v>362.97872362227207</v>
      </c>
      <c r="C124">
        <v>375.04344228712603</v>
      </c>
      <c r="D124">
        <v>353.55315317643044</v>
      </c>
      <c r="E124">
        <v>356.33367919921875</v>
      </c>
      <c r="F124">
        <v>1740737</v>
      </c>
      <c r="G124">
        <v>0</v>
      </c>
      <c r="H124">
        <v>0</v>
      </c>
      <c r="N124">
        <v>378.05</v>
      </c>
    </row>
    <row r="125" spans="1:14" x14ac:dyDescent="0.25">
      <c r="A125" s="1">
        <v>43280</v>
      </c>
      <c r="B125">
        <v>361.94189029310542</v>
      </c>
      <c r="C125">
        <v>362.41316879609127</v>
      </c>
      <c r="D125">
        <v>350.91396181741453</v>
      </c>
      <c r="E125">
        <v>355.72100830078125</v>
      </c>
      <c r="F125">
        <v>1395303</v>
      </c>
      <c r="G125">
        <v>0</v>
      </c>
      <c r="H125">
        <v>0</v>
      </c>
      <c r="N125">
        <v>377.4</v>
      </c>
    </row>
    <row r="126" spans="1:14" x14ac:dyDescent="0.25">
      <c r="A126" s="1">
        <v>43283</v>
      </c>
      <c r="B126">
        <v>358.17168123819363</v>
      </c>
      <c r="C126">
        <v>365.94777694928604</v>
      </c>
      <c r="D126">
        <v>354.40145301463372</v>
      </c>
      <c r="E126">
        <v>363.7799072265625</v>
      </c>
      <c r="F126">
        <v>1260663</v>
      </c>
      <c r="G126">
        <v>0</v>
      </c>
      <c r="H126">
        <v>0</v>
      </c>
      <c r="N126">
        <v>385.95</v>
      </c>
    </row>
    <row r="127" spans="1:14" x14ac:dyDescent="0.25">
      <c r="A127" s="1">
        <v>43284</v>
      </c>
      <c r="B127">
        <v>363.82701776624111</v>
      </c>
      <c r="C127">
        <v>367.59724592962186</v>
      </c>
      <c r="D127">
        <v>359.01997110501907</v>
      </c>
      <c r="E127">
        <v>364.533935546875</v>
      </c>
      <c r="F127">
        <v>1220377</v>
      </c>
      <c r="G127">
        <v>0</v>
      </c>
      <c r="H127">
        <v>0</v>
      </c>
      <c r="N127">
        <v>386.75</v>
      </c>
    </row>
    <row r="128" spans="1:14" x14ac:dyDescent="0.25">
      <c r="A128" s="1">
        <v>43285</v>
      </c>
      <c r="B128">
        <v>365.90063181597765</v>
      </c>
      <c r="C128">
        <v>374.00659884726747</v>
      </c>
      <c r="D128">
        <v>365.90063181597765</v>
      </c>
      <c r="E128">
        <v>372.02725219726563</v>
      </c>
      <c r="F128">
        <v>1230554</v>
      </c>
      <c r="G128">
        <v>0</v>
      </c>
      <c r="H128">
        <v>0</v>
      </c>
      <c r="N128">
        <v>394.7</v>
      </c>
    </row>
    <row r="129" spans="1:14" x14ac:dyDescent="0.25">
      <c r="A129" s="1">
        <v>43286</v>
      </c>
      <c r="B129">
        <v>371.98011132633548</v>
      </c>
      <c r="C129">
        <v>376.97568064517338</v>
      </c>
      <c r="D129">
        <v>363.96837689031975</v>
      </c>
      <c r="E129">
        <v>365.09945678710938</v>
      </c>
      <c r="F129">
        <v>764807</v>
      </c>
      <c r="G129">
        <v>0</v>
      </c>
      <c r="H129">
        <v>0</v>
      </c>
      <c r="N129">
        <v>387.35</v>
      </c>
    </row>
    <row r="130" spans="1:14" x14ac:dyDescent="0.25">
      <c r="A130" s="1">
        <v>43287</v>
      </c>
      <c r="B130">
        <v>365.09948497101243</v>
      </c>
      <c r="C130">
        <v>368.44555104676698</v>
      </c>
      <c r="D130">
        <v>358.31306259550951</v>
      </c>
      <c r="E130">
        <v>359.72689819335938</v>
      </c>
      <c r="F130">
        <v>571315</v>
      </c>
      <c r="G130">
        <v>0</v>
      </c>
      <c r="H130">
        <v>0</v>
      </c>
      <c r="N130">
        <v>381.65</v>
      </c>
    </row>
    <row r="131" spans="1:14" x14ac:dyDescent="0.25">
      <c r="A131" s="1">
        <v>43290</v>
      </c>
      <c r="B131">
        <v>367.17308238215179</v>
      </c>
      <c r="C131">
        <v>369.10534156739243</v>
      </c>
      <c r="D131">
        <v>362.41318084950939</v>
      </c>
      <c r="E131">
        <v>365.75924682617188</v>
      </c>
      <c r="F131">
        <v>1028301</v>
      </c>
      <c r="G131">
        <v>0</v>
      </c>
      <c r="H131">
        <v>0</v>
      </c>
      <c r="N131">
        <v>388.05</v>
      </c>
    </row>
    <row r="132" spans="1:14" x14ac:dyDescent="0.25">
      <c r="A132" s="1">
        <v>43291</v>
      </c>
      <c r="B132">
        <v>367.59725091182423</v>
      </c>
      <c r="C132">
        <v>367.92715163350294</v>
      </c>
      <c r="D132">
        <v>357.70040184881361</v>
      </c>
      <c r="E132">
        <v>359.255615234375</v>
      </c>
      <c r="F132">
        <v>1364317</v>
      </c>
      <c r="G132">
        <v>0</v>
      </c>
      <c r="H132">
        <v>0</v>
      </c>
      <c r="N132">
        <v>381.15</v>
      </c>
    </row>
    <row r="133" spans="1:14" x14ac:dyDescent="0.25">
      <c r="A133" s="1">
        <v>43292</v>
      </c>
      <c r="B133">
        <v>359.11423000942341</v>
      </c>
      <c r="C133">
        <v>361.89478476597571</v>
      </c>
      <c r="D133">
        <v>348.13344631454032</v>
      </c>
      <c r="E133">
        <v>349.68865966796875</v>
      </c>
      <c r="F133">
        <v>1886667</v>
      </c>
      <c r="G133">
        <v>0</v>
      </c>
      <c r="H133">
        <v>0</v>
      </c>
      <c r="N133">
        <v>371</v>
      </c>
    </row>
    <row r="134" spans="1:14" x14ac:dyDescent="0.25">
      <c r="A134" s="1">
        <v>43293</v>
      </c>
      <c r="B134">
        <v>351.715153508306</v>
      </c>
      <c r="C134">
        <v>351.715153508306</v>
      </c>
      <c r="D134">
        <v>341.39417118534357</v>
      </c>
      <c r="E134">
        <v>344.787353515625</v>
      </c>
      <c r="F134">
        <v>2011261</v>
      </c>
      <c r="G134">
        <v>0</v>
      </c>
      <c r="H134">
        <v>0</v>
      </c>
      <c r="N134">
        <v>365.8</v>
      </c>
    </row>
    <row r="135" spans="1:14" x14ac:dyDescent="0.25">
      <c r="A135" s="1">
        <v>43294</v>
      </c>
      <c r="B135">
        <v>345.82416350169188</v>
      </c>
      <c r="C135">
        <v>348.08629458773123</v>
      </c>
      <c r="D135">
        <v>340.26308285884932</v>
      </c>
      <c r="E135">
        <v>345.07012939453125</v>
      </c>
      <c r="F135">
        <v>1103058</v>
      </c>
      <c r="G135">
        <v>0</v>
      </c>
      <c r="H135">
        <v>0</v>
      </c>
      <c r="N135">
        <v>366.1</v>
      </c>
    </row>
    <row r="136" spans="1:14" x14ac:dyDescent="0.25">
      <c r="A136" s="1">
        <v>43297</v>
      </c>
      <c r="B136">
        <v>344.36322818840557</v>
      </c>
      <c r="C136">
        <v>344.36322818840557</v>
      </c>
      <c r="D136">
        <v>328.0098574176867</v>
      </c>
      <c r="E136">
        <v>329.65933227539063</v>
      </c>
      <c r="F136">
        <v>1177909</v>
      </c>
      <c r="G136">
        <v>0</v>
      </c>
      <c r="H136">
        <v>0</v>
      </c>
      <c r="N136">
        <v>349.75</v>
      </c>
    </row>
    <row r="137" spans="1:14" x14ac:dyDescent="0.25">
      <c r="A137" s="1">
        <v>43298</v>
      </c>
      <c r="B137">
        <v>330.83749310992471</v>
      </c>
      <c r="C137">
        <v>344.03329055590461</v>
      </c>
      <c r="D137">
        <v>326.97300381926232</v>
      </c>
      <c r="E137">
        <v>339.46188354492188</v>
      </c>
      <c r="F137">
        <v>1486654</v>
      </c>
      <c r="G137">
        <v>0</v>
      </c>
      <c r="H137">
        <v>0</v>
      </c>
      <c r="N137">
        <v>360.15</v>
      </c>
    </row>
    <row r="138" spans="1:14" x14ac:dyDescent="0.25">
      <c r="A138" s="1">
        <v>43299</v>
      </c>
      <c r="B138">
        <v>341.11137318159484</v>
      </c>
      <c r="C138">
        <v>344.92874629742971</v>
      </c>
      <c r="D138">
        <v>328.5753765640992</v>
      </c>
      <c r="E138">
        <v>333.90081787109375</v>
      </c>
      <c r="F138">
        <v>2124458</v>
      </c>
      <c r="G138">
        <v>0</v>
      </c>
      <c r="H138">
        <v>0</v>
      </c>
      <c r="N138">
        <v>354.25</v>
      </c>
    </row>
    <row r="139" spans="1:14" x14ac:dyDescent="0.25">
      <c r="A139" s="1">
        <v>43300</v>
      </c>
      <c r="B139">
        <v>337.15266535821576</v>
      </c>
      <c r="C139">
        <v>337.15266535821576</v>
      </c>
      <c r="D139">
        <v>322.35450829610909</v>
      </c>
      <c r="E139">
        <v>323.81546020507813</v>
      </c>
      <c r="F139">
        <v>1718171</v>
      </c>
      <c r="G139">
        <v>0</v>
      </c>
      <c r="H139">
        <v>0</v>
      </c>
      <c r="N139">
        <v>343.55</v>
      </c>
    </row>
    <row r="140" spans="1:14" x14ac:dyDescent="0.25">
      <c r="A140" s="1">
        <v>43301</v>
      </c>
      <c r="B140">
        <v>322.77867424655881</v>
      </c>
      <c r="C140">
        <v>330.6490026260206</v>
      </c>
      <c r="D140">
        <v>313.63585932830983</v>
      </c>
      <c r="E140">
        <v>327.96273803710938</v>
      </c>
      <c r="F140">
        <v>3529076</v>
      </c>
      <c r="G140">
        <v>0</v>
      </c>
      <c r="H140">
        <v>0</v>
      </c>
      <c r="N140">
        <v>347.95</v>
      </c>
    </row>
    <row r="141" spans="1:14" x14ac:dyDescent="0.25">
      <c r="A141" s="1">
        <v>43304</v>
      </c>
      <c r="B141">
        <v>329.89491918212042</v>
      </c>
      <c r="C141">
        <v>340.16878376945277</v>
      </c>
      <c r="D141">
        <v>328.76383938196005</v>
      </c>
      <c r="E141">
        <v>338.80209350585938</v>
      </c>
      <c r="F141">
        <v>1337506</v>
      </c>
      <c r="G141">
        <v>0</v>
      </c>
      <c r="H141">
        <v>0</v>
      </c>
      <c r="N141">
        <v>359.45</v>
      </c>
    </row>
    <row r="142" spans="1:14" x14ac:dyDescent="0.25">
      <c r="A142" s="1">
        <v>43305</v>
      </c>
      <c r="B142">
        <v>339.1319605908954</v>
      </c>
      <c r="C142">
        <v>353.12893628720872</v>
      </c>
      <c r="D142">
        <v>338.94346646991852</v>
      </c>
      <c r="E142">
        <v>351.05532836914063</v>
      </c>
      <c r="F142">
        <v>1350661</v>
      </c>
      <c r="G142">
        <v>0</v>
      </c>
      <c r="H142">
        <v>0</v>
      </c>
      <c r="N142">
        <v>372.45</v>
      </c>
    </row>
    <row r="143" spans="1:14" x14ac:dyDescent="0.25">
      <c r="A143" s="1">
        <v>43306</v>
      </c>
      <c r="B143">
        <v>354.21289558544407</v>
      </c>
      <c r="C143">
        <v>355.95663172185402</v>
      </c>
      <c r="D143">
        <v>342.14817795138293</v>
      </c>
      <c r="E143">
        <v>343.98617553710938</v>
      </c>
      <c r="F143">
        <v>826018</v>
      </c>
      <c r="G143">
        <v>0</v>
      </c>
      <c r="H143">
        <v>0</v>
      </c>
      <c r="N143">
        <v>364.95</v>
      </c>
    </row>
    <row r="144" spans="1:14" x14ac:dyDescent="0.25">
      <c r="A144" s="1">
        <v>43307</v>
      </c>
      <c r="B144">
        <v>343.09073769726746</v>
      </c>
      <c r="C144">
        <v>352.46919107146294</v>
      </c>
      <c r="D144">
        <v>341.25274009663826</v>
      </c>
      <c r="E144">
        <v>349.78289794921875</v>
      </c>
      <c r="F144">
        <v>918675</v>
      </c>
      <c r="G144">
        <v>0</v>
      </c>
      <c r="H144">
        <v>0</v>
      </c>
      <c r="N144">
        <v>371.1</v>
      </c>
    </row>
    <row r="145" spans="1:14" x14ac:dyDescent="0.25">
      <c r="A145" s="1">
        <v>43308</v>
      </c>
      <c r="B145">
        <v>352.42206379563419</v>
      </c>
      <c r="C145">
        <v>355.34399630864328</v>
      </c>
      <c r="D145">
        <v>350.20704904716484</v>
      </c>
      <c r="E145">
        <v>352.0921630859375</v>
      </c>
      <c r="F145">
        <v>460475</v>
      </c>
      <c r="G145">
        <v>0</v>
      </c>
      <c r="H145">
        <v>0</v>
      </c>
      <c r="N145">
        <v>373.55</v>
      </c>
    </row>
    <row r="146" spans="1:14" x14ac:dyDescent="0.25">
      <c r="A146" s="1">
        <v>43311</v>
      </c>
      <c r="B146">
        <v>353.45887549027731</v>
      </c>
      <c r="C146">
        <v>361.75336559595974</v>
      </c>
      <c r="D146">
        <v>349.217368984394</v>
      </c>
      <c r="E146">
        <v>360.622314453125</v>
      </c>
      <c r="F146">
        <v>1361702</v>
      </c>
      <c r="G146">
        <v>0</v>
      </c>
      <c r="H146">
        <v>0</v>
      </c>
      <c r="N146">
        <v>382.6</v>
      </c>
    </row>
    <row r="147" spans="1:14" x14ac:dyDescent="0.25">
      <c r="A147" s="1">
        <v>43312</v>
      </c>
      <c r="B147">
        <v>363.19073608579072</v>
      </c>
      <c r="C147">
        <v>366.23477701327607</v>
      </c>
      <c r="D147">
        <v>359.24301637336112</v>
      </c>
      <c r="E147">
        <v>362.85781860351563</v>
      </c>
      <c r="F147">
        <v>1479853</v>
      </c>
      <c r="G147">
        <v>3.5</v>
      </c>
      <c r="H147">
        <v>0</v>
      </c>
      <c r="N147">
        <v>381.45</v>
      </c>
    </row>
    <row r="148" spans="1:14" x14ac:dyDescent="0.25">
      <c r="A148" s="1">
        <v>43313</v>
      </c>
      <c r="B148">
        <v>364.71273417935913</v>
      </c>
      <c r="C148">
        <v>366.23475454974653</v>
      </c>
      <c r="D148">
        <v>355.77090441975372</v>
      </c>
      <c r="E148">
        <v>359.10031127929688</v>
      </c>
      <c r="F148">
        <v>1438581</v>
      </c>
      <c r="G148">
        <v>0</v>
      </c>
      <c r="H148">
        <v>0</v>
      </c>
      <c r="N148">
        <v>377.5</v>
      </c>
    </row>
    <row r="149" spans="1:14" x14ac:dyDescent="0.25">
      <c r="A149" s="1">
        <v>43314</v>
      </c>
      <c r="B149">
        <v>360.52716952916029</v>
      </c>
      <c r="C149">
        <v>362.95286842449781</v>
      </c>
      <c r="D149">
        <v>356.29405526696718</v>
      </c>
      <c r="E149">
        <v>357.76852416992188</v>
      </c>
      <c r="F149">
        <v>1169194</v>
      </c>
      <c r="G149">
        <v>0</v>
      </c>
      <c r="H149">
        <v>0</v>
      </c>
      <c r="N149">
        <v>376.1</v>
      </c>
    </row>
    <row r="150" spans="1:14" x14ac:dyDescent="0.25">
      <c r="A150" s="1">
        <v>43315</v>
      </c>
      <c r="B150">
        <v>359.67105885096396</v>
      </c>
      <c r="C150">
        <v>363.95172465022932</v>
      </c>
      <c r="D150">
        <v>358.24417025120886</v>
      </c>
      <c r="E150">
        <v>358.9100341796875</v>
      </c>
      <c r="F150">
        <v>1430676</v>
      </c>
      <c r="G150">
        <v>0</v>
      </c>
      <c r="H150">
        <v>0</v>
      </c>
      <c r="N150">
        <v>377.3</v>
      </c>
    </row>
    <row r="151" spans="1:14" x14ac:dyDescent="0.25">
      <c r="A151" s="1">
        <v>43318</v>
      </c>
      <c r="B151">
        <v>362.19187211665854</v>
      </c>
      <c r="C151">
        <v>367.13843063614411</v>
      </c>
      <c r="D151">
        <v>359.14783163849489</v>
      </c>
      <c r="E151">
        <v>361.7637939453125</v>
      </c>
      <c r="F151">
        <v>1252886</v>
      </c>
      <c r="G151">
        <v>0</v>
      </c>
      <c r="H151">
        <v>0</v>
      </c>
      <c r="N151">
        <v>380.3</v>
      </c>
    </row>
    <row r="152" spans="1:14" x14ac:dyDescent="0.25">
      <c r="A152" s="1">
        <v>43319</v>
      </c>
      <c r="B152">
        <v>362.42970079876301</v>
      </c>
      <c r="C152">
        <v>363.28582814423163</v>
      </c>
      <c r="D152">
        <v>354.81962834104615</v>
      </c>
      <c r="E152">
        <v>355.62820434570313</v>
      </c>
      <c r="F152">
        <v>694292</v>
      </c>
      <c r="G152">
        <v>0</v>
      </c>
      <c r="H152">
        <v>0</v>
      </c>
      <c r="N152">
        <v>373.85</v>
      </c>
    </row>
    <row r="153" spans="1:14" x14ac:dyDescent="0.25">
      <c r="A153" s="1">
        <v>43320</v>
      </c>
      <c r="B153">
        <v>356.81733071660489</v>
      </c>
      <c r="C153">
        <v>361.52604632520797</v>
      </c>
      <c r="D153">
        <v>356.00875459286692</v>
      </c>
      <c r="E153">
        <v>357.38809204101563</v>
      </c>
      <c r="F153">
        <v>854788</v>
      </c>
      <c r="G153">
        <v>0</v>
      </c>
      <c r="H153">
        <v>0</v>
      </c>
      <c r="N153">
        <v>375.7</v>
      </c>
    </row>
    <row r="154" spans="1:14" x14ac:dyDescent="0.25">
      <c r="A154" s="1">
        <v>43321</v>
      </c>
      <c r="B154">
        <v>359.10028021675663</v>
      </c>
      <c r="C154">
        <v>362.81018459045515</v>
      </c>
      <c r="D154">
        <v>356.10382010838947</v>
      </c>
      <c r="E154">
        <v>360.09909057617188</v>
      </c>
      <c r="F154">
        <v>734073</v>
      </c>
      <c r="G154">
        <v>0</v>
      </c>
      <c r="H154">
        <v>0</v>
      </c>
      <c r="N154">
        <v>378.55</v>
      </c>
    </row>
    <row r="155" spans="1:14" x14ac:dyDescent="0.25">
      <c r="A155" s="1">
        <v>43322</v>
      </c>
      <c r="B155">
        <v>361.38329629227263</v>
      </c>
      <c r="C155">
        <v>362.52481872958566</v>
      </c>
      <c r="D155">
        <v>356.24650338460702</v>
      </c>
      <c r="E155">
        <v>358.767333984375</v>
      </c>
      <c r="F155">
        <v>833811</v>
      </c>
      <c r="G155">
        <v>0</v>
      </c>
      <c r="H155">
        <v>0</v>
      </c>
      <c r="N155">
        <v>377.15</v>
      </c>
    </row>
    <row r="156" spans="1:14" x14ac:dyDescent="0.25">
      <c r="A156" s="1">
        <v>43325</v>
      </c>
      <c r="B156">
        <v>354.91478278139749</v>
      </c>
      <c r="C156">
        <v>363.99929574751661</v>
      </c>
      <c r="D156">
        <v>333.89195046463624</v>
      </c>
      <c r="E156">
        <v>337.07867431640625</v>
      </c>
      <c r="F156">
        <v>5669251</v>
      </c>
      <c r="G156">
        <v>0</v>
      </c>
      <c r="H156">
        <v>0</v>
      </c>
      <c r="N156">
        <v>354.35</v>
      </c>
    </row>
    <row r="157" spans="1:14" x14ac:dyDescent="0.25">
      <c r="A157" s="1">
        <v>43326</v>
      </c>
      <c r="B157">
        <v>337.69695551255171</v>
      </c>
      <c r="C157">
        <v>339.5043418627917</v>
      </c>
      <c r="D157">
        <v>319.62303394990812</v>
      </c>
      <c r="E157">
        <v>323.42807006835938</v>
      </c>
      <c r="F157">
        <v>9581860</v>
      </c>
      <c r="G157">
        <v>0</v>
      </c>
      <c r="H157">
        <v>0</v>
      </c>
      <c r="N157">
        <v>340</v>
      </c>
    </row>
    <row r="158" spans="1:14" x14ac:dyDescent="0.25">
      <c r="A158" s="1">
        <v>43328</v>
      </c>
      <c r="B158">
        <v>326.28183018269101</v>
      </c>
      <c r="C158">
        <v>327.137957458779</v>
      </c>
      <c r="D158">
        <v>316.62655734045177</v>
      </c>
      <c r="E158">
        <v>323.61831665039063</v>
      </c>
      <c r="F158">
        <v>7445622</v>
      </c>
      <c r="G158">
        <v>0</v>
      </c>
      <c r="H158">
        <v>0</v>
      </c>
      <c r="N158">
        <v>340.2</v>
      </c>
    </row>
    <row r="159" spans="1:14" x14ac:dyDescent="0.25">
      <c r="A159" s="1">
        <v>43329</v>
      </c>
      <c r="B159">
        <v>327.2331278155616</v>
      </c>
      <c r="C159">
        <v>341.50201420286805</v>
      </c>
      <c r="D159">
        <v>327.2331278155616</v>
      </c>
      <c r="E159">
        <v>339.83731079101563</v>
      </c>
      <c r="F159">
        <v>6562996</v>
      </c>
      <c r="G159">
        <v>0</v>
      </c>
      <c r="H159">
        <v>0</v>
      </c>
      <c r="N159">
        <v>357.25</v>
      </c>
    </row>
    <row r="160" spans="1:14" x14ac:dyDescent="0.25">
      <c r="A160" s="1">
        <v>43332</v>
      </c>
      <c r="B160">
        <v>342.40567215972936</v>
      </c>
      <c r="C160">
        <v>367.13840496772968</v>
      </c>
      <c r="D160">
        <v>340.88365202705927</v>
      </c>
      <c r="E160">
        <v>359.05270385742188</v>
      </c>
      <c r="F160">
        <v>9299936</v>
      </c>
      <c r="G160">
        <v>0</v>
      </c>
      <c r="H160">
        <v>0</v>
      </c>
      <c r="N160">
        <v>377.45</v>
      </c>
    </row>
    <row r="161" spans="1:14" x14ac:dyDescent="0.25">
      <c r="A161" s="1">
        <v>43333</v>
      </c>
      <c r="B161">
        <v>361.2881531130825</v>
      </c>
      <c r="C161">
        <v>370.7056403466018</v>
      </c>
      <c r="D161">
        <v>352.96463694313809</v>
      </c>
      <c r="E161">
        <v>368.5653076171875</v>
      </c>
      <c r="F161">
        <v>4923042</v>
      </c>
      <c r="G161">
        <v>0</v>
      </c>
      <c r="H161">
        <v>0</v>
      </c>
      <c r="N161">
        <v>387.45</v>
      </c>
    </row>
    <row r="162" spans="1:14" x14ac:dyDescent="0.25">
      <c r="A162" s="1">
        <v>43335</v>
      </c>
      <c r="B162">
        <v>369.08853628983911</v>
      </c>
      <c r="C162">
        <v>377.64986831718073</v>
      </c>
      <c r="D162">
        <v>369.08853628983911</v>
      </c>
      <c r="E162">
        <v>372.37039184570313</v>
      </c>
      <c r="F162">
        <v>4299295</v>
      </c>
      <c r="G162">
        <v>0</v>
      </c>
      <c r="H162">
        <v>0</v>
      </c>
      <c r="N162">
        <v>391.45</v>
      </c>
    </row>
    <row r="163" spans="1:14" x14ac:dyDescent="0.25">
      <c r="A163" s="1">
        <v>43336</v>
      </c>
      <c r="B163">
        <v>371.65694719388273</v>
      </c>
      <c r="C163">
        <v>382.88179311924182</v>
      </c>
      <c r="D163">
        <v>362.61998561715529</v>
      </c>
      <c r="E163">
        <v>379.02920532226563</v>
      </c>
      <c r="F163">
        <v>3749033</v>
      </c>
      <c r="G163">
        <v>0</v>
      </c>
      <c r="H163">
        <v>0</v>
      </c>
      <c r="N163">
        <v>398.45</v>
      </c>
    </row>
    <row r="164" spans="1:14" x14ac:dyDescent="0.25">
      <c r="A164" s="1">
        <v>43339</v>
      </c>
      <c r="B164">
        <v>383.35737752351639</v>
      </c>
      <c r="C164">
        <v>384.87939773161906</v>
      </c>
      <c r="D164">
        <v>374.84359784984156</v>
      </c>
      <c r="E164">
        <v>376.84124755859375</v>
      </c>
      <c r="F164">
        <v>2542445</v>
      </c>
      <c r="G164">
        <v>0</v>
      </c>
      <c r="H164">
        <v>0</v>
      </c>
      <c r="N164">
        <v>396.15</v>
      </c>
    </row>
    <row r="165" spans="1:14" x14ac:dyDescent="0.25">
      <c r="A165" s="1">
        <v>43340</v>
      </c>
      <c r="B165">
        <v>378.60110066038857</v>
      </c>
      <c r="C165">
        <v>382.16832208620883</v>
      </c>
      <c r="D165">
        <v>373.79725408566622</v>
      </c>
      <c r="E165">
        <v>377.9827880859375</v>
      </c>
      <c r="F165">
        <v>2132696</v>
      </c>
      <c r="G165">
        <v>0</v>
      </c>
      <c r="H165">
        <v>0</v>
      </c>
      <c r="N165">
        <v>397.35</v>
      </c>
    </row>
    <row r="166" spans="1:14" x14ac:dyDescent="0.25">
      <c r="A166" s="1">
        <v>43341</v>
      </c>
      <c r="B166">
        <v>377.55471354063837</v>
      </c>
      <c r="C166">
        <v>379.36209994111084</v>
      </c>
      <c r="D166">
        <v>366.4250000029146</v>
      </c>
      <c r="E166">
        <v>368.27993774414063</v>
      </c>
      <c r="F166">
        <v>2530185</v>
      </c>
      <c r="G166">
        <v>0</v>
      </c>
      <c r="H166">
        <v>0</v>
      </c>
      <c r="N166">
        <v>387.15</v>
      </c>
    </row>
    <row r="167" spans="1:14" x14ac:dyDescent="0.25">
      <c r="A167" s="1">
        <v>43342</v>
      </c>
      <c r="B167">
        <v>367.94701736124017</v>
      </c>
      <c r="C167">
        <v>376.93642769045027</v>
      </c>
      <c r="D167">
        <v>365.28350342746472</v>
      </c>
      <c r="E167">
        <v>368.993408203125</v>
      </c>
      <c r="F167">
        <v>5005078</v>
      </c>
      <c r="G167">
        <v>0</v>
      </c>
      <c r="H167">
        <v>0</v>
      </c>
      <c r="N167">
        <v>387.9</v>
      </c>
    </row>
    <row r="168" spans="1:14" x14ac:dyDescent="0.25">
      <c r="A168" s="1">
        <v>43343</v>
      </c>
      <c r="B168">
        <v>371.08614715056473</v>
      </c>
      <c r="C168">
        <v>386.7819208808516</v>
      </c>
      <c r="D168">
        <v>371.08614715056473</v>
      </c>
      <c r="E168">
        <v>383.11956787109375</v>
      </c>
      <c r="F168">
        <v>4507525</v>
      </c>
      <c r="G168">
        <v>0</v>
      </c>
      <c r="H168">
        <v>0</v>
      </c>
      <c r="N168">
        <v>402.75</v>
      </c>
    </row>
    <row r="169" spans="1:14" x14ac:dyDescent="0.25">
      <c r="A169" s="1">
        <v>43346</v>
      </c>
      <c r="B169">
        <v>386.21116913971071</v>
      </c>
      <c r="C169">
        <v>399.81416176090784</v>
      </c>
      <c r="D169">
        <v>381.83537176215259</v>
      </c>
      <c r="E169">
        <v>385.68798828125</v>
      </c>
      <c r="F169">
        <v>5092585</v>
      </c>
      <c r="G169">
        <v>0</v>
      </c>
      <c r="H169">
        <v>0</v>
      </c>
      <c r="N169">
        <v>405.45</v>
      </c>
    </row>
    <row r="170" spans="1:14" x14ac:dyDescent="0.25">
      <c r="A170" s="1">
        <v>43347</v>
      </c>
      <c r="B170">
        <v>385.02212067749258</v>
      </c>
      <c r="C170">
        <v>389.73086483396111</v>
      </c>
      <c r="D170">
        <v>370.03978985434122</v>
      </c>
      <c r="E170">
        <v>373.416748046875</v>
      </c>
      <c r="F170">
        <v>2692159</v>
      </c>
      <c r="G170">
        <v>0</v>
      </c>
      <c r="H170">
        <v>0</v>
      </c>
      <c r="N170">
        <v>392.55</v>
      </c>
    </row>
    <row r="171" spans="1:14" x14ac:dyDescent="0.25">
      <c r="A171" s="1">
        <v>43348</v>
      </c>
      <c r="B171">
        <v>372.8935722746881</v>
      </c>
      <c r="C171">
        <v>387.16245896887261</v>
      </c>
      <c r="D171">
        <v>370.23005837049004</v>
      </c>
      <c r="E171">
        <v>382.35861206054688</v>
      </c>
      <c r="F171">
        <v>2737343</v>
      </c>
      <c r="G171">
        <v>0</v>
      </c>
      <c r="H171">
        <v>0</v>
      </c>
      <c r="N171">
        <v>401.95</v>
      </c>
    </row>
    <row r="172" spans="1:14" x14ac:dyDescent="0.25">
      <c r="A172" s="1">
        <v>43349</v>
      </c>
      <c r="B172">
        <v>385.4025850015625</v>
      </c>
      <c r="C172">
        <v>404.80826314586471</v>
      </c>
      <c r="D172">
        <v>380.74142162343975</v>
      </c>
      <c r="E172">
        <v>401.76425170898438</v>
      </c>
      <c r="F172">
        <v>5084800</v>
      </c>
      <c r="G172">
        <v>0</v>
      </c>
      <c r="H172">
        <v>0</v>
      </c>
      <c r="N172">
        <v>422.35</v>
      </c>
    </row>
    <row r="173" spans="1:14" x14ac:dyDescent="0.25">
      <c r="A173" s="1">
        <v>43350</v>
      </c>
      <c r="B173">
        <v>396.67502712196028</v>
      </c>
      <c r="C173">
        <v>410.37315174892433</v>
      </c>
      <c r="D173">
        <v>389.25521808280718</v>
      </c>
      <c r="E173">
        <v>405.23635864257813</v>
      </c>
      <c r="F173">
        <v>6929929</v>
      </c>
      <c r="G173">
        <v>0</v>
      </c>
      <c r="H173">
        <v>0</v>
      </c>
      <c r="N173">
        <v>426</v>
      </c>
    </row>
    <row r="174" spans="1:14" x14ac:dyDescent="0.25">
      <c r="A174" s="1">
        <v>43353</v>
      </c>
      <c r="B174">
        <v>403.28629732208213</v>
      </c>
      <c r="C174">
        <v>411.41955081870321</v>
      </c>
      <c r="D174">
        <v>396.86529855207925</v>
      </c>
      <c r="E174">
        <v>399.81417846679688</v>
      </c>
      <c r="F174">
        <v>2820252</v>
      </c>
      <c r="G174">
        <v>0</v>
      </c>
      <c r="H174">
        <v>0</v>
      </c>
      <c r="N174">
        <v>420.3</v>
      </c>
    </row>
    <row r="175" spans="1:14" x14ac:dyDescent="0.25">
      <c r="A175" s="1">
        <v>43354</v>
      </c>
      <c r="B175">
        <v>401.90694694725323</v>
      </c>
      <c r="C175">
        <v>406.18761265438377</v>
      </c>
      <c r="D175">
        <v>385.45017706300041</v>
      </c>
      <c r="E175">
        <v>388.96981811523438</v>
      </c>
      <c r="F175">
        <v>2532362</v>
      </c>
      <c r="G175">
        <v>0</v>
      </c>
      <c r="H175">
        <v>0</v>
      </c>
      <c r="N175">
        <v>408.9</v>
      </c>
    </row>
    <row r="176" spans="1:14" x14ac:dyDescent="0.25">
      <c r="A176" s="1">
        <v>43355</v>
      </c>
      <c r="B176">
        <v>390.96748634773377</v>
      </c>
      <c r="C176">
        <v>392.77487281436277</v>
      </c>
      <c r="D176">
        <v>380.17068986033001</v>
      </c>
      <c r="E176">
        <v>388.77960205078125</v>
      </c>
      <c r="F176">
        <v>2144506</v>
      </c>
      <c r="G176">
        <v>0</v>
      </c>
      <c r="H176">
        <v>0</v>
      </c>
      <c r="N176">
        <v>408.7</v>
      </c>
    </row>
    <row r="177" spans="1:14" x14ac:dyDescent="0.25">
      <c r="A177" s="1">
        <v>43357</v>
      </c>
      <c r="B177">
        <v>394.77250506390158</v>
      </c>
      <c r="C177">
        <v>399.52880030563534</v>
      </c>
      <c r="D177">
        <v>390.20647324388608</v>
      </c>
      <c r="E177">
        <v>391.63336181640625</v>
      </c>
      <c r="F177">
        <v>2471602</v>
      </c>
      <c r="G177">
        <v>0</v>
      </c>
      <c r="H177">
        <v>0</v>
      </c>
      <c r="N177">
        <v>411.7</v>
      </c>
    </row>
    <row r="178" spans="1:14" x14ac:dyDescent="0.25">
      <c r="A178" s="1">
        <v>43360</v>
      </c>
      <c r="B178">
        <v>391.87117137015071</v>
      </c>
      <c r="C178">
        <v>397.53114521451403</v>
      </c>
      <c r="D178">
        <v>388.20881827666744</v>
      </c>
      <c r="E178">
        <v>393.01266479492188</v>
      </c>
      <c r="F178">
        <v>1613138</v>
      </c>
      <c r="G178">
        <v>0</v>
      </c>
      <c r="H178">
        <v>0</v>
      </c>
      <c r="N178">
        <v>413.15</v>
      </c>
    </row>
    <row r="179" spans="1:14" x14ac:dyDescent="0.25">
      <c r="A179" s="1">
        <v>43361</v>
      </c>
      <c r="B179">
        <v>393.63096044507324</v>
      </c>
      <c r="C179">
        <v>399.52877782501463</v>
      </c>
      <c r="D179">
        <v>385.87820544330248</v>
      </c>
      <c r="E179">
        <v>388.541748046875</v>
      </c>
      <c r="F179">
        <v>1952399</v>
      </c>
      <c r="G179">
        <v>0</v>
      </c>
      <c r="H179">
        <v>0</v>
      </c>
      <c r="N179">
        <v>408.45</v>
      </c>
    </row>
    <row r="180" spans="1:14" x14ac:dyDescent="0.25">
      <c r="A180" s="1">
        <v>43362</v>
      </c>
      <c r="B180">
        <v>391.4430977101706</v>
      </c>
      <c r="C180">
        <v>393.82124532687885</v>
      </c>
      <c r="D180">
        <v>383.35739581336276</v>
      </c>
      <c r="E180">
        <v>387.6380615234375</v>
      </c>
      <c r="F180">
        <v>1515745</v>
      </c>
      <c r="G180">
        <v>0</v>
      </c>
      <c r="H180">
        <v>0</v>
      </c>
      <c r="N180">
        <v>407.5</v>
      </c>
    </row>
    <row r="181" spans="1:14" x14ac:dyDescent="0.25">
      <c r="A181" s="1">
        <v>43364</v>
      </c>
      <c r="B181">
        <v>390.96745424222217</v>
      </c>
      <c r="C181">
        <v>394.5822268786419</v>
      </c>
      <c r="D181">
        <v>348.87424292782237</v>
      </c>
      <c r="E181">
        <v>374.79605102539063</v>
      </c>
      <c r="F181">
        <v>3953672</v>
      </c>
      <c r="G181">
        <v>0</v>
      </c>
      <c r="H181">
        <v>0</v>
      </c>
      <c r="N181">
        <v>394</v>
      </c>
    </row>
    <row r="182" spans="1:14" x14ac:dyDescent="0.25">
      <c r="A182" s="1">
        <v>43367</v>
      </c>
      <c r="B182">
        <v>379.83769748746107</v>
      </c>
      <c r="C182">
        <v>379.83769748746107</v>
      </c>
      <c r="D182">
        <v>358.62463393567475</v>
      </c>
      <c r="E182">
        <v>366.28225708007813</v>
      </c>
      <c r="F182">
        <v>1864471</v>
      </c>
      <c r="G182">
        <v>0</v>
      </c>
      <c r="H182">
        <v>0</v>
      </c>
      <c r="N182">
        <v>385.05</v>
      </c>
    </row>
    <row r="183" spans="1:14" x14ac:dyDescent="0.25">
      <c r="A183" s="1">
        <v>43368</v>
      </c>
      <c r="B183">
        <v>367.85189353062833</v>
      </c>
      <c r="C183">
        <v>376.7937229716548</v>
      </c>
      <c r="D183">
        <v>363.42851563644621</v>
      </c>
      <c r="E183">
        <v>374.89120483398438</v>
      </c>
      <c r="F183">
        <v>1480341</v>
      </c>
      <c r="G183">
        <v>0</v>
      </c>
      <c r="H183">
        <v>0</v>
      </c>
      <c r="N183">
        <v>394.1</v>
      </c>
    </row>
    <row r="184" spans="1:14" x14ac:dyDescent="0.25">
      <c r="A184" s="1">
        <v>43369</v>
      </c>
      <c r="B184">
        <v>375.74734885464846</v>
      </c>
      <c r="C184">
        <v>384.11841741961371</v>
      </c>
      <c r="D184">
        <v>373.36920107708738</v>
      </c>
      <c r="E184">
        <v>379.695068359375</v>
      </c>
      <c r="F184">
        <v>1381815</v>
      </c>
      <c r="G184">
        <v>0</v>
      </c>
      <c r="H184">
        <v>0</v>
      </c>
      <c r="N184">
        <v>399.15</v>
      </c>
    </row>
    <row r="185" spans="1:14" x14ac:dyDescent="0.25">
      <c r="A185" s="1">
        <v>43370</v>
      </c>
      <c r="B185">
        <v>381.45487792419902</v>
      </c>
      <c r="C185">
        <v>382.92931783529855</v>
      </c>
      <c r="D185">
        <v>367.23354355662201</v>
      </c>
      <c r="E185">
        <v>369.99221801757813</v>
      </c>
      <c r="F185">
        <v>1521608</v>
      </c>
      <c r="G185">
        <v>0</v>
      </c>
      <c r="H185">
        <v>0</v>
      </c>
      <c r="N185">
        <v>388.95</v>
      </c>
    </row>
    <row r="186" spans="1:14" x14ac:dyDescent="0.25">
      <c r="A186" s="1">
        <v>43371</v>
      </c>
      <c r="B186">
        <v>369.61167794444839</v>
      </c>
      <c r="C186">
        <v>375.3668123920329</v>
      </c>
      <c r="D186">
        <v>353.39272338241818</v>
      </c>
      <c r="E186">
        <v>367.138427734375</v>
      </c>
      <c r="F186">
        <v>1928644</v>
      </c>
      <c r="G186">
        <v>0</v>
      </c>
      <c r="H186">
        <v>0</v>
      </c>
      <c r="N186">
        <v>385.95</v>
      </c>
    </row>
    <row r="187" spans="1:14" x14ac:dyDescent="0.25">
      <c r="A187" s="1">
        <v>43374</v>
      </c>
      <c r="B187">
        <v>366.23473245897054</v>
      </c>
      <c r="C187">
        <v>379.40967604306445</v>
      </c>
      <c r="D187">
        <v>358.14903057351273</v>
      </c>
      <c r="E187">
        <v>377.31689453125</v>
      </c>
      <c r="F187">
        <v>1593399</v>
      </c>
      <c r="G187">
        <v>0</v>
      </c>
      <c r="H187">
        <v>0</v>
      </c>
      <c r="N187">
        <v>396.65</v>
      </c>
    </row>
    <row r="188" spans="1:14" x14ac:dyDescent="0.25">
      <c r="A188" s="1">
        <v>43376</v>
      </c>
      <c r="B188">
        <v>378.60110408850318</v>
      </c>
      <c r="C188">
        <v>384.30865842149569</v>
      </c>
      <c r="D188">
        <v>371.08616335608752</v>
      </c>
      <c r="E188">
        <v>374.60580444335938</v>
      </c>
      <c r="F188">
        <v>1831607</v>
      </c>
      <c r="G188">
        <v>0</v>
      </c>
      <c r="H188">
        <v>0</v>
      </c>
      <c r="N188">
        <v>393.8</v>
      </c>
    </row>
    <row r="189" spans="1:14" x14ac:dyDescent="0.25">
      <c r="A189" s="1">
        <v>43377</v>
      </c>
      <c r="B189">
        <v>367.32868333320533</v>
      </c>
      <c r="C189">
        <v>372.8935546875</v>
      </c>
      <c r="D189">
        <v>357.95877570658922</v>
      </c>
      <c r="E189">
        <v>364.57003784179688</v>
      </c>
      <c r="F189">
        <v>1613796</v>
      </c>
      <c r="G189">
        <v>0</v>
      </c>
      <c r="H189">
        <v>0</v>
      </c>
      <c r="N189">
        <v>383.25</v>
      </c>
    </row>
    <row r="190" spans="1:14" x14ac:dyDescent="0.25">
      <c r="A190" s="1">
        <v>43378</v>
      </c>
      <c r="B190">
        <v>368.70802089873519</v>
      </c>
      <c r="C190">
        <v>370.46785598216309</v>
      </c>
      <c r="D190">
        <v>357.67340989385758</v>
      </c>
      <c r="E190">
        <v>359.90887451171875</v>
      </c>
      <c r="F190">
        <v>1804396</v>
      </c>
      <c r="G190">
        <v>0</v>
      </c>
      <c r="H190">
        <v>0</v>
      </c>
      <c r="N190">
        <v>378.35</v>
      </c>
    </row>
    <row r="191" spans="1:14" x14ac:dyDescent="0.25">
      <c r="A191" s="1">
        <v>43381</v>
      </c>
      <c r="B191">
        <v>356.72213720343365</v>
      </c>
      <c r="C191">
        <v>362.38214005911016</v>
      </c>
      <c r="D191">
        <v>352.72683765470646</v>
      </c>
      <c r="E191">
        <v>358.05389404296875</v>
      </c>
      <c r="F191">
        <v>1441264</v>
      </c>
      <c r="G191">
        <v>0</v>
      </c>
      <c r="H191">
        <v>0</v>
      </c>
      <c r="N191">
        <v>376.4</v>
      </c>
    </row>
    <row r="192" spans="1:14" x14ac:dyDescent="0.25">
      <c r="A192" s="1">
        <v>43382</v>
      </c>
      <c r="B192">
        <v>354.91478176879656</v>
      </c>
      <c r="C192">
        <v>367.13846720795362</v>
      </c>
      <c r="D192">
        <v>353.39276137810151</v>
      </c>
      <c r="E192">
        <v>362.38217163085938</v>
      </c>
      <c r="F192">
        <v>1617720</v>
      </c>
      <c r="G192">
        <v>0</v>
      </c>
      <c r="H192">
        <v>0</v>
      </c>
      <c r="N192">
        <v>380.95</v>
      </c>
    </row>
    <row r="193" spans="1:14" x14ac:dyDescent="0.25">
      <c r="A193" s="1">
        <v>43383</v>
      </c>
      <c r="B193">
        <v>362.38215731943063</v>
      </c>
      <c r="C193">
        <v>368.89825877861216</v>
      </c>
      <c r="D193">
        <v>358.48198929421642</v>
      </c>
      <c r="E193">
        <v>366.52011108398438</v>
      </c>
      <c r="F193">
        <v>1210563</v>
      </c>
      <c r="G193">
        <v>0</v>
      </c>
      <c r="H193">
        <v>0</v>
      </c>
      <c r="N193">
        <v>385.3</v>
      </c>
    </row>
    <row r="194" spans="1:14" x14ac:dyDescent="0.25">
      <c r="A194" s="1">
        <v>43384</v>
      </c>
      <c r="B194">
        <v>358.481963371755</v>
      </c>
      <c r="C194">
        <v>363.66630755308057</v>
      </c>
      <c r="D194">
        <v>352.63172627203625</v>
      </c>
      <c r="E194">
        <v>356.1513671875</v>
      </c>
      <c r="F194">
        <v>1155902</v>
      </c>
      <c r="G194">
        <v>0</v>
      </c>
      <c r="H194">
        <v>0</v>
      </c>
      <c r="N194">
        <v>374.4</v>
      </c>
    </row>
    <row r="195" spans="1:14" x14ac:dyDescent="0.25">
      <c r="A195" s="1">
        <v>43385</v>
      </c>
      <c r="B195">
        <v>358.6247032552111</v>
      </c>
      <c r="C195">
        <v>363.33344770841069</v>
      </c>
      <c r="D195">
        <v>356.05629191162478</v>
      </c>
      <c r="E195">
        <v>358.52957153320313</v>
      </c>
      <c r="F195">
        <v>761788</v>
      </c>
      <c r="G195">
        <v>0</v>
      </c>
      <c r="H195">
        <v>0</v>
      </c>
      <c r="N195">
        <v>376.9</v>
      </c>
    </row>
    <row r="196" spans="1:14" x14ac:dyDescent="0.25">
      <c r="A196" s="1">
        <v>43388</v>
      </c>
      <c r="B196">
        <v>357.76854588608222</v>
      </c>
      <c r="C196">
        <v>367.13845363251784</v>
      </c>
      <c r="D196">
        <v>357.19778463191068</v>
      </c>
      <c r="E196">
        <v>364.18954467773438</v>
      </c>
      <c r="F196">
        <v>831107</v>
      </c>
      <c r="G196">
        <v>0</v>
      </c>
      <c r="H196">
        <v>0</v>
      </c>
      <c r="N196">
        <v>382.85</v>
      </c>
    </row>
    <row r="197" spans="1:14" x14ac:dyDescent="0.25">
      <c r="A197" s="1">
        <v>43389</v>
      </c>
      <c r="B197">
        <v>365.18835423283355</v>
      </c>
      <c r="C197">
        <v>368.51776100578485</v>
      </c>
      <c r="D197">
        <v>357.19778378377509</v>
      </c>
      <c r="E197">
        <v>361.5260009765625</v>
      </c>
      <c r="F197">
        <v>1993018</v>
      </c>
      <c r="G197">
        <v>0</v>
      </c>
      <c r="H197">
        <v>0</v>
      </c>
      <c r="N197">
        <v>380.05</v>
      </c>
    </row>
    <row r="198" spans="1:14" x14ac:dyDescent="0.25">
      <c r="A198" s="1">
        <v>43390</v>
      </c>
      <c r="B198">
        <v>366.13961778059223</v>
      </c>
      <c r="C198">
        <v>366.13961778059223</v>
      </c>
      <c r="D198">
        <v>357.67341768918675</v>
      </c>
      <c r="E198">
        <v>359.14785766601563</v>
      </c>
      <c r="F198">
        <v>816462</v>
      </c>
      <c r="G198">
        <v>0</v>
      </c>
      <c r="H198">
        <v>0</v>
      </c>
      <c r="N198">
        <v>377.55</v>
      </c>
    </row>
    <row r="199" spans="1:14" x14ac:dyDescent="0.25">
      <c r="A199" s="1">
        <v>43392</v>
      </c>
      <c r="B199">
        <v>358.52953253341207</v>
      </c>
      <c r="C199">
        <v>362.23943704716419</v>
      </c>
      <c r="D199">
        <v>348.16081462518912</v>
      </c>
      <c r="E199">
        <v>353.63055419921875</v>
      </c>
      <c r="F199">
        <v>893281</v>
      </c>
      <c r="G199">
        <v>0</v>
      </c>
      <c r="H199">
        <v>0</v>
      </c>
      <c r="N199">
        <v>371.75</v>
      </c>
    </row>
    <row r="200" spans="1:14" x14ac:dyDescent="0.25">
      <c r="A200" s="1">
        <v>43395</v>
      </c>
      <c r="B200">
        <v>355.39040237417987</v>
      </c>
      <c r="C200">
        <v>359.57593657056384</v>
      </c>
      <c r="D200">
        <v>353.01225464553858</v>
      </c>
      <c r="E200">
        <v>354.81964111328125</v>
      </c>
      <c r="F200">
        <v>711671</v>
      </c>
      <c r="G200">
        <v>0</v>
      </c>
      <c r="H200">
        <v>0</v>
      </c>
      <c r="N200">
        <v>373</v>
      </c>
    </row>
    <row r="201" spans="1:14" x14ac:dyDescent="0.25">
      <c r="A201" s="1">
        <v>43396</v>
      </c>
      <c r="B201">
        <v>351.490238457484</v>
      </c>
      <c r="C201">
        <v>362.23945470624511</v>
      </c>
      <c r="D201">
        <v>349.49258853573332</v>
      </c>
      <c r="E201">
        <v>359.10031127929688</v>
      </c>
      <c r="F201">
        <v>991239</v>
      </c>
      <c r="G201">
        <v>0</v>
      </c>
      <c r="H201">
        <v>0</v>
      </c>
      <c r="N201">
        <v>377.5</v>
      </c>
    </row>
    <row r="202" spans="1:14" x14ac:dyDescent="0.25">
      <c r="A202" s="1">
        <v>43397</v>
      </c>
      <c r="B202">
        <v>359.33811725781231</v>
      </c>
      <c r="C202">
        <v>362.33457755201829</v>
      </c>
      <c r="D202">
        <v>334.98587901816757</v>
      </c>
      <c r="E202">
        <v>340.21780395507813</v>
      </c>
      <c r="F202">
        <v>2748450</v>
      </c>
      <c r="G202">
        <v>0</v>
      </c>
      <c r="H202">
        <v>0</v>
      </c>
      <c r="N202">
        <v>357.65</v>
      </c>
    </row>
    <row r="203" spans="1:14" x14ac:dyDescent="0.25">
      <c r="A203" s="1">
        <v>43398</v>
      </c>
      <c r="B203">
        <v>336.41278233964761</v>
      </c>
      <c r="C203">
        <v>336.74572883802648</v>
      </c>
      <c r="D203">
        <v>322.47684202285586</v>
      </c>
      <c r="E203">
        <v>324.093994140625</v>
      </c>
      <c r="F203">
        <v>2926363</v>
      </c>
      <c r="G203">
        <v>0</v>
      </c>
      <c r="H203">
        <v>0</v>
      </c>
      <c r="N203">
        <v>340.7</v>
      </c>
    </row>
    <row r="204" spans="1:14" x14ac:dyDescent="0.25">
      <c r="A204" s="1">
        <v>43399</v>
      </c>
      <c r="B204">
        <v>325.33060098193522</v>
      </c>
      <c r="C204">
        <v>329.13563725072976</v>
      </c>
      <c r="D204">
        <v>316.05582507674848</v>
      </c>
      <c r="E204">
        <v>320.95480346679688</v>
      </c>
      <c r="F204">
        <v>1686930</v>
      </c>
      <c r="G204">
        <v>0</v>
      </c>
      <c r="H204">
        <v>0</v>
      </c>
      <c r="N204">
        <v>337.4</v>
      </c>
    </row>
    <row r="205" spans="1:14" x14ac:dyDescent="0.25">
      <c r="A205" s="1">
        <v>43402</v>
      </c>
      <c r="B205">
        <v>323.42810863068587</v>
      </c>
      <c r="C205">
        <v>333.84440785893014</v>
      </c>
      <c r="D205">
        <v>323.42810863068587</v>
      </c>
      <c r="E205">
        <v>331.98944091796875</v>
      </c>
      <c r="F205">
        <v>1283870</v>
      </c>
      <c r="G205">
        <v>0</v>
      </c>
      <c r="H205">
        <v>0</v>
      </c>
      <c r="N205">
        <v>349</v>
      </c>
    </row>
    <row r="206" spans="1:14" x14ac:dyDescent="0.25">
      <c r="A206" s="1">
        <v>43403</v>
      </c>
      <c r="B206">
        <v>334.27243071741287</v>
      </c>
      <c r="C206">
        <v>340.07511683872764</v>
      </c>
      <c r="D206">
        <v>330.22957967807139</v>
      </c>
      <c r="E206">
        <v>331.27597045898438</v>
      </c>
      <c r="F206">
        <v>1091197</v>
      </c>
      <c r="G206">
        <v>0</v>
      </c>
      <c r="H206">
        <v>0</v>
      </c>
      <c r="N206">
        <v>348.25</v>
      </c>
    </row>
    <row r="207" spans="1:14" x14ac:dyDescent="0.25">
      <c r="A207" s="1">
        <v>43404</v>
      </c>
      <c r="B207">
        <v>331.9894226350338</v>
      </c>
      <c r="C207">
        <v>343.40453172277137</v>
      </c>
      <c r="D207">
        <v>331.9894226350338</v>
      </c>
      <c r="E207">
        <v>342.50082397460938</v>
      </c>
      <c r="F207">
        <v>1207102</v>
      </c>
      <c r="G207">
        <v>0</v>
      </c>
      <c r="H207">
        <v>0</v>
      </c>
      <c r="N207">
        <v>360.05</v>
      </c>
    </row>
    <row r="208" spans="1:14" x14ac:dyDescent="0.25">
      <c r="A208" s="1">
        <v>43405</v>
      </c>
      <c r="B208">
        <v>344.49846979252192</v>
      </c>
      <c r="C208">
        <v>347.87545694240549</v>
      </c>
      <c r="D208">
        <v>339.78975476765015</v>
      </c>
      <c r="E208">
        <v>341.88250732421875</v>
      </c>
      <c r="F208">
        <v>1176169</v>
      </c>
      <c r="G208">
        <v>0</v>
      </c>
      <c r="H208">
        <v>0</v>
      </c>
      <c r="N208">
        <v>359.4</v>
      </c>
    </row>
    <row r="209" spans="1:14" x14ac:dyDescent="0.25">
      <c r="A209" s="1">
        <v>43406</v>
      </c>
      <c r="B209">
        <v>342.45328667549921</v>
      </c>
      <c r="C209">
        <v>347.97057801544344</v>
      </c>
      <c r="D209">
        <v>339.02874800271928</v>
      </c>
      <c r="E209">
        <v>341.35934448242188</v>
      </c>
      <c r="F209">
        <v>803123</v>
      </c>
      <c r="G209">
        <v>0</v>
      </c>
      <c r="H209">
        <v>0</v>
      </c>
      <c r="N209">
        <v>358.85</v>
      </c>
    </row>
    <row r="210" spans="1:14" x14ac:dyDescent="0.25">
      <c r="A210" s="1">
        <v>43409</v>
      </c>
      <c r="B210">
        <v>332.8455469249111</v>
      </c>
      <c r="C210">
        <v>345.97293967218468</v>
      </c>
      <c r="D210">
        <v>331.13329218967357</v>
      </c>
      <c r="E210">
        <v>342.88134765625</v>
      </c>
      <c r="F210">
        <v>1284370</v>
      </c>
      <c r="G210">
        <v>0</v>
      </c>
      <c r="H210">
        <v>0</v>
      </c>
      <c r="N210">
        <v>360.45</v>
      </c>
    </row>
    <row r="211" spans="1:14" x14ac:dyDescent="0.25">
      <c r="A211" s="1">
        <v>43410</v>
      </c>
      <c r="B211">
        <v>344.35576011554247</v>
      </c>
      <c r="C211">
        <v>346.59122458530015</v>
      </c>
      <c r="D211">
        <v>330.18200673449047</v>
      </c>
      <c r="E211">
        <v>333.178466796875</v>
      </c>
      <c r="F211">
        <v>1107634</v>
      </c>
      <c r="G211">
        <v>0</v>
      </c>
      <c r="H211">
        <v>0</v>
      </c>
      <c r="N211">
        <v>350.25</v>
      </c>
    </row>
    <row r="212" spans="1:14" x14ac:dyDescent="0.25">
      <c r="A212" s="1">
        <v>43411</v>
      </c>
      <c r="B212">
        <v>333.178466796875</v>
      </c>
      <c r="C212">
        <v>333.178466796875</v>
      </c>
      <c r="D212">
        <v>333.178466796875</v>
      </c>
      <c r="E212">
        <v>333.178466796875</v>
      </c>
      <c r="F212">
        <v>0</v>
      </c>
      <c r="G212">
        <v>0</v>
      </c>
      <c r="H212">
        <v>0</v>
      </c>
      <c r="N212">
        <v>355</v>
      </c>
    </row>
    <row r="213" spans="1:14" x14ac:dyDescent="0.25">
      <c r="A213" s="1">
        <v>43413</v>
      </c>
      <c r="B213">
        <v>333.51145628935899</v>
      </c>
      <c r="C213">
        <v>344.73630239466036</v>
      </c>
      <c r="D213">
        <v>333.51145628935899</v>
      </c>
      <c r="E213">
        <v>342.69110107421875</v>
      </c>
      <c r="F213">
        <v>787891</v>
      </c>
      <c r="G213">
        <v>0</v>
      </c>
      <c r="H213">
        <v>0</v>
      </c>
      <c r="N213">
        <v>360.25</v>
      </c>
    </row>
    <row r="214" spans="1:14" x14ac:dyDescent="0.25">
      <c r="A214" s="1">
        <v>43416</v>
      </c>
      <c r="B214">
        <v>342.45327392258474</v>
      </c>
      <c r="C214">
        <v>347.97056505706576</v>
      </c>
      <c r="D214">
        <v>337.26890024698497</v>
      </c>
      <c r="E214">
        <v>338.8385009765625</v>
      </c>
      <c r="F214">
        <v>746695</v>
      </c>
      <c r="G214">
        <v>0</v>
      </c>
      <c r="H214">
        <v>0</v>
      </c>
      <c r="N214">
        <v>356.2</v>
      </c>
    </row>
    <row r="215" spans="1:14" x14ac:dyDescent="0.25">
      <c r="A215" s="1">
        <v>43417</v>
      </c>
      <c r="B215">
        <v>336.74570516393857</v>
      </c>
      <c r="C215">
        <v>341.02637090754797</v>
      </c>
      <c r="D215">
        <v>331.98940989326144</v>
      </c>
      <c r="E215">
        <v>337.98233032226563</v>
      </c>
      <c r="F215">
        <v>529106</v>
      </c>
      <c r="G215">
        <v>0</v>
      </c>
      <c r="H215">
        <v>0</v>
      </c>
      <c r="N215">
        <v>355.3</v>
      </c>
    </row>
    <row r="216" spans="1:14" x14ac:dyDescent="0.25">
      <c r="A216" s="1">
        <v>43418</v>
      </c>
      <c r="B216">
        <v>337.69701143143061</v>
      </c>
      <c r="C216">
        <v>357.1026930428734</v>
      </c>
      <c r="D216">
        <v>337.69701143143061</v>
      </c>
      <c r="E216">
        <v>353.107421875</v>
      </c>
      <c r="F216">
        <v>1816372</v>
      </c>
      <c r="G216">
        <v>0</v>
      </c>
      <c r="H216">
        <v>0</v>
      </c>
      <c r="N216">
        <v>371.2</v>
      </c>
    </row>
    <row r="217" spans="1:14" x14ac:dyDescent="0.25">
      <c r="A217" s="1">
        <v>43419</v>
      </c>
      <c r="B217">
        <v>353.2500420992655</v>
      </c>
      <c r="C217">
        <v>353.39272514592466</v>
      </c>
      <c r="D217">
        <v>340.50317706557138</v>
      </c>
      <c r="E217">
        <v>341.787353515625</v>
      </c>
      <c r="F217">
        <v>840344</v>
      </c>
      <c r="G217">
        <v>0</v>
      </c>
      <c r="H217">
        <v>0</v>
      </c>
      <c r="N217">
        <v>359.3</v>
      </c>
    </row>
    <row r="218" spans="1:14" x14ac:dyDescent="0.25">
      <c r="A218" s="1">
        <v>43420</v>
      </c>
      <c r="B218">
        <v>341.7873765610492</v>
      </c>
      <c r="C218">
        <v>346.68638405759839</v>
      </c>
      <c r="D218">
        <v>334.46269904749823</v>
      </c>
      <c r="E218">
        <v>337.88723754882813</v>
      </c>
      <c r="F218">
        <v>1169373</v>
      </c>
      <c r="G218">
        <v>0</v>
      </c>
      <c r="H218">
        <v>0</v>
      </c>
      <c r="N218">
        <v>355.2</v>
      </c>
    </row>
    <row r="219" spans="1:14" x14ac:dyDescent="0.25">
      <c r="A219" s="1">
        <v>43423</v>
      </c>
      <c r="B219">
        <v>340.50319015979619</v>
      </c>
      <c r="C219">
        <v>348.06568222476386</v>
      </c>
      <c r="D219">
        <v>335.79444622811775</v>
      </c>
      <c r="E219">
        <v>346.30584716796875</v>
      </c>
      <c r="F219">
        <v>1108255</v>
      </c>
      <c r="G219">
        <v>0</v>
      </c>
      <c r="H219">
        <v>0</v>
      </c>
      <c r="N219">
        <v>364.05</v>
      </c>
    </row>
    <row r="220" spans="1:14" x14ac:dyDescent="0.25">
      <c r="A220" s="1">
        <v>43424</v>
      </c>
      <c r="B220">
        <v>344.16547923095942</v>
      </c>
      <c r="C220">
        <v>346.30581188545574</v>
      </c>
      <c r="D220">
        <v>334.89070439480872</v>
      </c>
      <c r="E220">
        <v>337.69692993164063</v>
      </c>
      <c r="F220">
        <v>764219</v>
      </c>
      <c r="G220">
        <v>0</v>
      </c>
      <c r="H220">
        <v>0</v>
      </c>
      <c r="N220">
        <v>355</v>
      </c>
    </row>
    <row r="221" spans="1:14" x14ac:dyDescent="0.25">
      <c r="A221" s="1">
        <v>43425</v>
      </c>
      <c r="B221">
        <v>337.98231829351795</v>
      </c>
      <c r="C221">
        <v>342.73861339491913</v>
      </c>
      <c r="D221">
        <v>335.27125330981647</v>
      </c>
      <c r="E221">
        <v>341.12149047851563</v>
      </c>
      <c r="F221">
        <v>562003</v>
      </c>
      <c r="G221">
        <v>0</v>
      </c>
      <c r="H221">
        <v>0</v>
      </c>
      <c r="N221">
        <v>358.6</v>
      </c>
    </row>
    <row r="222" spans="1:14" x14ac:dyDescent="0.25">
      <c r="A222" s="1">
        <v>43426</v>
      </c>
      <c r="B222">
        <v>340.12266347490544</v>
      </c>
      <c r="C222">
        <v>341.12150290064585</v>
      </c>
      <c r="D222">
        <v>335.2236851480875</v>
      </c>
      <c r="E222">
        <v>336.65057373046875</v>
      </c>
      <c r="F222">
        <v>539456</v>
      </c>
      <c r="G222">
        <v>0</v>
      </c>
      <c r="H222">
        <v>0</v>
      </c>
      <c r="N222">
        <v>353.9</v>
      </c>
    </row>
    <row r="223" spans="1:14" x14ac:dyDescent="0.25">
      <c r="A223" s="1">
        <v>43430</v>
      </c>
      <c r="B223">
        <v>337.50669729246414</v>
      </c>
      <c r="C223">
        <v>340.55073784615462</v>
      </c>
      <c r="D223">
        <v>328.27950198118634</v>
      </c>
      <c r="E223">
        <v>336.36520385742188</v>
      </c>
      <c r="F223">
        <v>809029</v>
      </c>
      <c r="G223">
        <v>0</v>
      </c>
      <c r="H223">
        <v>0</v>
      </c>
      <c r="N223">
        <v>353.6</v>
      </c>
    </row>
    <row r="224" spans="1:14" x14ac:dyDescent="0.25">
      <c r="A224" s="1">
        <v>43431</v>
      </c>
      <c r="B224">
        <v>338.64820130321311</v>
      </c>
      <c r="C224">
        <v>339.5043285903713</v>
      </c>
      <c r="D224">
        <v>325.80620490547892</v>
      </c>
      <c r="E224">
        <v>328.89779663085938</v>
      </c>
      <c r="F224">
        <v>1513963</v>
      </c>
      <c r="G224">
        <v>0</v>
      </c>
      <c r="H224">
        <v>0</v>
      </c>
      <c r="N224">
        <v>345.75</v>
      </c>
    </row>
    <row r="225" spans="1:14" x14ac:dyDescent="0.25">
      <c r="A225" s="1">
        <v>43432</v>
      </c>
      <c r="B225">
        <v>330.27715064314498</v>
      </c>
      <c r="C225">
        <v>332.60771787549277</v>
      </c>
      <c r="D225">
        <v>325.3305920179576</v>
      </c>
      <c r="E225">
        <v>327.0428466796875</v>
      </c>
      <c r="F225">
        <v>944026</v>
      </c>
      <c r="G225">
        <v>0</v>
      </c>
      <c r="H225">
        <v>0</v>
      </c>
      <c r="N225">
        <v>343.8</v>
      </c>
    </row>
    <row r="226" spans="1:14" x14ac:dyDescent="0.25">
      <c r="A226" s="1">
        <v>43433</v>
      </c>
      <c r="B226">
        <v>328.1843866287345</v>
      </c>
      <c r="C226">
        <v>342.73863911935064</v>
      </c>
      <c r="D226">
        <v>324.99766286559014</v>
      </c>
      <c r="E226">
        <v>339.50436401367188</v>
      </c>
      <c r="F226">
        <v>2821212</v>
      </c>
      <c r="G226">
        <v>0</v>
      </c>
      <c r="H226">
        <v>0</v>
      </c>
      <c r="N226">
        <v>356.9</v>
      </c>
    </row>
    <row r="227" spans="1:14" x14ac:dyDescent="0.25">
      <c r="A227" s="1">
        <v>43434</v>
      </c>
      <c r="B227">
        <v>338.6482361541</v>
      </c>
      <c r="C227">
        <v>349.54016435031923</v>
      </c>
      <c r="D227">
        <v>337.07866446109585</v>
      </c>
      <c r="E227">
        <v>347.49493408203125</v>
      </c>
      <c r="F227">
        <v>1222488</v>
      </c>
      <c r="G227">
        <v>0</v>
      </c>
      <c r="H227">
        <v>0</v>
      </c>
      <c r="N227">
        <v>365.3</v>
      </c>
    </row>
    <row r="228" spans="1:14" x14ac:dyDescent="0.25">
      <c r="A228" s="1">
        <v>43437</v>
      </c>
      <c r="B228">
        <v>351.01461354121778</v>
      </c>
      <c r="C228">
        <v>351.01461354121778</v>
      </c>
      <c r="D228">
        <v>336.31764859797073</v>
      </c>
      <c r="E228">
        <v>339.40924072265625</v>
      </c>
      <c r="F228">
        <v>1432872</v>
      </c>
      <c r="G228">
        <v>0</v>
      </c>
      <c r="H228">
        <v>0</v>
      </c>
      <c r="N228">
        <v>356.8</v>
      </c>
    </row>
    <row r="229" spans="1:14" x14ac:dyDescent="0.25">
      <c r="A229" s="1">
        <v>43438</v>
      </c>
      <c r="B229">
        <v>340.4556008079548</v>
      </c>
      <c r="C229">
        <v>345.59239376056553</v>
      </c>
      <c r="D229">
        <v>330.1344345331915</v>
      </c>
      <c r="E229">
        <v>336.07980346679688</v>
      </c>
      <c r="F229">
        <v>1195054</v>
      </c>
      <c r="G229">
        <v>0</v>
      </c>
      <c r="H229">
        <v>0</v>
      </c>
      <c r="N229">
        <v>353.3</v>
      </c>
    </row>
    <row r="230" spans="1:14" x14ac:dyDescent="0.25">
      <c r="A230" s="1">
        <v>43439</v>
      </c>
      <c r="B230">
        <v>338.17259496887795</v>
      </c>
      <c r="C230">
        <v>345.78266742949967</v>
      </c>
      <c r="D230">
        <v>337.22133591130023</v>
      </c>
      <c r="E230">
        <v>340.97882080078125</v>
      </c>
      <c r="F230">
        <v>1687420</v>
      </c>
      <c r="G230">
        <v>0</v>
      </c>
      <c r="H230">
        <v>0</v>
      </c>
      <c r="N230">
        <v>358.45</v>
      </c>
    </row>
    <row r="231" spans="1:14" x14ac:dyDescent="0.25">
      <c r="A231" s="1">
        <v>43440</v>
      </c>
      <c r="B231">
        <v>339.26652274815439</v>
      </c>
      <c r="C231">
        <v>340.59827956648411</v>
      </c>
      <c r="D231">
        <v>333.17847084284614</v>
      </c>
      <c r="E231">
        <v>338.45794677734375</v>
      </c>
      <c r="F231">
        <v>775206</v>
      </c>
      <c r="G231">
        <v>0</v>
      </c>
      <c r="H231">
        <v>0</v>
      </c>
      <c r="N231">
        <v>355.8</v>
      </c>
    </row>
    <row r="232" spans="1:14" x14ac:dyDescent="0.25">
      <c r="A232" s="1">
        <v>43441</v>
      </c>
      <c r="B232">
        <v>337.60182829695918</v>
      </c>
      <c r="C232">
        <v>338.50553599916822</v>
      </c>
      <c r="D232">
        <v>331.70403965293474</v>
      </c>
      <c r="E232">
        <v>332.36990356445313</v>
      </c>
      <c r="F232">
        <v>869679</v>
      </c>
      <c r="G232">
        <v>0</v>
      </c>
      <c r="H232">
        <v>0</v>
      </c>
      <c r="N232">
        <v>349.4</v>
      </c>
    </row>
    <row r="233" spans="1:14" x14ac:dyDescent="0.25">
      <c r="A233" s="1">
        <v>43444</v>
      </c>
      <c r="B233">
        <v>327.23310149596199</v>
      </c>
      <c r="C233">
        <v>332.75039217657798</v>
      </c>
      <c r="D233">
        <v>322.66706983132269</v>
      </c>
      <c r="E233">
        <v>323.80856323242188</v>
      </c>
      <c r="F233">
        <v>862965</v>
      </c>
      <c r="G233">
        <v>0</v>
      </c>
      <c r="H233">
        <v>0</v>
      </c>
      <c r="N233">
        <v>340.4</v>
      </c>
    </row>
    <row r="234" spans="1:14" x14ac:dyDescent="0.25">
      <c r="A234" s="1">
        <v>43445</v>
      </c>
      <c r="B234">
        <v>320.66942035852566</v>
      </c>
      <c r="C234">
        <v>331.03813783527289</v>
      </c>
      <c r="D234">
        <v>319.76571268054749</v>
      </c>
      <c r="E234">
        <v>328.80267333984375</v>
      </c>
      <c r="F234">
        <v>1184307</v>
      </c>
      <c r="G234">
        <v>0</v>
      </c>
      <c r="H234">
        <v>0</v>
      </c>
      <c r="N234">
        <v>345.65</v>
      </c>
    </row>
    <row r="235" spans="1:14" x14ac:dyDescent="0.25">
      <c r="A235" s="1">
        <v>43446</v>
      </c>
      <c r="B235">
        <v>331.03814680036288</v>
      </c>
      <c r="C235">
        <v>337.60182838779394</v>
      </c>
      <c r="D235">
        <v>331.03814680036288</v>
      </c>
      <c r="E235">
        <v>335.69931030273438</v>
      </c>
      <c r="F235">
        <v>1312527</v>
      </c>
      <c r="G235">
        <v>0</v>
      </c>
      <c r="H235">
        <v>0</v>
      </c>
      <c r="N235">
        <v>352.9</v>
      </c>
    </row>
    <row r="236" spans="1:14" x14ac:dyDescent="0.25">
      <c r="A236" s="1">
        <v>43447</v>
      </c>
      <c r="B236">
        <v>335.69931021241155</v>
      </c>
      <c r="C236">
        <v>340.78855189460097</v>
      </c>
      <c r="D236">
        <v>331.03814671129419</v>
      </c>
      <c r="E236">
        <v>332.36990356445313</v>
      </c>
      <c r="F236">
        <v>1099741</v>
      </c>
      <c r="G236">
        <v>0</v>
      </c>
      <c r="H236">
        <v>0</v>
      </c>
      <c r="N236">
        <v>349.4</v>
      </c>
    </row>
    <row r="237" spans="1:14" x14ac:dyDescent="0.25">
      <c r="A237" s="1">
        <v>43448</v>
      </c>
      <c r="B237">
        <v>330.18200272581447</v>
      </c>
      <c r="C237">
        <v>334.46266820014193</v>
      </c>
      <c r="D237">
        <v>327.7087235346234</v>
      </c>
      <c r="E237">
        <v>329.56369018554688</v>
      </c>
      <c r="F237">
        <v>703332</v>
      </c>
      <c r="G237">
        <v>0</v>
      </c>
      <c r="H237">
        <v>0</v>
      </c>
      <c r="N237">
        <v>346.45</v>
      </c>
    </row>
    <row r="238" spans="1:14" x14ac:dyDescent="0.25">
      <c r="A238" s="1">
        <v>43451</v>
      </c>
      <c r="B238">
        <v>333.27359419849375</v>
      </c>
      <c r="C238">
        <v>335.74687338776437</v>
      </c>
      <c r="D238">
        <v>331.22839316837172</v>
      </c>
      <c r="E238">
        <v>333.89190673828125</v>
      </c>
      <c r="F238">
        <v>843653</v>
      </c>
      <c r="G238">
        <v>0</v>
      </c>
      <c r="H238">
        <v>0</v>
      </c>
      <c r="N238">
        <v>351</v>
      </c>
    </row>
    <row r="239" spans="1:14" x14ac:dyDescent="0.25">
      <c r="A239" s="1">
        <v>43452</v>
      </c>
      <c r="B239">
        <v>330.32466754181331</v>
      </c>
      <c r="C239">
        <v>330.99056041312446</v>
      </c>
      <c r="D239">
        <v>324.80737729139145</v>
      </c>
      <c r="E239">
        <v>328.42214965820313</v>
      </c>
      <c r="F239">
        <v>1376167</v>
      </c>
      <c r="G239">
        <v>0</v>
      </c>
      <c r="H239">
        <v>0</v>
      </c>
      <c r="N239">
        <v>345.25</v>
      </c>
    </row>
    <row r="240" spans="1:14" x14ac:dyDescent="0.25">
      <c r="A240" s="1">
        <v>43453</v>
      </c>
      <c r="B240">
        <v>331.03818162376473</v>
      </c>
      <c r="C240">
        <v>331.03818162376473</v>
      </c>
      <c r="D240">
        <v>325.6159928989116</v>
      </c>
      <c r="E240">
        <v>326.32943725585938</v>
      </c>
      <c r="F240">
        <v>1070544</v>
      </c>
      <c r="G240">
        <v>0</v>
      </c>
      <c r="H240">
        <v>0</v>
      </c>
      <c r="N240">
        <v>343.05</v>
      </c>
    </row>
    <row r="241" spans="1:14" x14ac:dyDescent="0.25">
      <c r="A241" s="1">
        <v>43454</v>
      </c>
      <c r="B241">
        <v>325.80627419243882</v>
      </c>
      <c r="C241">
        <v>328.94541792297218</v>
      </c>
      <c r="D241">
        <v>325.33064459507762</v>
      </c>
      <c r="E241">
        <v>327.47097778320313</v>
      </c>
      <c r="F241">
        <v>852170</v>
      </c>
      <c r="G241">
        <v>0</v>
      </c>
      <c r="H241">
        <v>0</v>
      </c>
      <c r="N241">
        <v>344.25</v>
      </c>
    </row>
    <row r="242" spans="1:14" x14ac:dyDescent="0.25">
      <c r="A242" s="1">
        <v>43455</v>
      </c>
      <c r="B242">
        <v>328.32706564268739</v>
      </c>
      <c r="C242">
        <v>330.89547677063274</v>
      </c>
      <c r="D242">
        <v>323.61835061495196</v>
      </c>
      <c r="E242">
        <v>325.2354736328125</v>
      </c>
      <c r="F242">
        <v>719385</v>
      </c>
      <c r="G242">
        <v>0</v>
      </c>
      <c r="H242">
        <v>0</v>
      </c>
      <c r="N242">
        <v>341.9</v>
      </c>
    </row>
    <row r="243" spans="1:14" x14ac:dyDescent="0.25">
      <c r="A243" s="1">
        <v>43458</v>
      </c>
      <c r="B243">
        <v>325.52089061121285</v>
      </c>
      <c r="C243">
        <v>327.66122368470241</v>
      </c>
      <c r="D243">
        <v>323.80860673434609</v>
      </c>
      <c r="E243">
        <v>324.9976806640625</v>
      </c>
      <c r="F243">
        <v>499572</v>
      </c>
      <c r="G243">
        <v>0</v>
      </c>
      <c r="H243">
        <v>0</v>
      </c>
      <c r="N243">
        <v>341.65</v>
      </c>
    </row>
    <row r="244" spans="1:14" x14ac:dyDescent="0.25">
      <c r="A244" s="1">
        <v>43460</v>
      </c>
      <c r="B244">
        <v>325.33060976981528</v>
      </c>
      <c r="C244">
        <v>325.66355625835297</v>
      </c>
      <c r="D244">
        <v>319.81331864307845</v>
      </c>
      <c r="E244">
        <v>322.85733032226563</v>
      </c>
      <c r="F244">
        <v>522052</v>
      </c>
      <c r="G244">
        <v>0</v>
      </c>
      <c r="H244">
        <v>0</v>
      </c>
      <c r="N244">
        <v>339.4</v>
      </c>
    </row>
    <row r="245" spans="1:14" x14ac:dyDescent="0.25">
      <c r="A245" s="1">
        <v>43461</v>
      </c>
      <c r="B245">
        <v>326.23430840793753</v>
      </c>
      <c r="C245">
        <v>326.28185974920461</v>
      </c>
      <c r="D245">
        <v>321.52556441758355</v>
      </c>
      <c r="E245">
        <v>322.28656005859375</v>
      </c>
      <c r="F245">
        <v>537841</v>
      </c>
      <c r="G245">
        <v>0</v>
      </c>
      <c r="H245">
        <v>0</v>
      </c>
      <c r="N245">
        <v>338.8</v>
      </c>
    </row>
    <row r="246" spans="1:14" x14ac:dyDescent="0.25">
      <c r="A246" s="1">
        <v>43462</v>
      </c>
      <c r="B246">
        <v>323.66591021574419</v>
      </c>
      <c r="C246">
        <v>330.65767043789157</v>
      </c>
      <c r="D246">
        <v>322.80978282795803</v>
      </c>
      <c r="E246">
        <v>328.46975708007813</v>
      </c>
      <c r="F246">
        <v>782756</v>
      </c>
      <c r="G246">
        <v>0</v>
      </c>
      <c r="H246">
        <v>0</v>
      </c>
      <c r="N246">
        <v>345.3</v>
      </c>
    </row>
    <row r="247" spans="1:14" x14ac:dyDescent="0.25">
      <c r="A247" s="1">
        <v>43465</v>
      </c>
      <c r="B247">
        <v>332.94068756289408</v>
      </c>
      <c r="C247">
        <v>333.32118539979825</v>
      </c>
      <c r="D247">
        <v>329.61128068726515</v>
      </c>
      <c r="E247">
        <v>331.46624755859375</v>
      </c>
      <c r="F247">
        <v>1171717</v>
      </c>
      <c r="G247">
        <v>0</v>
      </c>
      <c r="H247">
        <v>0</v>
      </c>
      <c r="N247">
        <v>348.45</v>
      </c>
    </row>
    <row r="248" spans="1:14" x14ac:dyDescent="0.25">
      <c r="A248" s="1">
        <v>43466</v>
      </c>
      <c r="B248">
        <v>331.65646334537144</v>
      </c>
      <c r="C248">
        <v>335.69931432455815</v>
      </c>
      <c r="D248">
        <v>331.37109724124258</v>
      </c>
      <c r="E248">
        <v>332.98822021484375</v>
      </c>
      <c r="F248">
        <v>692062</v>
      </c>
      <c r="G248">
        <v>0</v>
      </c>
      <c r="H248">
        <v>0</v>
      </c>
      <c r="N248">
        <v>350.05</v>
      </c>
    </row>
    <row r="249" spans="1:14" x14ac:dyDescent="0.25">
      <c r="A249" s="1">
        <v>43467</v>
      </c>
      <c r="B249">
        <v>331.51379398931766</v>
      </c>
      <c r="C249">
        <v>332.94068262915687</v>
      </c>
      <c r="D249">
        <v>325.85379077257249</v>
      </c>
      <c r="E249">
        <v>329.84909057617188</v>
      </c>
      <c r="F249">
        <v>558345</v>
      </c>
      <c r="G249">
        <v>0</v>
      </c>
      <c r="H249">
        <v>0</v>
      </c>
      <c r="N249">
        <v>346.75</v>
      </c>
    </row>
    <row r="250" spans="1:14" x14ac:dyDescent="0.25">
      <c r="A250" s="1">
        <v>43468</v>
      </c>
      <c r="B250">
        <v>328.23193390778988</v>
      </c>
      <c r="C250">
        <v>331.79915545741858</v>
      </c>
      <c r="D250">
        <v>325.33060532614115</v>
      </c>
      <c r="E250">
        <v>326.90017700195313</v>
      </c>
      <c r="F250">
        <v>482203</v>
      </c>
      <c r="G250">
        <v>0</v>
      </c>
      <c r="H250">
        <v>0</v>
      </c>
      <c r="N250">
        <v>343.65</v>
      </c>
    </row>
    <row r="251" spans="1:14" x14ac:dyDescent="0.25">
      <c r="A251" s="1">
        <v>43469</v>
      </c>
      <c r="B251">
        <v>328.18436597472805</v>
      </c>
      <c r="C251">
        <v>328.18436597472805</v>
      </c>
      <c r="D251">
        <v>322.47681178386324</v>
      </c>
      <c r="E251">
        <v>327.42337036132813</v>
      </c>
      <c r="F251">
        <v>579722</v>
      </c>
      <c r="G251">
        <v>0</v>
      </c>
      <c r="H251">
        <v>0</v>
      </c>
      <c r="N251">
        <v>344.2</v>
      </c>
    </row>
    <row r="252" spans="1:14" x14ac:dyDescent="0.25">
      <c r="A252" s="1">
        <v>43472</v>
      </c>
      <c r="B252">
        <v>329.84905556447245</v>
      </c>
      <c r="C252">
        <v>332.60770083598823</v>
      </c>
      <c r="D252">
        <v>327.42335674627009</v>
      </c>
      <c r="E252">
        <v>331.89425659179688</v>
      </c>
      <c r="F252">
        <v>516834</v>
      </c>
      <c r="G252">
        <v>0</v>
      </c>
      <c r="H252">
        <v>0</v>
      </c>
      <c r="N252">
        <v>348.9</v>
      </c>
    </row>
    <row r="253" spans="1:14" x14ac:dyDescent="0.25">
      <c r="A253" s="1">
        <v>43473</v>
      </c>
      <c r="B253">
        <v>332.17968254473993</v>
      </c>
      <c r="C253">
        <v>335.74690409685212</v>
      </c>
      <c r="D253">
        <v>330.18203266953242</v>
      </c>
      <c r="E253">
        <v>332.22723388671875</v>
      </c>
      <c r="F253">
        <v>998829</v>
      </c>
      <c r="G253">
        <v>0</v>
      </c>
      <c r="H253">
        <v>0</v>
      </c>
      <c r="N253">
        <v>349.25</v>
      </c>
    </row>
    <row r="254" spans="1:14" x14ac:dyDescent="0.25">
      <c r="A254" s="1">
        <v>43474</v>
      </c>
      <c r="B254">
        <v>332.22721698743328</v>
      </c>
      <c r="C254">
        <v>335.17612579320291</v>
      </c>
      <c r="D254">
        <v>327.47092182655376</v>
      </c>
      <c r="E254">
        <v>330.75277709960938</v>
      </c>
      <c r="F254">
        <v>536267</v>
      </c>
      <c r="G254">
        <v>0</v>
      </c>
      <c r="H254">
        <v>0</v>
      </c>
      <c r="N254">
        <v>347.7</v>
      </c>
    </row>
    <row r="255" spans="1:14" x14ac:dyDescent="0.25">
      <c r="A255" s="1">
        <v>43475</v>
      </c>
      <c r="B255">
        <v>329.99176491105129</v>
      </c>
      <c r="C255">
        <v>334.17729900458028</v>
      </c>
      <c r="D255">
        <v>328.99295450161611</v>
      </c>
      <c r="E255">
        <v>332.940673828125</v>
      </c>
      <c r="F255">
        <v>497887</v>
      </c>
      <c r="G255">
        <v>0</v>
      </c>
      <c r="H255">
        <v>0</v>
      </c>
      <c r="N255">
        <v>350</v>
      </c>
    </row>
    <row r="256" spans="1:14" x14ac:dyDescent="0.25">
      <c r="A256" s="1">
        <v>43476</v>
      </c>
      <c r="B256">
        <v>331.32351684570313</v>
      </c>
      <c r="C256">
        <v>335.50907990676382</v>
      </c>
      <c r="D256">
        <v>330.32470645120424</v>
      </c>
      <c r="E256">
        <v>331.32351684570313</v>
      </c>
      <c r="F256">
        <v>891386</v>
      </c>
      <c r="G256">
        <v>0</v>
      </c>
      <c r="H256">
        <v>0</v>
      </c>
      <c r="N256">
        <v>348.3</v>
      </c>
    </row>
    <row r="257" spans="1:14" x14ac:dyDescent="0.25">
      <c r="A257" s="1">
        <v>43479</v>
      </c>
      <c r="B257">
        <v>333.17850213571268</v>
      </c>
      <c r="C257">
        <v>338.5531102827693</v>
      </c>
      <c r="D257">
        <v>332.56018952235644</v>
      </c>
      <c r="E257">
        <v>336.46035766601563</v>
      </c>
      <c r="F257">
        <v>1672294</v>
      </c>
      <c r="G257">
        <v>0</v>
      </c>
      <c r="H257">
        <v>0</v>
      </c>
      <c r="N257">
        <v>353.7</v>
      </c>
    </row>
    <row r="258" spans="1:14" x14ac:dyDescent="0.25">
      <c r="A258" s="1">
        <v>43480</v>
      </c>
      <c r="B258">
        <v>337.79210493439149</v>
      </c>
      <c r="C258">
        <v>340.40806740300036</v>
      </c>
      <c r="D258">
        <v>335.69932334745511</v>
      </c>
      <c r="E258">
        <v>338.5531005859375</v>
      </c>
      <c r="F258">
        <v>1068589</v>
      </c>
      <c r="G258">
        <v>0</v>
      </c>
      <c r="H258">
        <v>0</v>
      </c>
      <c r="N258">
        <v>355.9</v>
      </c>
    </row>
    <row r="259" spans="1:14" x14ac:dyDescent="0.25">
      <c r="A259" s="1">
        <v>43481</v>
      </c>
      <c r="B259">
        <v>337.69692905985079</v>
      </c>
      <c r="C259">
        <v>342.2154090965671</v>
      </c>
      <c r="D259">
        <v>333.98702494099183</v>
      </c>
      <c r="E259">
        <v>335.3663330078125</v>
      </c>
      <c r="F259">
        <v>1206297</v>
      </c>
      <c r="G259">
        <v>0</v>
      </c>
      <c r="H259">
        <v>0</v>
      </c>
      <c r="N259">
        <v>352.55</v>
      </c>
    </row>
    <row r="260" spans="1:14" x14ac:dyDescent="0.25">
      <c r="A260" s="1">
        <v>43482</v>
      </c>
      <c r="B260">
        <v>335.79442970378699</v>
      </c>
      <c r="C260">
        <v>340.93122253912378</v>
      </c>
      <c r="D260">
        <v>334.36754119229778</v>
      </c>
      <c r="E260">
        <v>338.50552368164063</v>
      </c>
      <c r="F260">
        <v>1053793</v>
      </c>
      <c r="G260">
        <v>0</v>
      </c>
      <c r="H260">
        <v>0</v>
      </c>
      <c r="N260">
        <v>355.85</v>
      </c>
    </row>
    <row r="261" spans="1:14" x14ac:dyDescent="0.25">
      <c r="A261" s="1">
        <v>43483</v>
      </c>
      <c r="B261">
        <v>336.07982984954413</v>
      </c>
      <c r="C261">
        <v>337.17380104330323</v>
      </c>
      <c r="D261">
        <v>326.32942403301053</v>
      </c>
      <c r="E261">
        <v>330.13446044921875</v>
      </c>
      <c r="F261">
        <v>1220994</v>
      </c>
      <c r="G261">
        <v>0</v>
      </c>
      <c r="H261">
        <v>0</v>
      </c>
      <c r="N261">
        <v>347.05</v>
      </c>
    </row>
    <row r="262" spans="1:14" x14ac:dyDescent="0.25">
      <c r="A262" s="1">
        <v>43486</v>
      </c>
      <c r="B262">
        <v>329.08813028043937</v>
      </c>
      <c r="C262">
        <v>334.55787065431775</v>
      </c>
      <c r="D262">
        <v>326.80508498724083</v>
      </c>
      <c r="E262">
        <v>327.80392456054688</v>
      </c>
      <c r="F262">
        <v>786496</v>
      </c>
      <c r="G262">
        <v>0</v>
      </c>
      <c r="H262">
        <v>0</v>
      </c>
      <c r="N262">
        <v>344.6</v>
      </c>
    </row>
    <row r="263" spans="1:14" x14ac:dyDescent="0.25">
      <c r="A263" s="1">
        <v>43487</v>
      </c>
      <c r="B263">
        <v>327.18557615331218</v>
      </c>
      <c r="C263">
        <v>330.65766603147296</v>
      </c>
      <c r="D263">
        <v>323.71345724502777</v>
      </c>
      <c r="E263">
        <v>329.18319702148438</v>
      </c>
      <c r="F263">
        <v>504192</v>
      </c>
      <c r="G263">
        <v>0</v>
      </c>
      <c r="H263">
        <v>0</v>
      </c>
      <c r="N263">
        <v>346.05</v>
      </c>
    </row>
    <row r="264" spans="1:14" x14ac:dyDescent="0.25">
      <c r="A264" s="1">
        <v>43488</v>
      </c>
      <c r="B264">
        <v>329.13565900394832</v>
      </c>
      <c r="C264">
        <v>329.13565900394832</v>
      </c>
      <c r="D264">
        <v>324.09399722663142</v>
      </c>
      <c r="E264">
        <v>325.378173828125</v>
      </c>
      <c r="F264">
        <v>573513</v>
      </c>
      <c r="G264">
        <v>0</v>
      </c>
      <c r="H264">
        <v>0</v>
      </c>
      <c r="N264">
        <v>342.05</v>
      </c>
    </row>
    <row r="265" spans="1:14" x14ac:dyDescent="0.25">
      <c r="A265" s="1">
        <v>43489</v>
      </c>
      <c r="B265">
        <v>325.42570743475983</v>
      </c>
      <c r="C265">
        <v>330.08687069620373</v>
      </c>
      <c r="D265">
        <v>324.66468282199878</v>
      </c>
      <c r="E265">
        <v>329.23074340820313</v>
      </c>
      <c r="F265">
        <v>545629</v>
      </c>
      <c r="G265">
        <v>0</v>
      </c>
      <c r="H265">
        <v>0</v>
      </c>
      <c r="N265">
        <v>346.1</v>
      </c>
    </row>
    <row r="266" spans="1:14" x14ac:dyDescent="0.25">
      <c r="A266" s="1">
        <v>43490</v>
      </c>
      <c r="B266">
        <v>329.13560743297012</v>
      </c>
      <c r="C266">
        <v>333.79677063394479</v>
      </c>
      <c r="D266">
        <v>326.28183048990968</v>
      </c>
      <c r="E266">
        <v>326.94772338867188</v>
      </c>
      <c r="F266">
        <v>784074</v>
      </c>
      <c r="G266">
        <v>0</v>
      </c>
      <c r="H266">
        <v>0</v>
      </c>
      <c r="N266">
        <v>343.7</v>
      </c>
    </row>
    <row r="267" spans="1:14" x14ac:dyDescent="0.25">
      <c r="A267" s="1">
        <v>43493</v>
      </c>
      <c r="B267">
        <v>326.28188301896472</v>
      </c>
      <c r="C267">
        <v>326.85264430548932</v>
      </c>
      <c r="D267">
        <v>309.25435032341693</v>
      </c>
      <c r="E267">
        <v>318.05349731445313</v>
      </c>
      <c r="F267">
        <v>1483625</v>
      </c>
      <c r="G267">
        <v>0</v>
      </c>
      <c r="H267">
        <v>0</v>
      </c>
      <c r="N267">
        <v>334.35</v>
      </c>
    </row>
    <row r="268" spans="1:14" x14ac:dyDescent="0.25">
      <c r="A268" s="1">
        <v>43494</v>
      </c>
      <c r="B268">
        <v>314.86674766109383</v>
      </c>
      <c r="C268">
        <v>316.67413406218736</v>
      </c>
      <c r="D268">
        <v>303.02356079713962</v>
      </c>
      <c r="E268">
        <v>306.02005004882813</v>
      </c>
      <c r="F268">
        <v>1477021</v>
      </c>
      <c r="G268">
        <v>0</v>
      </c>
      <c r="H268">
        <v>0</v>
      </c>
      <c r="N268">
        <v>321.7</v>
      </c>
    </row>
    <row r="269" spans="1:14" x14ac:dyDescent="0.25">
      <c r="A269" s="1">
        <v>43495</v>
      </c>
      <c r="B269">
        <v>305.35413424502627</v>
      </c>
      <c r="C269">
        <v>310.01529746641847</v>
      </c>
      <c r="D269">
        <v>299.07581913676802</v>
      </c>
      <c r="E269">
        <v>303.59429931640625</v>
      </c>
      <c r="F269">
        <v>1276905</v>
      </c>
      <c r="G269">
        <v>0</v>
      </c>
      <c r="H269">
        <v>0</v>
      </c>
      <c r="N269">
        <v>319.14999999999998</v>
      </c>
    </row>
    <row r="270" spans="1:14" x14ac:dyDescent="0.25">
      <c r="A270" s="1">
        <v>43496</v>
      </c>
      <c r="B270">
        <v>304.40289363464296</v>
      </c>
      <c r="C270">
        <v>307.11398771210094</v>
      </c>
      <c r="D270">
        <v>301.97719468804075</v>
      </c>
      <c r="E270">
        <v>303.40408325195313</v>
      </c>
      <c r="F270">
        <v>982622</v>
      </c>
      <c r="G270">
        <v>0</v>
      </c>
      <c r="H270">
        <v>0</v>
      </c>
      <c r="N270">
        <v>318.95</v>
      </c>
    </row>
    <row r="271" spans="1:14" x14ac:dyDescent="0.25">
      <c r="A271" s="1">
        <v>43497</v>
      </c>
      <c r="B271">
        <v>303.83215374168128</v>
      </c>
      <c r="C271">
        <v>309.15921056043982</v>
      </c>
      <c r="D271">
        <v>301.07350813039756</v>
      </c>
      <c r="E271">
        <v>307.82745361328125</v>
      </c>
      <c r="F271">
        <v>657757</v>
      </c>
      <c r="G271">
        <v>0</v>
      </c>
      <c r="H271">
        <v>0</v>
      </c>
      <c r="N271">
        <v>323.60000000000002</v>
      </c>
    </row>
    <row r="272" spans="1:14" x14ac:dyDescent="0.25">
      <c r="A272" s="1">
        <v>43500</v>
      </c>
      <c r="B272">
        <v>307.73230379967299</v>
      </c>
      <c r="C272">
        <v>310.96657877546886</v>
      </c>
      <c r="D272">
        <v>300.12223137186038</v>
      </c>
      <c r="E272">
        <v>303.35650634765625</v>
      </c>
      <c r="F272">
        <v>994074</v>
      </c>
      <c r="G272">
        <v>0</v>
      </c>
      <c r="H272">
        <v>0</v>
      </c>
      <c r="N272">
        <v>318.89999999999998</v>
      </c>
    </row>
    <row r="273" spans="1:14" x14ac:dyDescent="0.25">
      <c r="A273" s="1">
        <v>43501</v>
      </c>
      <c r="B273">
        <v>304.30775265682422</v>
      </c>
      <c r="C273">
        <v>304.30775265682422</v>
      </c>
      <c r="D273">
        <v>296.74526091647357</v>
      </c>
      <c r="E273">
        <v>299.50390625</v>
      </c>
      <c r="F273">
        <v>696394</v>
      </c>
      <c r="G273">
        <v>0</v>
      </c>
      <c r="H273">
        <v>0</v>
      </c>
      <c r="N273">
        <v>314.85000000000002</v>
      </c>
    </row>
    <row r="274" spans="1:14" x14ac:dyDescent="0.25">
      <c r="A274" s="1">
        <v>43502</v>
      </c>
      <c r="B274">
        <v>298.69533504834533</v>
      </c>
      <c r="C274">
        <v>309.15918436532559</v>
      </c>
      <c r="D274">
        <v>296.12692405849236</v>
      </c>
      <c r="E274">
        <v>302.45281982421875</v>
      </c>
      <c r="F274">
        <v>998197</v>
      </c>
      <c r="G274">
        <v>0</v>
      </c>
      <c r="H274">
        <v>0</v>
      </c>
      <c r="N274">
        <v>317.95</v>
      </c>
    </row>
    <row r="275" spans="1:14" x14ac:dyDescent="0.25">
      <c r="A275" s="1">
        <v>43503</v>
      </c>
      <c r="B275">
        <v>304.4504277149897</v>
      </c>
      <c r="C275">
        <v>318.19613171346407</v>
      </c>
      <c r="D275">
        <v>302.73817314741387</v>
      </c>
      <c r="E275">
        <v>306.25784301757813</v>
      </c>
      <c r="F275">
        <v>7512981</v>
      </c>
      <c r="G275">
        <v>0</v>
      </c>
      <c r="H275">
        <v>0</v>
      </c>
      <c r="N275">
        <v>321.95</v>
      </c>
    </row>
    <row r="276" spans="1:14" x14ac:dyDescent="0.25">
      <c r="A276" s="1">
        <v>43504</v>
      </c>
      <c r="B276">
        <v>311.72762565841549</v>
      </c>
      <c r="C276">
        <v>311.72762565841549</v>
      </c>
      <c r="D276">
        <v>304.0224209699507</v>
      </c>
      <c r="E276">
        <v>306.4481201171875</v>
      </c>
      <c r="F276">
        <v>1635258</v>
      </c>
      <c r="G276">
        <v>0</v>
      </c>
      <c r="H276">
        <v>0</v>
      </c>
      <c r="N276">
        <v>322.14999999999998</v>
      </c>
    </row>
    <row r="277" spans="1:14" x14ac:dyDescent="0.25">
      <c r="A277" s="1">
        <v>43507</v>
      </c>
      <c r="B277">
        <v>306.78102315544805</v>
      </c>
      <c r="C277">
        <v>310.34824435492999</v>
      </c>
      <c r="D277">
        <v>304.40287568912674</v>
      </c>
      <c r="E277">
        <v>308.58840942382813</v>
      </c>
      <c r="F277">
        <v>875355</v>
      </c>
      <c r="G277">
        <v>0</v>
      </c>
      <c r="H277">
        <v>0</v>
      </c>
      <c r="N277">
        <v>324.39999999999998</v>
      </c>
    </row>
    <row r="278" spans="1:14" x14ac:dyDescent="0.25">
      <c r="A278" s="1">
        <v>43508</v>
      </c>
      <c r="B278">
        <v>308.68359445309608</v>
      </c>
      <c r="C278">
        <v>310.44342968820661</v>
      </c>
      <c r="D278">
        <v>302.88090782684333</v>
      </c>
      <c r="E278">
        <v>304.02243041992188</v>
      </c>
      <c r="F278">
        <v>975106</v>
      </c>
      <c r="G278">
        <v>0</v>
      </c>
      <c r="H278">
        <v>0</v>
      </c>
      <c r="N278">
        <v>319.60000000000002</v>
      </c>
    </row>
    <row r="279" spans="1:14" x14ac:dyDescent="0.25">
      <c r="A279" s="1">
        <v>43510</v>
      </c>
      <c r="B279">
        <v>303.45164271763389</v>
      </c>
      <c r="C279">
        <v>307.54204509833028</v>
      </c>
      <c r="D279">
        <v>300.31249940501789</v>
      </c>
      <c r="E279">
        <v>302.97601318359375</v>
      </c>
      <c r="F279">
        <v>834172</v>
      </c>
      <c r="G279">
        <v>0</v>
      </c>
      <c r="H279">
        <v>0</v>
      </c>
      <c r="N279">
        <v>318.5</v>
      </c>
    </row>
    <row r="280" spans="1:14" x14ac:dyDescent="0.25">
      <c r="A280" s="1">
        <v>43511</v>
      </c>
      <c r="B280">
        <v>302.31008492457642</v>
      </c>
      <c r="C280">
        <v>303.45160728503186</v>
      </c>
      <c r="D280">
        <v>291.03768950814651</v>
      </c>
      <c r="E280">
        <v>298.6953125</v>
      </c>
      <c r="F280">
        <v>1947521</v>
      </c>
      <c r="G280">
        <v>0</v>
      </c>
      <c r="H280">
        <v>0</v>
      </c>
      <c r="N280">
        <v>314</v>
      </c>
    </row>
    <row r="281" spans="1:14" x14ac:dyDescent="0.25">
      <c r="A281" s="1">
        <v>43514</v>
      </c>
      <c r="B281">
        <v>295.27081267388667</v>
      </c>
      <c r="C281">
        <v>301.88207489300873</v>
      </c>
      <c r="D281">
        <v>294.22442187969222</v>
      </c>
      <c r="E281">
        <v>296.60256958007813</v>
      </c>
      <c r="F281">
        <v>772468</v>
      </c>
      <c r="G281">
        <v>0</v>
      </c>
      <c r="H281">
        <v>0</v>
      </c>
      <c r="N281">
        <v>311.8</v>
      </c>
    </row>
    <row r="282" spans="1:14" x14ac:dyDescent="0.25">
      <c r="A282" s="1">
        <v>43515</v>
      </c>
      <c r="B282">
        <v>296.79282458243313</v>
      </c>
      <c r="C282">
        <v>299.74173345321896</v>
      </c>
      <c r="D282">
        <v>295.36593600270987</v>
      </c>
      <c r="E282">
        <v>296.69769287109375</v>
      </c>
      <c r="F282">
        <v>568174</v>
      </c>
      <c r="G282">
        <v>0</v>
      </c>
      <c r="H282">
        <v>0</v>
      </c>
      <c r="N282">
        <v>311.89999999999998</v>
      </c>
    </row>
    <row r="283" spans="1:14" x14ac:dyDescent="0.25">
      <c r="A283" s="1">
        <v>43516</v>
      </c>
      <c r="B283">
        <v>296.60257074789473</v>
      </c>
      <c r="C283">
        <v>299.40879665744836</v>
      </c>
      <c r="D283">
        <v>294.89031600892451</v>
      </c>
      <c r="E283">
        <v>297.93435668945313</v>
      </c>
      <c r="F283">
        <v>643033</v>
      </c>
      <c r="G283">
        <v>0</v>
      </c>
      <c r="H283">
        <v>0</v>
      </c>
      <c r="N283">
        <v>313.2</v>
      </c>
    </row>
    <row r="284" spans="1:14" x14ac:dyDescent="0.25">
      <c r="A284" s="1">
        <v>43517</v>
      </c>
      <c r="B284">
        <v>299.59903288118784</v>
      </c>
      <c r="C284">
        <v>299.64658421901555</v>
      </c>
      <c r="D284">
        <v>295.55618214172495</v>
      </c>
      <c r="E284">
        <v>297.88674926757813</v>
      </c>
      <c r="F284">
        <v>884693</v>
      </c>
      <c r="G284">
        <v>0</v>
      </c>
      <c r="H284">
        <v>0</v>
      </c>
      <c r="N284">
        <v>313.14999999999998</v>
      </c>
    </row>
    <row r="285" spans="1:14" x14ac:dyDescent="0.25">
      <c r="A285" s="1">
        <v>43518</v>
      </c>
      <c r="B285">
        <v>298.69536099911761</v>
      </c>
      <c r="C285">
        <v>302.02476788923514</v>
      </c>
      <c r="D285">
        <v>297.22092098840096</v>
      </c>
      <c r="E285">
        <v>299.83688354492188</v>
      </c>
      <c r="F285">
        <v>581643</v>
      </c>
      <c r="G285">
        <v>0</v>
      </c>
      <c r="H285">
        <v>0</v>
      </c>
      <c r="N285">
        <v>315.2</v>
      </c>
    </row>
    <row r="286" spans="1:14" x14ac:dyDescent="0.25">
      <c r="A286" s="1">
        <v>43521</v>
      </c>
      <c r="B286">
        <v>301.64424307569561</v>
      </c>
      <c r="C286">
        <v>302.11987258889286</v>
      </c>
      <c r="D286">
        <v>297.79162660072524</v>
      </c>
      <c r="E286">
        <v>298.45751953125</v>
      </c>
      <c r="F286">
        <v>681427</v>
      </c>
      <c r="G286">
        <v>0</v>
      </c>
      <c r="H286">
        <v>0</v>
      </c>
      <c r="N286">
        <v>313.75</v>
      </c>
    </row>
    <row r="287" spans="1:14" x14ac:dyDescent="0.25">
      <c r="A287" s="1">
        <v>43522</v>
      </c>
      <c r="B287">
        <v>296.55499331826712</v>
      </c>
      <c r="C287">
        <v>298.60019436271375</v>
      </c>
      <c r="D287">
        <v>293.13045511145464</v>
      </c>
      <c r="E287">
        <v>297.22088623046875</v>
      </c>
      <c r="F287">
        <v>607951</v>
      </c>
      <c r="G287">
        <v>0</v>
      </c>
      <c r="H287">
        <v>0</v>
      </c>
      <c r="N287">
        <v>312.45</v>
      </c>
    </row>
    <row r="288" spans="1:14" x14ac:dyDescent="0.25">
      <c r="A288" s="1">
        <v>43523</v>
      </c>
      <c r="B288">
        <v>297.98192900595484</v>
      </c>
      <c r="C288">
        <v>311.82273803887404</v>
      </c>
      <c r="D288">
        <v>297.2684846428121</v>
      </c>
      <c r="E288">
        <v>304.02243041992188</v>
      </c>
      <c r="F288">
        <v>2145842</v>
      </c>
      <c r="G288">
        <v>0</v>
      </c>
      <c r="H288">
        <v>0</v>
      </c>
      <c r="N288">
        <v>319.60000000000002</v>
      </c>
    </row>
    <row r="289" spans="1:14" x14ac:dyDescent="0.25">
      <c r="A289" s="1">
        <v>43524</v>
      </c>
      <c r="B289">
        <v>305.82980418191346</v>
      </c>
      <c r="C289">
        <v>313.29719400917634</v>
      </c>
      <c r="D289">
        <v>299.78930302112923</v>
      </c>
      <c r="E289">
        <v>303.16629028320313</v>
      </c>
      <c r="F289">
        <v>4430968</v>
      </c>
      <c r="G289">
        <v>0</v>
      </c>
      <c r="H289">
        <v>0</v>
      </c>
      <c r="N289">
        <v>318.7</v>
      </c>
    </row>
    <row r="290" spans="1:14" x14ac:dyDescent="0.25">
      <c r="A290" s="1">
        <v>43525</v>
      </c>
      <c r="B290">
        <v>305.02120198845944</v>
      </c>
      <c r="C290">
        <v>308.39818896109483</v>
      </c>
      <c r="D290">
        <v>301.97719051227909</v>
      </c>
      <c r="E290">
        <v>307.44692993164063</v>
      </c>
      <c r="F290">
        <v>970103</v>
      </c>
      <c r="G290">
        <v>0</v>
      </c>
      <c r="H290">
        <v>0</v>
      </c>
      <c r="N290">
        <v>323.2</v>
      </c>
    </row>
    <row r="291" spans="1:14" x14ac:dyDescent="0.25">
      <c r="A291" s="1">
        <v>43529</v>
      </c>
      <c r="B291">
        <v>304.40291384389036</v>
      </c>
      <c r="C291">
        <v>316.53146744235789</v>
      </c>
      <c r="D291">
        <v>304.40291384389036</v>
      </c>
      <c r="E291">
        <v>315.15213012695313</v>
      </c>
      <c r="F291">
        <v>2292914</v>
      </c>
      <c r="G291">
        <v>0</v>
      </c>
      <c r="H291">
        <v>0</v>
      </c>
      <c r="N291">
        <v>331.3</v>
      </c>
    </row>
    <row r="292" spans="1:14" x14ac:dyDescent="0.25">
      <c r="A292" s="1">
        <v>43530</v>
      </c>
      <c r="B292">
        <v>315.8179846130808</v>
      </c>
      <c r="C292">
        <v>321.81090463676276</v>
      </c>
      <c r="D292">
        <v>311.53731915898783</v>
      </c>
      <c r="E292">
        <v>314.2484130859375</v>
      </c>
      <c r="F292">
        <v>1355928</v>
      </c>
      <c r="G292">
        <v>0</v>
      </c>
      <c r="H292">
        <v>0</v>
      </c>
      <c r="N292">
        <v>330.35</v>
      </c>
    </row>
    <row r="293" spans="1:14" x14ac:dyDescent="0.25">
      <c r="A293" s="1">
        <v>43531</v>
      </c>
      <c r="B293">
        <v>314.8191960769762</v>
      </c>
      <c r="C293">
        <v>317.38757810913773</v>
      </c>
      <c r="D293">
        <v>308.2079340282109</v>
      </c>
      <c r="E293">
        <v>310.68121337890625</v>
      </c>
      <c r="F293">
        <v>1173766</v>
      </c>
      <c r="G293">
        <v>0</v>
      </c>
      <c r="H293">
        <v>0</v>
      </c>
      <c r="N293">
        <v>326.60000000000002</v>
      </c>
    </row>
    <row r="294" spans="1:14" x14ac:dyDescent="0.25">
      <c r="A294" s="1">
        <v>43532</v>
      </c>
      <c r="B294">
        <v>310.11044366987784</v>
      </c>
      <c r="C294">
        <v>319.62303396649986</v>
      </c>
      <c r="D294">
        <v>308.3981890285346</v>
      </c>
      <c r="E294">
        <v>309.11163330078125</v>
      </c>
      <c r="F294">
        <v>599037</v>
      </c>
      <c r="G294">
        <v>0</v>
      </c>
      <c r="H294">
        <v>0</v>
      </c>
      <c r="N294">
        <v>324.95</v>
      </c>
    </row>
    <row r="295" spans="1:14" x14ac:dyDescent="0.25">
      <c r="A295" s="1">
        <v>43535</v>
      </c>
      <c r="B295">
        <v>311.01416421313974</v>
      </c>
      <c r="C295">
        <v>317.57784598303664</v>
      </c>
      <c r="D295">
        <v>309.15919741659104</v>
      </c>
      <c r="E295">
        <v>316.6265869140625</v>
      </c>
      <c r="F295">
        <v>728477</v>
      </c>
      <c r="G295">
        <v>0</v>
      </c>
      <c r="H295">
        <v>0</v>
      </c>
      <c r="N295">
        <v>332.85</v>
      </c>
    </row>
    <row r="296" spans="1:14" x14ac:dyDescent="0.25">
      <c r="A296" s="1">
        <v>43536</v>
      </c>
      <c r="B296">
        <v>317.05463607392727</v>
      </c>
      <c r="C296">
        <v>326.09159722909311</v>
      </c>
      <c r="D296">
        <v>317.05463607392727</v>
      </c>
      <c r="E296">
        <v>319.95599365234375</v>
      </c>
      <c r="F296">
        <v>1840847</v>
      </c>
      <c r="G296">
        <v>0</v>
      </c>
      <c r="H296">
        <v>0</v>
      </c>
      <c r="N296">
        <v>336.35</v>
      </c>
    </row>
    <row r="297" spans="1:14" x14ac:dyDescent="0.25">
      <c r="A297" s="1">
        <v>43537</v>
      </c>
      <c r="B297">
        <v>320.33649975324738</v>
      </c>
      <c r="C297">
        <v>321.90607145158157</v>
      </c>
      <c r="D297">
        <v>311.39467007989418</v>
      </c>
      <c r="E297">
        <v>314.5338134765625</v>
      </c>
      <c r="F297">
        <v>2257887</v>
      </c>
      <c r="G297">
        <v>0</v>
      </c>
      <c r="H297">
        <v>0</v>
      </c>
      <c r="N297">
        <v>330.65</v>
      </c>
    </row>
    <row r="298" spans="1:14" x14ac:dyDescent="0.25">
      <c r="A298" s="1">
        <v>43538</v>
      </c>
      <c r="B298">
        <v>316.24609726302822</v>
      </c>
      <c r="C298">
        <v>319.33768931706851</v>
      </c>
      <c r="D298">
        <v>312.48861223145292</v>
      </c>
      <c r="E298">
        <v>314.5338134765625</v>
      </c>
      <c r="F298">
        <v>953743</v>
      </c>
      <c r="G298">
        <v>0</v>
      </c>
      <c r="H298">
        <v>0</v>
      </c>
      <c r="N298">
        <v>330.65</v>
      </c>
    </row>
    <row r="299" spans="1:14" x14ac:dyDescent="0.25">
      <c r="A299" s="1">
        <v>43539</v>
      </c>
      <c r="B299">
        <v>315.00942251674672</v>
      </c>
      <c r="C299">
        <v>332.41748021356574</v>
      </c>
      <c r="D299">
        <v>313.34471921140215</v>
      </c>
      <c r="E299">
        <v>325.7586669921875</v>
      </c>
      <c r="F299">
        <v>3777187</v>
      </c>
      <c r="G299">
        <v>0</v>
      </c>
      <c r="H299">
        <v>0</v>
      </c>
      <c r="N299">
        <v>342.45</v>
      </c>
    </row>
    <row r="300" spans="1:14" x14ac:dyDescent="0.25">
      <c r="A300" s="1">
        <v>43542</v>
      </c>
      <c r="B300">
        <v>328.61244780174957</v>
      </c>
      <c r="C300">
        <v>328.61244780174957</v>
      </c>
      <c r="D300">
        <v>321.33529290345524</v>
      </c>
      <c r="E300">
        <v>322.71463012695313</v>
      </c>
      <c r="F300">
        <v>983011</v>
      </c>
      <c r="G300">
        <v>0</v>
      </c>
      <c r="H300">
        <v>0</v>
      </c>
      <c r="N300">
        <v>339.25</v>
      </c>
    </row>
    <row r="301" spans="1:14" x14ac:dyDescent="0.25">
      <c r="A301" s="1">
        <v>43543</v>
      </c>
      <c r="B301">
        <v>324.23668089795109</v>
      </c>
      <c r="C301">
        <v>327.61363920397753</v>
      </c>
      <c r="D301">
        <v>319.43280486402102</v>
      </c>
      <c r="E301">
        <v>320.71701049804688</v>
      </c>
      <c r="F301">
        <v>855722</v>
      </c>
      <c r="G301">
        <v>0</v>
      </c>
      <c r="H301">
        <v>0</v>
      </c>
      <c r="N301">
        <v>337.15</v>
      </c>
    </row>
    <row r="302" spans="1:14" x14ac:dyDescent="0.25">
      <c r="A302" s="1">
        <v>43544</v>
      </c>
      <c r="B302">
        <v>321.04995259795453</v>
      </c>
      <c r="C302">
        <v>325.23548691468812</v>
      </c>
      <c r="D302">
        <v>319.86087869944356</v>
      </c>
      <c r="E302">
        <v>321.43045043945313</v>
      </c>
      <c r="F302">
        <v>498505</v>
      </c>
      <c r="G302">
        <v>0</v>
      </c>
      <c r="H302">
        <v>0</v>
      </c>
      <c r="N302">
        <v>337.9</v>
      </c>
    </row>
    <row r="303" spans="1:14" x14ac:dyDescent="0.25">
      <c r="A303" s="1">
        <v>43546</v>
      </c>
      <c r="B303">
        <v>321.43043360033266</v>
      </c>
      <c r="C303">
        <v>325.66354806931673</v>
      </c>
      <c r="D303">
        <v>314.62893706319227</v>
      </c>
      <c r="E303">
        <v>316.6265869140625</v>
      </c>
      <c r="F303">
        <v>1028812</v>
      </c>
      <c r="G303">
        <v>0</v>
      </c>
      <c r="H303">
        <v>0</v>
      </c>
      <c r="N303">
        <v>332.85</v>
      </c>
    </row>
    <row r="304" spans="1:14" x14ac:dyDescent="0.25">
      <c r="A304" s="1">
        <v>43549</v>
      </c>
      <c r="B304">
        <v>316.43632785576392</v>
      </c>
      <c r="C304">
        <v>317.72053342262859</v>
      </c>
      <c r="D304">
        <v>309.20675302575131</v>
      </c>
      <c r="E304">
        <v>315.91314697265625</v>
      </c>
      <c r="F304">
        <v>627229</v>
      </c>
      <c r="G304">
        <v>0</v>
      </c>
      <c r="H304">
        <v>0</v>
      </c>
      <c r="N304">
        <v>332.1</v>
      </c>
    </row>
    <row r="305" spans="1:14" x14ac:dyDescent="0.25">
      <c r="A305" s="1">
        <v>43550</v>
      </c>
      <c r="B305">
        <v>316.150961984074</v>
      </c>
      <c r="C305">
        <v>320.47917919889431</v>
      </c>
      <c r="D305">
        <v>315.53264938626018</v>
      </c>
      <c r="E305">
        <v>319.57550048828125</v>
      </c>
      <c r="F305">
        <v>860971</v>
      </c>
      <c r="G305">
        <v>0</v>
      </c>
      <c r="H305">
        <v>0</v>
      </c>
      <c r="N305">
        <v>335.95</v>
      </c>
    </row>
    <row r="306" spans="1:14" x14ac:dyDescent="0.25">
      <c r="A306" s="1">
        <v>43551</v>
      </c>
      <c r="B306">
        <v>319.62302024147726</v>
      </c>
      <c r="C306">
        <v>325.0452080897648</v>
      </c>
      <c r="D306">
        <v>313.10689036207782</v>
      </c>
      <c r="E306">
        <v>313.91546630859375</v>
      </c>
      <c r="F306">
        <v>964560</v>
      </c>
      <c r="G306">
        <v>0</v>
      </c>
      <c r="H306">
        <v>0</v>
      </c>
      <c r="N306">
        <v>330</v>
      </c>
    </row>
    <row r="307" spans="1:14" x14ac:dyDescent="0.25">
      <c r="A307" s="1">
        <v>43552</v>
      </c>
      <c r="B307">
        <v>315.81801549905936</v>
      </c>
      <c r="C307">
        <v>321.33530656741527</v>
      </c>
      <c r="D307">
        <v>314.39112687481662</v>
      </c>
      <c r="E307">
        <v>319.57550048828125</v>
      </c>
      <c r="F307">
        <v>770606</v>
      </c>
      <c r="G307">
        <v>0</v>
      </c>
      <c r="H307">
        <v>0</v>
      </c>
      <c r="N307">
        <v>335.95</v>
      </c>
    </row>
    <row r="308" spans="1:14" x14ac:dyDescent="0.25">
      <c r="A308" s="1">
        <v>43556</v>
      </c>
      <c r="B308">
        <v>331.94190761044933</v>
      </c>
      <c r="C308">
        <v>335.41399786516092</v>
      </c>
      <c r="D308">
        <v>326.42458686298306</v>
      </c>
      <c r="E308">
        <v>327.47097778320313</v>
      </c>
      <c r="F308">
        <v>1190335</v>
      </c>
      <c r="G308">
        <v>0</v>
      </c>
      <c r="H308">
        <v>0</v>
      </c>
      <c r="N308">
        <v>344.25</v>
      </c>
    </row>
    <row r="309" spans="1:14" x14ac:dyDescent="0.25">
      <c r="A309" s="1">
        <v>43557</v>
      </c>
      <c r="B309">
        <v>329.42097234815003</v>
      </c>
      <c r="C309">
        <v>331.70401711860615</v>
      </c>
      <c r="D309">
        <v>325.61593643754998</v>
      </c>
      <c r="E309">
        <v>327.2806396484375</v>
      </c>
      <c r="F309">
        <v>778319</v>
      </c>
      <c r="G309">
        <v>0</v>
      </c>
      <c r="H309">
        <v>0</v>
      </c>
      <c r="N309">
        <v>344.05</v>
      </c>
    </row>
    <row r="310" spans="1:14" x14ac:dyDescent="0.25">
      <c r="A310" s="1">
        <v>43558</v>
      </c>
      <c r="B310">
        <v>328.9453785805245</v>
      </c>
      <c r="C310">
        <v>329.3734567790014</v>
      </c>
      <c r="D310">
        <v>321.09749116268546</v>
      </c>
      <c r="E310">
        <v>322.239013671875</v>
      </c>
      <c r="F310">
        <v>609970</v>
      </c>
      <c r="G310">
        <v>0</v>
      </c>
      <c r="H310">
        <v>0</v>
      </c>
      <c r="N310">
        <v>338.75</v>
      </c>
    </row>
    <row r="311" spans="1:14" x14ac:dyDescent="0.25">
      <c r="A311" s="1">
        <v>43559</v>
      </c>
      <c r="B311">
        <v>323.14268664440652</v>
      </c>
      <c r="C311">
        <v>329.13560659757439</v>
      </c>
      <c r="D311">
        <v>321.00235394254372</v>
      </c>
      <c r="E311">
        <v>327.61358642578125</v>
      </c>
      <c r="F311">
        <v>554711</v>
      </c>
      <c r="G311">
        <v>0</v>
      </c>
      <c r="H311">
        <v>0</v>
      </c>
      <c r="N311">
        <v>344.4</v>
      </c>
    </row>
    <row r="312" spans="1:14" x14ac:dyDescent="0.25">
      <c r="A312" s="1">
        <v>43560</v>
      </c>
      <c r="B312">
        <v>329.2782940971307</v>
      </c>
      <c r="C312">
        <v>331.94183669136612</v>
      </c>
      <c r="D312">
        <v>326.662331870542</v>
      </c>
      <c r="E312">
        <v>328.56484985351563</v>
      </c>
      <c r="F312">
        <v>749516</v>
      </c>
      <c r="G312">
        <v>0</v>
      </c>
      <c r="H312">
        <v>0</v>
      </c>
      <c r="N312">
        <v>345.4</v>
      </c>
    </row>
    <row r="313" spans="1:14" x14ac:dyDescent="0.25">
      <c r="A313" s="1">
        <v>43563</v>
      </c>
      <c r="B313">
        <v>329.13562494240915</v>
      </c>
      <c r="C313">
        <v>332.94066106891097</v>
      </c>
      <c r="D313">
        <v>323.71343685009532</v>
      </c>
      <c r="E313">
        <v>325.7586669921875</v>
      </c>
      <c r="F313">
        <v>1622334</v>
      </c>
      <c r="G313">
        <v>0</v>
      </c>
      <c r="H313">
        <v>0</v>
      </c>
      <c r="N313">
        <v>342.45</v>
      </c>
    </row>
    <row r="314" spans="1:14" x14ac:dyDescent="0.25">
      <c r="A314" s="1">
        <v>43564</v>
      </c>
      <c r="B314">
        <v>325.80620051781608</v>
      </c>
      <c r="C314">
        <v>327.70871847704421</v>
      </c>
      <c r="D314">
        <v>322.5243454260995</v>
      </c>
      <c r="E314">
        <v>324.9500732421875</v>
      </c>
      <c r="F314">
        <v>445165</v>
      </c>
      <c r="G314">
        <v>0</v>
      </c>
      <c r="H314">
        <v>0</v>
      </c>
      <c r="N314">
        <v>341.6</v>
      </c>
    </row>
    <row r="315" spans="1:14" x14ac:dyDescent="0.25">
      <c r="A315" s="1">
        <v>43565</v>
      </c>
      <c r="B315">
        <v>323.99880950627596</v>
      </c>
      <c r="C315">
        <v>331.89424730911963</v>
      </c>
      <c r="D315">
        <v>322.71460409662501</v>
      </c>
      <c r="E315">
        <v>326.66232299804688</v>
      </c>
      <c r="F315">
        <v>998246</v>
      </c>
      <c r="G315">
        <v>0</v>
      </c>
      <c r="H315">
        <v>0</v>
      </c>
      <c r="N315">
        <v>343.4</v>
      </c>
    </row>
    <row r="316" spans="1:14" x14ac:dyDescent="0.25">
      <c r="A316" s="1">
        <v>43566</v>
      </c>
      <c r="B316">
        <v>328.08924707220922</v>
      </c>
      <c r="C316">
        <v>329.46858433422489</v>
      </c>
      <c r="D316">
        <v>325.75867977137409</v>
      </c>
      <c r="E316">
        <v>328.27951049804688</v>
      </c>
      <c r="F316">
        <v>590665</v>
      </c>
      <c r="G316">
        <v>0</v>
      </c>
      <c r="H316">
        <v>0</v>
      </c>
      <c r="N316">
        <v>345.1</v>
      </c>
    </row>
    <row r="317" spans="1:14" x14ac:dyDescent="0.25">
      <c r="A317" s="1">
        <v>43567</v>
      </c>
      <c r="B317">
        <v>326.51967919678521</v>
      </c>
      <c r="C317">
        <v>330.22958380261042</v>
      </c>
      <c r="D317">
        <v>324.56960969491342</v>
      </c>
      <c r="E317">
        <v>325.2354736328125</v>
      </c>
      <c r="F317">
        <v>501500</v>
      </c>
      <c r="G317">
        <v>0</v>
      </c>
      <c r="H317">
        <v>0</v>
      </c>
      <c r="N317">
        <v>341.9</v>
      </c>
    </row>
    <row r="318" spans="1:14" x14ac:dyDescent="0.25">
      <c r="A318" s="1">
        <v>43570</v>
      </c>
      <c r="B318">
        <v>324.90251435742567</v>
      </c>
      <c r="C318">
        <v>327.42337404417634</v>
      </c>
      <c r="D318">
        <v>322.28655199052167</v>
      </c>
      <c r="E318">
        <v>324.37933349609375</v>
      </c>
      <c r="F318">
        <v>508153</v>
      </c>
      <c r="G318">
        <v>0</v>
      </c>
      <c r="H318">
        <v>0</v>
      </c>
      <c r="N318">
        <v>341</v>
      </c>
    </row>
    <row r="319" spans="1:14" x14ac:dyDescent="0.25">
      <c r="A319" s="1">
        <v>43571</v>
      </c>
      <c r="B319">
        <v>324.42691085767581</v>
      </c>
      <c r="C319">
        <v>326.09161431559113</v>
      </c>
      <c r="D319">
        <v>320.47919132064436</v>
      </c>
      <c r="E319">
        <v>321.43045043945313</v>
      </c>
      <c r="F319">
        <v>951058</v>
      </c>
      <c r="G319">
        <v>0</v>
      </c>
      <c r="H319">
        <v>0</v>
      </c>
      <c r="N319">
        <v>337.9</v>
      </c>
    </row>
    <row r="320" spans="1:14" x14ac:dyDescent="0.25">
      <c r="A320" s="1">
        <v>43573</v>
      </c>
      <c r="B320">
        <v>323.0951234660738</v>
      </c>
      <c r="C320">
        <v>323.80856773798337</v>
      </c>
      <c r="D320">
        <v>317.95833051434948</v>
      </c>
      <c r="E320">
        <v>320.09866333007813</v>
      </c>
      <c r="F320">
        <v>896846</v>
      </c>
      <c r="G320">
        <v>0</v>
      </c>
      <c r="H320">
        <v>0</v>
      </c>
      <c r="N320">
        <v>336.5</v>
      </c>
    </row>
    <row r="321" spans="1:14" x14ac:dyDescent="0.25">
      <c r="A321" s="1">
        <v>43577</v>
      </c>
      <c r="B321">
        <v>315.81798493924816</v>
      </c>
      <c r="C321">
        <v>319.43275749216724</v>
      </c>
      <c r="D321">
        <v>313.29715441970296</v>
      </c>
      <c r="E321">
        <v>314.58135986328125</v>
      </c>
      <c r="F321">
        <v>459004</v>
      </c>
      <c r="G321">
        <v>0</v>
      </c>
      <c r="H321">
        <v>0</v>
      </c>
      <c r="N321">
        <v>330.7</v>
      </c>
    </row>
    <row r="322" spans="1:14" x14ac:dyDescent="0.25">
      <c r="A322" s="1">
        <v>43578</v>
      </c>
      <c r="B322">
        <v>315.8180326164449</v>
      </c>
      <c r="C322">
        <v>317.14978959856154</v>
      </c>
      <c r="D322">
        <v>311.87031301476429</v>
      </c>
      <c r="E322">
        <v>312.7264404296875</v>
      </c>
      <c r="F322">
        <v>512716</v>
      </c>
      <c r="G322">
        <v>0</v>
      </c>
      <c r="H322">
        <v>0</v>
      </c>
      <c r="N322">
        <v>328.75</v>
      </c>
    </row>
    <row r="323" spans="1:14" x14ac:dyDescent="0.25">
      <c r="A323" s="1">
        <v>43579</v>
      </c>
      <c r="B323">
        <v>313.53497660897506</v>
      </c>
      <c r="C323">
        <v>314.67647000693245</v>
      </c>
      <c r="D323">
        <v>310.20557006222037</v>
      </c>
      <c r="E323">
        <v>313.48739624023438</v>
      </c>
      <c r="F323">
        <v>807639</v>
      </c>
      <c r="G323">
        <v>0</v>
      </c>
      <c r="H323">
        <v>0</v>
      </c>
      <c r="N323">
        <v>329.55</v>
      </c>
    </row>
    <row r="324" spans="1:14" x14ac:dyDescent="0.25">
      <c r="A324" s="1">
        <v>43580</v>
      </c>
      <c r="B324">
        <v>313.48742818415184</v>
      </c>
      <c r="C324">
        <v>315.19971200074912</v>
      </c>
      <c r="D324">
        <v>307.25669262379944</v>
      </c>
      <c r="E324">
        <v>308.160400390625</v>
      </c>
      <c r="F324">
        <v>1722880</v>
      </c>
      <c r="G324">
        <v>0</v>
      </c>
      <c r="H324">
        <v>0</v>
      </c>
      <c r="N324">
        <v>323.95</v>
      </c>
    </row>
    <row r="325" spans="1:14" x14ac:dyDescent="0.25">
      <c r="A325" s="1">
        <v>43581</v>
      </c>
      <c r="B325">
        <v>309.15919280633693</v>
      </c>
      <c r="C325">
        <v>315.10456189876652</v>
      </c>
      <c r="D325">
        <v>309.11164146564653</v>
      </c>
      <c r="E325">
        <v>312.01296997070313</v>
      </c>
      <c r="F325">
        <v>1025254</v>
      </c>
      <c r="G325">
        <v>0</v>
      </c>
      <c r="H325">
        <v>0</v>
      </c>
      <c r="N325">
        <v>328</v>
      </c>
    </row>
    <row r="326" spans="1:14" x14ac:dyDescent="0.25">
      <c r="A326" s="1">
        <v>43585</v>
      </c>
      <c r="B326">
        <v>312.01297932381414</v>
      </c>
      <c r="C326">
        <v>312.82155535064749</v>
      </c>
      <c r="D326">
        <v>304.87853619903183</v>
      </c>
      <c r="E326">
        <v>309.5872802734375</v>
      </c>
      <c r="F326">
        <v>1221560</v>
      </c>
      <c r="G326">
        <v>0</v>
      </c>
      <c r="H326">
        <v>0</v>
      </c>
      <c r="N326">
        <v>325.45</v>
      </c>
    </row>
    <row r="327" spans="1:14" x14ac:dyDescent="0.25">
      <c r="A327" s="1">
        <v>43587</v>
      </c>
      <c r="B327">
        <v>308.06526366502811</v>
      </c>
      <c r="C327">
        <v>308.49331283962499</v>
      </c>
      <c r="D327">
        <v>297.93436011116898</v>
      </c>
      <c r="E327">
        <v>299.55148315429688</v>
      </c>
      <c r="F327">
        <v>1091370</v>
      </c>
      <c r="G327">
        <v>0</v>
      </c>
      <c r="H327">
        <v>0</v>
      </c>
      <c r="N327">
        <v>314.89999999999998</v>
      </c>
    </row>
    <row r="328" spans="1:14" x14ac:dyDescent="0.25">
      <c r="A328" s="1">
        <v>43588</v>
      </c>
      <c r="B328">
        <v>297.26848598365882</v>
      </c>
      <c r="C328">
        <v>303.26140704903912</v>
      </c>
      <c r="D328">
        <v>285.42529789001964</v>
      </c>
      <c r="E328">
        <v>289.04010009765625</v>
      </c>
      <c r="F328">
        <v>2044853</v>
      </c>
      <c r="G328">
        <v>0</v>
      </c>
      <c r="H328">
        <v>0</v>
      </c>
      <c r="N328">
        <v>303.85000000000002</v>
      </c>
    </row>
    <row r="329" spans="1:14" x14ac:dyDescent="0.25">
      <c r="A329" s="1">
        <v>43591</v>
      </c>
      <c r="B329">
        <v>278.71892413357176</v>
      </c>
      <c r="C329">
        <v>296.26966663389607</v>
      </c>
      <c r="D329">
        <v>278.57624107058638</v>
      </c>
      <c r="E329">
        <v>292.46463012695313</v>
      </c>
      <c r="F329">
        <v>4497822</v>
      </c>
      <c r="G329">
        <v>0</v>
      </c>
      <c r="H329">
        <v>0</v>
      </c>
      <c r="N329">
        <v>307.45</v>
      </c>
    </row>
    <row r="330" spans="1:14" x14ac:dyDescent="0.25">
      <c r="A330" s="1">
        <v>43592</v>
      </c>
      <c r="B330">
        <v>292.0365389844705</v>
      </c>
      <c r="C330">
        <v>294.89031623839043</v>
      </c>
      <c r="D330">
        <v>282.76176290923081</v>
      </c>
      <c r="E330">
        <v>284.61672973632813</v>
      </c>
      <c r="F330">
        <v>1434753</v>
      </c>
      <c r="G330">
        <v>0</v>
      </c>
      <c r="H330">
        <v>0</v>
      </c>
      <c r="N330">
        <v>299.2</v>
      </c>
    </row>
    <row r="331" spans="1:14" x14ac:dyDescent="0.25">
      <c r="A331" s="1">
        <v>43593</v>
      </c>
      <c r="B331">
        <v>284.33133450020949</v>
      </c>
      <c r="C331">
        <v>285.37772529899718</v>
      </c>
      <c r="D331">
        <v>270.77589254850716</v>
      </c>
      <c r="E331">
        <v>272.630859375</v>
      </c>
      <c r="F331">
        <v>2044037</v>
      </c>
      <c r="G331">
        <v>0</v>
      </c>
      <c r="H331">
        <v>0</v>
      </c>
      <c r="N331">
        <v>286.60000000000002</v>
      </c>
    </row>
    <row r="332" spans="1:14" x14ac:dyDescent="0.25">
      <c r="A332" s="1">
        <v>43594</v>
      </c>
      <c r="B332">
        <v>270.39541511050294</v>
      </c>
      <c r="C332">
        <v>278.19575180225809</v>
      </c>
      <c r="D332">
        <v>268.5404481441326</v>
      </c>
      <c r="E332">
        <v>276.38833618164063</v>
      </c>
      <c r="F332">
        <v>2109439</v>
      </c>
      <c r="G332">
        <v>0</v>
      </c>
      <c r="H332">
        <v>0</v>
      </c>
      <c r="N332">
        <v>290.55</v>
      </c>
    </row>
    <row r="333" spans="1:14" x14ac:dyDescent="0.25">
      <c r="A333" s="1">
        <v>43595</v>
      </c>
      <c r="B333">
        <v>273.96259858470182</v>
      </c>
      <c r="C333">
        <v>280.52628003643599</v>
      </c>
      <c r="D333">
        <v>272.67839309781175</v>
      </c>
      <c r="E333">
        <v>275.15167236328125</v>
      </c>
      <c r="F333">
        <v>917658</v>
      </c>
      <c r="G333">
        <v>0</v>
      </c>
      <c r="H333">
        <v>0</v>
      </c>
      <c r="N333">
        <v>289.25</v>
      </c>
    </row>
    <row r="334" spans="1:14" x14ac:dyDescent="0.25">
      <c r="A334" s="1">
        <v>43598</v>
      </c>
      <c r="B334">
        <v>266.01955661380157</v>
      </c>
      <c r="C334">
        <v>270.20509014139918</v>
      </c>
      <c r="D334">
        <v>252.08361895674494</v>
      </c>
      <c r="E334">
        <v>255.7459716796875</v>
      </c>
      <c r="F334">
        <v>3848880</v>
      </c>
      <c r="G334">
        <v>0</v>
      </c>
      <c r="H334">
        <v>0</v>
      </c>
      <c r="N334">
        <v>268.85000000000002</v>
      </c>
    </row>
    <row r="335" spans="1:14" x14ac:dyDescent="0.25">
      <c r="A335" s="1">
        <v>43599</v>
      </c>
      <c r="B335">
        <v>254.93742321576954</v>
      </c>
      <c r="C335">
        <v>255.88868225761942</v>
      </c>
      <c r="D335">
        <v>246.75658964983609</v>
      </c>
      <c r="E335">
        <v>247.94566345214844</v>
      </c>
      <c r="F335">
        <v>2820073</v>
      </c>
      <c r="G335">
        <v>0</v>
      </c>
      <c r="H335">
        <v>0</v>
      </c>
      <c r="N335">
        <v>260.64999999999998</v>
      </c>
    </row>
    <row r="336" spans="1:14" x14ac:dyDescent="0.25">
      <c r="A336" s="1">
        <v>43600</v>
      </c>
      <c r="B336">
        <v>250.18114651178652</v>
      </c>
      <c r="C336">
        <v>251.65558652366559</v>
      </c>
      <c r="D336">
        <v>242.66620533133565</v>
      </c>
      <c r="E336">
        <v>247.75544738769531</v>
      </c>
      <c r="F336">
        <v>2946302</v>
      </c>
      <c r="G336">
        <v>0</v>
      </c>
      <c r="H336">
        <v>0</v>
      </c>
      <c r="N336">
        <v>260.45</v>
      </c>
    </row>
    <row r="337" spans="1:14" x14ac:dyDescent="0.25">
      <c r="A337" s="1">
        <v>43601</v>
      </c>
      <c r="B337">
        <v>247.51762833023406</v>
      </c>
      <c r="C337">
        <v>248.27862399479696</v>
      </c>
      <c r="D337">
        <v>229.96688640131097</v>
      </c>
      <c r="E337">
        <v>245.13948059082031</v>
      </c>
      <c r="F337">
        <v>8000269</v>
      </c>
      <c r="G337">
        <v>0</v>
      </c>
      <c r="H337">
        <v>0</v>
      </c>
      <c r="N337">
        <v>257.7</v>
      </c>
    </row>
    <row r="338" spans="1:14" x14ac:dyDescent="0.25">
      <c r="A338" s="1">
        <v>43602</v>
      </c>
      <c r="B338">
        <v>245.13946414880948</v>
      </c>
      <c r="C338">
        <v>247.51761172871596</v>
      </c>
      <c r="D338">
        <v>235.15122979814132</v>
      </c>
      <c r="E338">
        <v>237.4818115234375</v>
      </c>
      <c r="F338">
        <v>4218861</v>
      </c>
      <c r="G338">
        <v>0</v>
      </c>
      <c r="H338">
        <v>0</v>
      </c>
      <c r="N338">
        <v>249.65</v>
      </c>
    </row>
    <row r="339" spans="1:14" x14ac:dyDescent="0.25">
      <c r="A339" s="1">
        <v>43605</v>
      </c>
      <c r="B339">
        <v>238.81359646198251</v>
      </c>
      <c r="C339">
        <v>244.90166332189551</v>
      </c>
      <c r="D339">
        <v>235.91225334644332</v>
      </c>
      <c r="E339">
        <v>238.33796691894531</v>
      </c>
      <c r="F339">
        <v>3865005</v>
      </c>
      <c r="G339">
        <v>0</v>
      </c>
      <c r="H339">
        <v>0</v>
      </c>
      <c r="N339">
        <v>250.55</v>
      </c>
    </row>
    <row r="340" spans="1:14" x14ac:dyDescent="0.25">
      <c r="A340" s="1">
        <v>43606</v>
      </c>
      <c r="B340">
        <v>239.43189556590937</v>
      </c>
      <c r="C340">
        <v>242.57105327602304</v>
      </c>
      <c r="D340">
        <v>231.15594488656313</v>
      </c>
      <c r="E340">
        <v>232.82064819335938</v>
      </c>
      <c r="F340">
        <v>3941548</v>
      </c>
      <c r="G340">
        <v>0</v>
      </c>
      <c r="H340">
        <v>0</v>
      </c>
      <c r="N340">
        <v>244.75</v>
      </c>
    </row>
    <row r="341" spans="1:14" x14ac:dyDescent="0.25">
      <c r="A341" s="1">
        <v>43607</v>
      </c>
      <c r="B341">
        <v>232.48770221115714</v>
      </c>
      <c r="C341">
        <v>239.38433021084847</v>
      </c>
      <c r="D341">
        <v>230.29981804399347</v>
      </c>
      <c r="E341">
        <v>238.147705078125</v>
      </c>
      <c r="F341">
        <v>3185013</v>
      </c>
      <c r="G341">
        <v>0</v>
      </c>
      <c r="H341">
        <v>0</v>
      </c>
      <c r="N341">
        <v>250.35</v>
      </c>
    </row>
    <row r="342" spans="1:14" x14ac:dyDescent="0.25">
      <c r="A342" s="1">
        <v>43608</v>
      </c>
      <c r="B342">
        <v>240.66855539138487</v>
      </c>
      <c r="C342">
        <v>243.23695209136352</v>
      </c>
      <c r="D342">
        <v>236.57813830583112</v>
      </c>
      <c r="E342">
        <v>238.10015869140625</v>
      </c>
      <c r="F342">
        <v>4433569</v>
      </c>
      <c r="G342">
        <v>0</v>
      </c>
      <c r="H342">
        <v>0</v>
      </c>
      <c r="N342">
        <v>250.3</v>
      </c>
    </row>
    <row r="343" spans="1:14" x14ac:dyDescent="0.25">
      <c r="A343" s="1">
        <v>43609</v>
      </c>
      <c r="B343">
        <v>236.91106536499726</v>
      </c>
      <c r="C343">
        <v>244.28330836481439</v>
      </c>
      <c r="D343">
        <v>235.57929400811176</v>
      </c>
      <c r="E343">
        <v>240.47828674316406</v>
      </c>
      <c r="F343">
        <v>3132312</v>
      </c>
      <c r="G343">
        <v>0</v>
      </c>
      <c r="H343">
        <v>0</v>
      </c>
      <c r="N343">
        <v>252.8</v>
      </c>
    </row>
    <row r="344" spans="1:14" x14ac:dyDescent="0.25">
      <c r="A344" s="1">
        <v>43612</v>
      </c>
      <c r="B344">
        <v>242.1905623628758</v>
      </c>
      <c r="C344">
        <v>247.08954071344115</v>
      </c>
      <c r="D344">
        <v>240.66854206160002</v>
      </c>
      <c r="E344">
        <v>242.57106018066406</v>
      </c>
      <c r="F344">
        <v>2755381</v>
      </c>
      <c r="G344">
        <v>0</v>
      </c>
      <c r="H344">
        <v>0</v>
      </c>
      <c r="N344">
        <v>255</v>
      </c>
    </row>
    <row r="345" spans="1:14" x14ac:dyDescent="0.25">
      <c r="A345" s="1">
        <v>43613</v>
      </c>
      <c r="B345">
        <v>243.76014052148247</v>
      </c>
      <c r="C345">
        <v>251.08484708773835</v>
      </c>
      <c r="D345">
        <v>238.48064969693169</v>
      </c>
      <c r="E345">
        <v>245.66265869140625</v>
      </c>
      <c r="F345">
        <v>24803528</v>
      </c>
      <c r="G345">
        <v>0</v>
      </c>
      <c r="H345">
        <v>0</v>
      </c>
      <c r="N345">
        <v>258.25</v>
      </c>
    </row>
    <row r="346" spans="1:14" x14ac:dyDescent="0.25">
      <c r="A346" s="1">
        <v>43614</v>
      </c>
      <c r="B346">
        <v>251.13237651806872</v>
      </c>
      <c r="C346">
        <v>257.50582344326506</v>
      </c>
      <c r="D346">
        <v>244.99674434336302</v>
      </c>
      <c r="E346">
        <v>250.89456176757813</v>
      </c>
      <c r="F346">
        <v>10126701</v>
      </c>
      <c r="G346">
        <v>0</v>
      </c>
      <c r="H346">
        <v>0</v>
      </c>
      <c r="N346">
        <v>263.75</v>
      </c>
    </row>
    <row r="347" spans="1:14" x14ac:dyDescent="0.25">
      <c r="A347" s="1">
        <v>43615</v>
      </c>
      <c r="B347">
        <v>251.94095905525819</v>
      </c>
      <c r="C347">
        <v>252.41658856866056</v>
      </c>
      <c r="D347">
        <v>241.23929500370491</v>
      </c>
      <c r="E347">
        <v>244.33088684082031</v>
      </c>
      <c r="F347">
        <v>4298962</v>
      </c>
      <c r="G347">
        <v>0</v>
      </c>
      <c r="H347">
        <v>0</v>
      </c>
      <c r="N347">
        <v>256.85000000000002</v>
      </c>
    </row>
    <row r="348" spans="1:14" x14ac:dyDescent="0.25">
      <c r="A348" s="1">
        <v>43616</v>
      </c>
      <c r="B348">
        <v>244.33089518484906</v>
      </c>
      <c r="C348">
        <v>244.33089518484906</v>
      </c>
      <c r="D348">
        <v>232.582839996584</v>
      </c>
      <c r="E348">
        <v>235.91224670410156</v>
      </c>
      <c r="F348">
        <v>5127827</v>
      </c>
      <c r="G348">
        <v>0</v>
      </c>
      <c r="H348">
        <v>0</v>
      </c>
      <c r="N348">
        <v>248</v>
      </c>
    </row>
    <row r="349" spans="1:14" x14ac:dyDescent="0.25">
      <c r="A349" s="1">
        <v>43619</v>
      </c>
      <c r="B349">
        <v>236.86351039160624</v>
      </c>
      <c r="C349">
        <v>242.28568423249817</v>
      </c>
      <c r="D349">
        <v>233.48653776212726</v>
      </c>
      <c r="E349">
        <v>240.52586364746094</v>
      </c>
      <c r="F349">
        <v>2657220</v>
      </c>
      <c r="G349">
        <v>0</v>
      </c>
      <c r="H349">
        <v>0</v>
      </c>
      <c r="N349">
        <v>252.85</v>
      </c>
    </row>
    <row r="350" spans="1:14" x14ac:dyDescent="0.25">
      <c r="A350" s="1">
        <v>43620</v>
      </c>
      <c r="B350">
        <v>240.66853935249597</v>
      </c>
      <c r="C350">
        <v>247.56516745647065</v>
      </c>
      <c r="D350">
        <v>238.67088954394089</v>
      </c>
      <c r="E350">
        <v>244.75894165039063</v>
      </c>
      <c r="F350">
        <v>2303202</v>
      </c>
      <c r="G350">
        <v>0</v>
      </c>
      <c r="H350">
        <v>0</v>
      </c>
      <c r="N350">
        <v>257.3</v>
      </c>
    </row>
    <row r="351" spans="1:14" x14ac:dyDescent="0.25">
      <c r="A351" s="1">
        <v>43622</v>
      </c>
      <c r="B351">
        <v>243.99793487782256</v>
      </c>
      <c r="C351">
        <v>246.28095068469025</v>
      </c>
      <c r="D351">
        <v>233.05845631604882</v>
      </c>
      <c r="E351">
        <v>233.72433471679688</v>
      </c>
      <c r="F351">
        <v>2941237</v>
      </c>
      <c r="G351">
        <v>0</v>
      </c>
      <c r="H351">
        <v>0</v>
      </c>
      <c r="N351">
        <v>245.7</v>
      </c>
    </row>
    <row r="352" spans="1:14" x14ac:dyDescent="0.25">
      <c r="A352" s="1">
        <v>43623</v>
      </c>
      <c r="B352">
        <v>232.5828441917925</v>
      </c>
      <c r="C352">
        <v>233.53410326824155</v>
      </c>
      <c r="D352">
        <v>229.25343742422083</v>
      </c>
      <c r="E352">
        <v>230.87057495117188</v>
      </c>
      <c r="F352">
        <v>4955644</v>
      </c>
      <c r="G352">
        <v>0</v>
      </c>
      <c r="H352">
        <v>0</v>
      </c>
      <c r="N352">
        <v>242.7</v>
      </c>
    </row>
    <row r="353" spans="1:14" x14ac:dyDescent="0.25">
      <c r="A353" s="1">
        <v>43626</v>
      </c>
      <c r="B353">
        <v>232.96334241715843</v>
      </c>
      <c r="C353">
        <v>238.52821382998431</v>
      </c>
      <c r="D353">
        <v>229.34856953248214</v>
      </c>
      <c r="E353">
        <v>235.53175354003906</v>
      </c>
      <c r="F353">
        <v>3582549</v>
      </c>
      <c r="G353">
        <v>0</v>
      </c>
      <c r="H353">
        <v>0</v>
      </c>
      <c r="N353">
        <v>247.6</v>
      </c>
    </row>
    <row r="354" spans="1:14" x14ac:dyDescent="0.25">
      <c r="A354" s="1">
        <v>43627</v>
      </c>
      <c r="B354">
        <v>235.15123672452481</v>
      </c>
      <c r="C354">
        <v>240.38316155442553</v>
      </c>
      <c r="D354">
        <v>229.72906298563998</v>
      </c>
      <c r="E354">
        <v>238.57577514648438</v>
      </c>
      <c r="F354">
        <v>3836151</v>
      </c>
      <c r="G354">
        <v>0</v>
      </c>
      <c r="H354">
        <v>0</v>
      </c>
      <c r="N354">
        <v>250.8</v>
      </c>
    </row>
    <row r="355" spans="1:14" x14ac:dyDescent="0.25">
      <c r="A355" s="1">
        <v>43628</v>
      </c>
      <c r="B355">
        <v>238.76602815884982</v>
      </c>
      <c r="C355">
        <v>241.47712233241518</v>
      </c>
      <c r="D355">
        <v>233.05847370086934</v>
      </c>
      <c r="E355">
        <v>234.19998168945313</v>
      </c>
      <c r="F355">
        <v>2014255</v>
      </c>
      <c r="G355">
        <v>0</v>
      </c>
      <c r="H355">
        <v>0</v>
      </c>
      <c r="N355">
        <v>246.2</v>
      </c>
    </row>
    <row r="356" spans="1:14" x14ac:dyDescent="0.25">
      <c r="A356" s="1">
        <v>43629</v>
      </c>
      <c r="B356">
        <v>234.19998635748203</v>
      </c>
      <c r="C356">
        <v>236.05493869028592</v>
      </c>
      <c r="D356">
        <v>232.24990230912434</v>
      </c>
      <c r="E356">
        <v>233.81948852539063</v>
      </c>
      <c r="F356">
        <v>1509325</v>
      </c>
      <c r="G356">
        <v>0</v>
      </c>
      <c r="H356">
        <v>0</v>
      </c>
      <c r="N356">
        <v>245.8</v>
      </c>
    </row>
    <row r="357" spans="1:14" x14ac:dyDescent="0.25">
      <c r="A357" s="1">
        <v>43630</v>
      </c>
      <c r="B357">
        <v>234.81830048790167</v>
      </c>
      <c r="C357">
        <v>236.53055515264998</v>
      </c>
      <c r="D357">
        <v>229.72905880361901</v>
      </c>
      <c r="E357">
        <v>233.62922668457031</v>
      </c>
      <c r="F357">
        <v>2055435</v>
      </c>
      <c r="G357">
        <v>0</v>
      </c>
      <c r="H357">
        <v>0</v>
      </c>
      <c r="N357">
        <v>245.6</v>
      </c>
    </row>
    <row r="358" spans="1:14" x14ac:dyDescent="0.25">
      <c r="A358" s="1">
        <v>43633</v>
      </c>
      <c r="B358">
        <v>234.48534449496924</v>
      </c>
      <c r="C358">
        <v>236.72080896047896</v>
      </c>
      <c r="D358">
        <v>230.20467897680552</v>
      </c>
      <c r="E358">
        <v>231.06080627441406</v>
      </c>
      <c r="F358">
        <v>1508702</v>
      </c>
      <c r="G358">
        <v>0</v>
      </c>
      <c r="H358">
        <v>0</v>
      </c>
      <c r="N358">
        <v>242.9</v>
      </c>
    </row>
    <row r="359" spans="1:14" x14ac:dyDescent="0.25">
      <c r="A359" s="1">
        <v>43634</v>
      </c>
      <c r="B359">
        <v>230.6803261147966</v>
      </c>
      <c r="C359">
        <v>232.10721472993967</v>
      </c>
      <c r="D359">
        <v>221.64336488555713</v>
      </c>
      <c r="E359">
        <v>222.54705810546875</v>
      </c>
      <c r="F359">
        <v>2792448</v>
      </c>
      <c r="G359">
        <v>0</v>
      </c>
      <c r="H359">
        <v>0</v>
      </c>
      <c r="N359">
        <v>233.95</v>
      </c>
    </row>
    <row r="360" spans="1:14" x14ac:dyDescent="0.25">
      <c r="A360" s="1">
        <v>43635</v>
      </c>
      <c r="B360">
        <v>220.78722883718839</v>
      </c>
      <c r="C360">
        <v>227.3509104026204</v>
      </c>
      <c r="D360">
        <v>220.50184822237372</v>
      </c>
      <c r="E360">
        <v>226.30451965332031</v>
      </c>
      <c r="F360">
        <v>2588680</v>
      </c>
      <c r="G360">
        <v>0</v>
      </c>
      <c r="H360">
        <v>0</v>
      </c>
      <c r="N360">
        <v>237.9</v>
      </c>
    </row>
    <row r="361" spans="1:14" x14ac:dyDescent="0.25">
      <c r="A361" s="1">
        <v>43636</v>
      </c>
      <c r="B361">
        <v>226.30454160244383</v>
      </c>
      <c r="C361">
        <v>231.77428160916386</v>
      </c>
      <c r="D361">
        <v>222.59463679521522</v>
      </c>
      <c r="E361">
        <v>230.7279052734375</v>
      </c>
      <c r="F361">
        <v>1534833</v>
      </c>
      <c r="G361">
        <v>0</v>
      </c>
      <c r="H361">
        <v>0</v>
      </c>
      <c r="N361">
        <v>242.55</v>
      </c>
    </row>
    <row r="362" spans="1:14" x14ac:dyDescent="0.25">
      <c r="A362" s="1">
        <v>43637</v>
      </c>
      <c r="B362">
        <v>231.01326839085752</v>
      </c>
      <c r="C362">
        <v>231.01326839085752</v>
      </c>
      <c r="D362">
        <v>222.92756638562349</v>
      </c>
      <c r="E362">
        <v>223.59344482421875</v>
      </c>
      <c r="F362">
        <v>2472209</v>
      </c>
      <c r="G362">
        <v>0</v>
      </c>
      <c r="H362">
        <v>0</v>
      </c>
      <c r="N362">
        <v>235.05</v>
      </c>
    </row>
    <row r="363" spans="1:14" x14ac:dyDescent="0.25">
      <c r="A363" s="1">
        <v>43640</v>
      </c>
      <c r="B363">
        <v>224.21173043611273</v>
      </c>
      <c r="C363">
        <v>225.21055523138634</v>
      </c>
      <c r="D363">
        <v>213.60519900526239</v>
      </c>
      <c r="E363">
        <v>217.8858642578125</v>
      </c>
      <c r="F363">
        <v>2063844</v>
      </c>
      <c r="G363">
        <v>0</v>
      </c>
      <c r="H363">
        <v>0</v>
      </c>
      <c r="N363">
        <v>229.05</v>
      </c>
    </row>
    <row r="364" spans="1:14" x14ac:dyDescent="0.25">
      <c r="A364" s="1">
        <v>43641</v>
      </c>
      <c r="B364">
        <v>214.98454054155721</v>
      </c>
      <c r="C364">
        <v>221.453104841395</v>
      </c>
      <c r="D364">
        <v>212.27344650303976</v>
      </c>
      <c r="E364">
        <v>219.17007446289063</v>
      </c>
      <c r="F364">
        <v>2327066</v>
      </c>
      <c r="G364">
        <v>0</v>
      </c>
      <c r="H364">
        <v>0</v>
      </c>
      <c r="N364">
        <v>230.4</v>
      </c>
    </row>
    <row r="365" spans="1:14" x14ac:dyDescent="0.25">
      <c r="A365" s="1">
        <v>43642</v>
      </c>
      <c r="B365">
        <v>218.78958327345424</v>
      </c>
      <c r="C365">
        <v>228.30217385056096</v>
      </c>
      <c r="D365">
        <v>217.26756297509266</v>
      </c>
      <c r="E365">
        <v>227.25578308105469</v>
      </c>
      <c r="F365">
        <v>2899131</v>
      </c>
      <c r="G365">
        <v>0</v>
      </c>
      <c r="H365">
        <v>0</v>
      </c>
      <c r="N365">
        <v>238.9</v>
      </c>
    </row>
    <row r="366" spans="1:14" x14ac:dyDescent="0.25">
      <c r="A366" s="1">
        <v>43643</v>
      </c>
      <c r="B366">
        <v>225.63866138554562</v>
      </c>
      <c r="C366">
        <v>231.58403091254178</v>
      </c>
      <c r="D366">
        <v>225.11546596415749</v>
      </c>
      <c r="E366">
        <v>226.25698852539063</v>
      </c>
      <c r="F366">
        <v>1639885</v>
      </c>
      <c r="G366">
        <v>0</v>
      </c>
      <c r="H366">
        <v>0</v>
      </c>
      <c r="N366">
        <v>237.85</v>
      </c>
    </row>
    <row r="367" spans="1:14" x14ac:dyDescent="0.25">
      <c r="A367" s="1">
        <v>43644</v>
      </c>
      <c r="B367">
        <v>227.35091496864501</v>
      </c>
      <c r="C367">
        <v>231.0608194905607</v>
      </c>
      <c r="D367">
        <v>226.25697285745639</v>
      </c>
      <c r="E367">
        <v>229.9193115234375</v>
      </c>
      <c r="F367">
        <v>945274</v>
      </c>
      <c r="G367">
        <v>0</v>
      </c>
      <c r="H367">
        <v>0</v>
      </c>
      <c r="N367">
        <v>241.7</v>
      </c>
    </row>
    <row r="368" spans="1:14" x14ac:dyDescent="0.25">
      <c r="A368" s="1">
        <v>43647</v>
      </c>
      <c r="B368">
        <v>228.30215486981686</v>
      </c>
      <c r="C368">
        <v>234.24752348621834</v>
      </c>
      <c r="D368">
        <v>227.39846174313587</v>
      </c>
      <c r="E368">
        <v>228.63510131835938</v>
      </c>
      <c r="F368">
        <v>1465009</v>
      </c>
      <c r="G368">
        <v>0</v>
      </c>
      <c r="H368">
        <v>0</v>
      </c>
      <c r="N368">
        <v>240.35</v>
      </c>
    </row>
    <row r="369" spans="1:14" x14ac:dyDescent="0.25">
      <c r="A369" s="1">
        <v>43648</v>
      </c>
      <c r="B369">
        <v>228.39730774933071</v>
      </c>
      <c r="C369">
        <v>230.10956245755625</v>
      </c>
      <c r="D369">
        <v>223.64101241523437</v>
      </c>
      <c r="E369">
        <v>224.40200805664063</v>
      </c>
      <c r="F369">
        <v>678953</v>
      </c>
      <c r="G369">
        <v>0</v>
      </c>
      <c r="H369">
        <v>0</v>
      </c>
      <c r="N369">
        <v>235.9</v>
      </c>
    </row>
    <row r="370" spans="1:14" x14ac:dyDescent="0.25">
      <c r="A370" s="1">
        <v>43649</v>
      </c>
      <c r="B370">
        <v>224.40199563735032</v>
      </c>
      <c r="C370">
        <v>226.58989427295998</v>
      </c>
      <c r="D370">
        <v>220.97747189536446</v>
      </c>
      <c r="E370">
        <v>225.54351806640625</v>
      </c>
      <c r="F370">
        <v>1163795</v>
      </c>
      <c r="G370">
        <v>0</v>
      </c>
      <c r="H370">
        <v>0</v>
      </c>
      <c r="N370">
        <v>237.1</v>
      </c>
    </row>
    <row r="371" spans="1:14" x14ac:dyDescent="0.25">
      <c r="A371" s="1">
        <v>43650</v>
      </c>
      <c r="B371">
        <v>226.11426444824514</v>
      </c>
      <c r="C371">
        <v>226.97040626883444</v>
      </c>
      <c r="D371">
        <v>223.7836827698076</v>
      </c>
      <c r="E371">
        <v>225.2105712890625</v>
      </c>
      <c r="F371">
        <v>450557</v>
      </c>
      <c r="G371">
        <v>0</v>
      </c>
      <c r="H371">
        <v>0</v>
      </c>
      <c r="N371">
        <v>236.75</v>
      </c>
    </row>
    <row r="372" spans="1:14" x14ac:dyDescent="0.25">
      <c r="A372" s="1">
        <v>43651</v>
      </c>
      <c r="B372">
        <v>226.20939553848126</v>
      </c>
      <c r="C372">
        <v>226.20939553848126</v>
      </c>
      <c r="D372">
        <v>215.79311227934707</v>
      </c>
      <c r="E372">
        <v>217.55293273925781</v>
      </c>
      <c r="F372">
        <v>1441720</v>
      </c>
      <c r="G372">
        <v>0</v>
      </c>
      <c r="H372">
        <v>0</v>
      </c>
      <c r="N372">
        <v>228.7</v>
      </c>
    </row>
    <row r="373" spans="1:14" x14ac:dyDescent="0.25">
      <c r="A373" s="1">
        <v>43654</v>
      </c>
      <c r="B373">
        <v>217.45781737569828</v>
      </c>
      <c r="C373">
        <v>218.88470590305835</v>
      </c>
      <c r="D373">
        <v>212.55882472272563</v>
      </c>
      <c r="E373">
        <v>213.70033264160156</v>
      </c>
      <c r="F373">
        <v>938900</v>
      </c>
      <c r="G373">
        <v>0</v>
      </c>
      <c r="H373">
        <v>0</v>
      </c>
      <c r="N373">
        <v>224.65</v>
      </c>
    </row>
    <row r="374" spans="1:14" x14ac:dyDescent="0.25">
      <c r="A374" s="1">
        <v>43655</v>
      </c>
      <c r="B374">
        <v>211.79783201199285</v>
      </c>
      <c r="C374">
        <v>220.21648082133879</v>
      </c>
      <c r="D374">
        <v>211.70271481138795</v>
      </c>
      <c r="E374">
        <v>219.50303649902344</v>
      </c>
      <c r="F374">
        <v>1215726</v>
      </c>
      <c r="G374">
        <v>0</v>
      </c>
      <c r="H374">
        <v>0</v>
      </c>
      <c r="N374">
        <v>230.75</v>
      </c>
    </row>
    <row r="375" spans="1:14" x14ac:dyDescent="0.25">
      <c r="A375" s="1">
        <v>43656</v>
      </c>
      <c r="B375">
        <v>219.64573521068871</v>
      </c>
      <c r="C375">
        <v>221.59581940033735</v>
      </c>
      <c r="D375">
        <v>216.1736450673375</v>
      </c>
      <c r="E375">
        <v>217.17247009277344</v>
      </c>
      <c r="F375">
        <v>811882</v>
      </c>
      <c r="G375">
        <v>0</v>
      </c>
      <c r="H375">
        <v>0</v>
      </c>
      <c r="N375">
        <v>228.3</v>
      </c>
    </row>
    <row r="376" spans="1:14" x14ac:dyDescent="0.25">
      <c r="A376" s="1">
        <v>43657</v>
      </c>
      <c r="B376">
        <v>217.8383247510379</v>
      </c>
      <c r="C376">
        <v>224.97276770139942</v>
      </c>
      <c r="D376">
        <v>217.8383247510379</v>
      </c>
      <c r="E376">
        <v>222.92756652832031</v>
      </c>
      <c r="F376">
        <v>1201526</v>
      </c>
      <c r="G376">
        <v>0</v>
      </c>
      <c r="H376">
        <v>0</v>
      </c>
      <c r="N376">
        <v>234.35</v>
      </c>
    </row>
    <row r="377" spans="1:14" x14ac:dyDescent="0.25">
      <c r="A377" s="1">
        <v>43658</v>
      </c>
      <c r="B377">
        <v>223.54588518839921</v>
      </c>
      <c r="C377">
        <v>227.54117044620079</v>
      </c>
      <c r="D377">
        <v>221.16773747362899</v>
      </c>
      <c r="E377">
        <v>224.68739318847656</v>
      </c>
      <c r="F377">
        <v>1241440</v>
      </c>
      <c r="G377">
        <v>0</v>
      </c>
      <c r="H377">
        <v>0</v>
      </c>
      <c r="N377">
        <v>236.2</v>
      </c>
    </row>
    <row r="378" spans="1:14" x14ac:dyDescent="0.25">
      <c r="A378" s="1">
        <v>43661</v>
      </c>
      <c r="B378">
        <v>224.63984270999526</v>
      </c>
      <c r="C378">
        <v>227.25580537533111</v>
      </c>
      <c r="D378">
        <v>219.45548323988771</v>
      </c>
      <c r="E378">
        <v>226.68505859375</v>
      </c>
      <c r="F378">
        <v>1312592</v>
      </c>
      <c r="G378">
        <v>0</v>
      </c>
      <c r="H378">
        <v>0</v>
      </c>
      <c r="N378">
        <v>238.3</v>
      </c>
    </row>
    <row r="379" spans="1:14" x14ac:dyDescent="0.25">
      <c r="A379" s="1">
        <v>43662</v>
      </c>
      <c r="B379">
        <v>227.35090905898906</v>
      </c>
      <c r="C379">
        <v>235.3414791362095</v>
      </c>
      <c r="D379">
        <v>226.87527954212925</v>
      </c>
      <c r="E379">
        <v>233.15359497070313</v>
      </c>
      <c r="F379">
        <v>2930797</v>
      </c>
      <c r="G379">
        <v>0</v>
      </c>
      <c r="H379">
        <v>0</v>
      </c>
      <c r="N379">
        <v>245.1</v>
      </c>
    </row>
    <row r="380" spans="1:14" x14ac:dyDescent="0.25">
      <c r="A380" s="1">
        <v>43663</v>
      </c>
      <c r="B380">
        <v>234.05729245431831</v>
      </c>
      <c r="C380">
        <v>234.91341979438681</v>
      </c>
      <c r="D380">
        <v>227.11309847744087</v>
      </c>
      <c r="E380">
        <v>229.11074829101563</v>
      </c>
      <c r="F380">
        <v>2019218</v>
      </c>
      <c r="G380">
        <v>0</v>
      </c>
      <c r="H380">
        <v>0</v>
      </c>
      <c r="N380">
        <v>240.85</v>
      </c>
    </row>
    <row r="381" spans="1:14" x14ac:dyDescent="0.25">
      <c r="A381" s="1">
        <v>43664</v>
      </c>
      <c r="B381">
        <v>229.58636792049967</v>
      </c>
      <c r="C381">
        <v>230.91812472877115</v>
      </c>
      <c r="D381">
        <v>217.83831333836702</v>
      </c>
      <c r="E381">
        <v>219.88351440429688</v>
      </c>
      <c r="F381">
        <v>1239743</v>
      </c>
      <c r="G381">
        <v>0</v>
      </c>
      <c r="H381">
        <v>0</v>
      </c>
      <c r="N381">
        <v>231.15</v>
      </c>
    </row>
    <row r="382" spans="1:14" x14ac:dyDescent="0.25">
      <c r="A382" s="1">
        <v>43665</v>
      </c>
      <c r="B382">
        <v>223.26049782979712</v>
      </c>
      <c r="C382">
        <v>224.06907383447049</v>
      </c>
      <c r="D382">
        <v>216.22118661229035</v>
      </c>
      <c r="E382">
        <v>217.26756286621094</v>
      </c>
      <c r="F382">
        <v>1479637</v>
      </c>
      <c r="G382">
        <v>0</v>
      </c>
      <c r="H382">
        <v>0</v>
      </c>
      <c r="N382">
        <v>228.4</v>
      </c>
    </row>
    <row r="383" spans="1:14" x14ac:dyDescent="0.25">
      <c r="A383" s="1">
        <v>43668</v>
      </c>
      <c r="B383">
        <v>217.12488200149781</v>
      </c>
      <c r="C383">
        <v>225.11545235675507</v>
      </c>
      <c r="D383">
        <v>214.79430019080289</v>
      </c>
      <c r="E383">
        <v>224.40200805664063</v>
      </c>
      <c r="F383">
        <v>1707160</v>
      </c>
      <c r="G383">
        <v>0</v>
      </c>
      <c r="H383">
        <v>0</v>
      </c>
      <c r="N383">
        <v>235.9</v>
      </c>
    </row>
    <row r="384" spans="1:14" x14ac:dyDescent="0.25">
      <c r="A384" s="1">
        <v>43669</v>
      </c>
      <c r="B384">
        <v>224.59228487817666</v>
      </c>
      <c r="C384">
        <v>226.0667249076424</v>
      </c>
      <c r="D384">
        <v>221.73850750750128</v>
      </c>
      <c r="E384">
        <v>224.25933837890625</v>
      </c>
      <c r="F384">
        <v>932730</v>
      </c>
      <c r="G384">
        <v>0</v>
      </c>
      <c r="H384">
        <v>0</v>
      </c>
      <c r="N384">
        <v>235.75</v>
      </c>
    </row>
    <row r="385" spans="1:14" x14ac:dyDescent="0.25">
      <c r="A385" s="1">
        <v>43670</v>
      </c>
      <c r="B385">
        <v>222.78487544113352</v>
      </c>
      <c r="C385">
        <v>224.97277424590305</v>
      </c>
      <c r="D385">
        <v>215.93581291255813</v>
      </c>
      <c r="E385">
        <v>218.36152648925781</v>
      </c>
      <c r="F385">
        <v>882090</v>
      </c>
      <c r="G385">
        <v>0</v>
      </c>
      <c r="H385">
        <v>0</v>
      </c>
      <c r="N385">
        <v>229.55</v>
      </c>
    </row>
    <row r="386" spans="1:14" x14ac:dyDescent="0.25">
      <c r="A386" s="1">
        <v>43671</v>
      </c>
      <c r="B386">
        <v>219.66560794521905</v>
      </c>
      <c r="C386">
        <v>227.2003153257254</v>
      </c>
      <c r="D386">
        <v>218.79622486815433</v>
      </c>
      <c r="E386">
        <v>222.37037658691406</v>
      </c>
      <c r="F386">
        <v>1460683</v>
      </c>
      <c r="G386">
        <v>3.5</v>
      </c>
      <c r="H386">
        <v>0</v>
      </c>
      <c r="N386">
        <v>230.2</v>
      </c>
    </row>
    <row r="387" spans="1:14" x14ac:dyDescent="0.25">
      <c r="A387" s="1">
        <v>43672</v>
      </c>
      <c r="B387">
        <v>223.1431494063246</v>
      </c>
      <c r="C387">
        <v>226.91049538349759</v>
      </c>
      <c r="D387">
        <v>220.39007868006604</v>
      </c>
      <c r="E387">
        <v>226.18600463867188</v>
      </c>
      <c r="F387">
        <v>608190</v>
      </c>
      <c r="G387">
        <v>0</v>
      </c>
      <c r="H387">
        <v>0</v>
      </c>
      <c r="N387">
        <v>234.15</v>
      </c>
    </row>
    <row r="388" spans="1:14" x14ac:dyDescent="0.25">
      <c r="A388" s="1">
        <v>43675</v>
      </c>
      <c r="B388">
        <v>229.90508133780307</v>
      </c>
      <c r="C388">
        <v>230.19488060677773</v>
      </c>
      <c r="D388">
        <v>218.12003389785951</v>
      </c>
      <c r="E388">
        <v>219.56901550292969</v>
      </c>
      <c r="F388">
        <v>2057154</v>
      </c>
      <c r="G388">
        <v>0</v>
      </c>
      <c r="H388">
        <v>0</v>
      </c>
      <c r="N388">
        <v>227.3</v>
      </c>
    </row>
    <row r="389" spans="1:14" x14ac:dyDescent="0.25">
      <c r="A389" s="1">
        <v>43676</v>
      </c>
      <c r="B389">
        <v>220.72817485261453</v>
      </c>
      <c r="C389">
        <v>223.96423932952536</v>
      </c>
      <c r="D389">
        <v>211.55129230950803</v>
      </c>
      <c r="E389">
        <v>212.56558227539063</v>
      </c>
      <c r="F389">
        <v>1289608</v>
      </c>
      <c r="G389">
        <v>0</v>
      </c>
      <c r="H389">
        <v>0</v>
      </c>
      <c r="N389">
        <v>220.05</v>
      </c>
    </row>
    <row r="390" spans="1:14" x14ac:dyDescent="0.25">
      <c r="A390" s="1">
        <v>43677</v>
      </c>
      <c r="B390">
        <v>211.16490338037065</v>
      </c>
      <c r="C390">
        <v>221.21116891097461</v>
      </c>
      <c r="D390">
        <v>208.94312886692893</v>
      </c>
      <c r="E390">
        <v>220.05198669433594</v>
      </c>
      <c r="F390">
        <v>1023859</v>
      </c>
      <c r="G390">
        <v>0</v>
      </c>
      <c r="H390">
        <v>0</v>
      </c>
      <c r="N390">
        <v>227.8</v>
      </c>
    </row>
    <row r="391" spans="1:14" x14ac:dyDescent="0.25">
      <c r="A391" s="1">
        <v>43678</v>
      </c>
      <c r="B391">
        <v>220.14859887562275</v>
      </c>
      <c r="C391">
        <v>221.35608354418102</v>
      </c>
      <c r="D391">
        <v>214.44927713594893</v>
      </c>
      <c r="E391">
        <v>218.60302734375</v>
      </c>
      <c r="F391">
        <v>1508064</v>
      </c>
      <c r="G391">
        <v>0</v>
      </c>
      <c r="H391">
        <v>0</v>
      </c>
      <c r="N391">
        <v>226.3</v>
      </c>
    </row>
    <row r="392" spans="1:14" x14ac:dyDescent="0.25">
      <c r="A392" s="1">
        <v>43679</v>
      </c>
      <c r="B392">
        <v>217.58873684996155</v>
      </c>
      <c r="C392">
        <v>222.46697784938632</v>
      </c>
      <c r="D392">
        <v>212.66219351592798</v>
      </c>
      <c r="E392">
        <v>217.63703918457031</v>
      </c>
      <c r="F392">
        <v>1968062</v>
      </c>
      <c r="G392">
        <v>0</v>
      </c>
      <c r="H392">
        <v>0</v>
      </c>
      <c r="N392">
        <v>225.3</v>
      </c>
    </row>
    <row r="393" spans="1:14" x14ac:dyDescent="0.25">
      <c r="A393" s="1">
        <v>43682</v>
      </c>
      <c r="B393">
        <v>216.09144771517578</v>
      </c>
      <c r="C393">
        <v>219.18260543830166</v>
      </c>
      <c r="D393">
        <v>211.40641616694199</v>
      </c>
      <c r="E393">
        <v>215.99485778808594</v>
      </c>
      <c r="F393">
        <v>954589</v>
      </c>
      <c r="G393">
        <v>0</v>
      </c>
      <c r="H393">
        <v>0</v>
      </c>
      <c r="N393">
        <v>223.6</v>
      </c>
    </row>
    <row r="394" spans="1:14" x14ac:dyDescent="0.25">
      <c r="A394" s="1">
        <v>43683</v>
      </c>
      <c r="B394">
        <v>215.84994949857133</v>
      </c>
      <c r="C394">
        <v>219.71390031435172</v>
      </c>
      <c r="D394">
        <v>214.01457875699668</v>
      </c>
      <c r="E394">
        <v>218.55471801757813</v>
      </c>
      <c r="F394">
        <v>1429265</v>
      </c>
      <c r="G394">
        <v>0</v>
      </c>
      <c r="H394">
        <v>0</v>
      </c>
      <c r="N394">
        <v>226.25</v>
      </c>
    </row>
    <row r="395" spans="1:14" x14ac:dyDescent="0.25">
      <c r="A395" s="1">
        <v>43684</v>
      </c>
      <c r="B395">
        <v>218.31322418070161</v>
      </c>
      <c r="C395">
        <v>225.46152739512203</v>
      </c>
      <c r="D395">
        <v>210.68192710747431</v>
      </c>
      <c r="E395">
        <v>219.85881042480469</v>
      </c>
      <c r="F395">
        <v>3802009</v>
      </c>
      <c r="G395">
        <v>0</v>
      </c>
      <c r="H395">
        <v>0</v>
      </c>
      <c r="N395">
        <v>227.6</v>
      </c>
    </row>
    <row r="396" spans="1:14" x14ac:dyDescent="0.25">
      <c r="A396" s="1">
        <v>43685</v>
      </c>
      <c r="B396">
        <v>221.21118859987052</v>
      </c>
      <c r="C396">
        <v>227.97310266187532</v>
      </c>
      <c r="D396">
        <v>218.79621929201167</v>
      </c>
      <c r="E396">
        <v>226.71731567382813</v>
      </c>
      <c r="F396">
        <v>1979751</v>
      </c>
      <c r="G396">
        <v>0</v>
      </c>
      <c r="H396">
        <v>0</v>
      </c>
      <c r="N396">
        <v>234.7</v>
      </c>
    </row>
    <row r="397" spans="1:14" x14ac:dyDescent="0.25">
      <c r="A397" s="1">
        <v>43686</v>
      </c>
      <c r="B397">
        <v>227.97308305961135</v>
      </c>
      <c r="C397">
        <v>228.06968771954033</v>
      </c>
      <c r="D397">
        <v>215.56013598862287</v>
      </c>
      <c r="E397">
        <v>222.5152587890625</v>
      </c>
      <c r="F397">
        <v>2841321</v>
      </c>
      <c r="G397">
        <v>0</v>
      </c>
      <c r="H397">
        <v>0</v>
      </c>
      <c r="N397">
        <v>230.35</v>
      </c>
    </row>
    <row r="398" spans="1:14" x14ac:dyDescent="0.25">
      <c r="A398" s="1">
        <v>43690</v>
      </c>
      <c r="B398">
        <v>225.75132099335769</v>
      </c>
      <c r="C398">
        <v>225.75132099335769</v>
      </c>
      <c r="D398">
        <v>210.68192182061716</v>
      </c>
      <c r="E398">
        <v>212.22749328613281</v>
      </c>
      <c r="F398">
        <v>2444453</v>
      </c>
      <c r="G398">
        <v>0</v>
      </c>
      <c r="H398">
        <v>0</v>
      </c>
      <c r="N398">
        <v>219.7</v>
      </c>
    </row>
    <row r="399" spans="1:14" x14ac:dyDescent="0.25">
      <c r="A399" s="1">
        <v>43691</v>
      </c>
      <c r="B399">
        <v>214.88395406971065</v>
      </c>
      <c r="C399">
        <v>214.88395406971065</v>
      </c>
      <c r="D399">
        <v>206.28666970958622</v>
      </c>
      <c r="E399">
        <v>210.58531188964844</v>
      </c>
      <c r="F399">
        <v>2059514</v>
      </c>
      <c r="G399">
        <v>0</v>
      </c>
      <c r="H399">
        <v>0</v>
      </c>
      <c r="N399">
        <v>218</v>
      </c>
    </row>
    <row r="400" spans="1:14" x14ac:dyDescent="0.25">
      <c r="A400" s="1">
        <v>43693</v>
      </c>
      <c r="B400">
        <v>210.58530794794058</v>
      </c>
      <c r="C400">
        <v>211.55129559907792</v>
      </c>
      <c r="D400">
        <v>207.4458480817442</v>
      </c>
      <c r="E400">
        <v>210.34381103515625</v>
      </c>
      <c r="F400">
        <v>1616550</v>
      </c>
      <c r="G400">
        <v>0</v>
      </c>
      <c r="H400">
        <v>0</v>
      </c>
      <c r="N400">
        <v>217.75</v>
      </c>
    </row>
    <row r="401" spans="1:14" x14ac:dyDescent="0.25">
      <c r="A401" s="1">
        <v>43696</v>
      </c>
      <c r="B401">
        <v>211.50299377706753</v>
      </c>
      <c r="C401">
        <v>211.93768527316408</v>
      </c>
      <c r="D401">
        <v>209.3778238874163</v>
      </c>
      <c r="E401">
        <v>211.30979919433594</v>
      </c>
      <c r="F401">
        <v>975033</v>
      </c>
      <c r="G401">
        <v>0</v>
      </c>
      <c r="H401">
        <v>0</v>
      </c>
      <c r="N401">
        <v>218.75</v>
      </c>
    </row>
    <row r="402" spans="1:14" x14ac:dyDescent="0.25">
      <c r="A402" s="1">
        <v>43697</v>
      </c>
      <c r="B402">
        <v>212.37239813868248</v>
      </c>
      <c r="C402">
        <v>212.51729039530383</v>
      </c>
      <c r="D402">
        <v>207.10775347113881</v>
      </c>
      <c r="E402">
        <v>211.889404296875</v>
      </c>
      <c r="F402">
        <v>2018235</v>
      </c>
      <c r="G402">
        <v>0</v>
      </c>
      <c r="H402">
        <v>0</v>
      </c>
      <c r="N402">
        <v>219.35</v>
      </c>
    </row>
    <row r="403" spans="1:14" x14ac:dyDescent="0.25">
      <c r="A403" s="1">
        <v>43698</v>
      </c>
      <c r="B403">
        <v>210.63360199015145</v>
      </c>
      <c r="C403">
        <v>212.80707411968564</v>
      </c>
      <c r="D403">
        <v>203.91999102688388</v>
      </c>
      <c r="E403">
        <v>206.86624145507813</v>
      </c>
      <c r="F403">
        <v>1043656</v>
      </c>
      <c r="G403">
        <v>0</v>
      </c>
      <c r="H403">
        <v>0</v>
      </c>
      <c r="N403">
        <v>214.15</v>
      </c>
    </row>
    <row r="404" spans="1:14" x14ac:dyDescent="0.25">
      <c r="A404" s="1">
        <v>43699</v>
      </c>
      <c r="B404">
        <v>202.85741848267776</v>
      </c>
      <c r="C404">
        <v>209.90913169217899</v>
      </c>
      <c r="D404">
        <v>199.47646150796646</v>
      </c>
      <c r="E404">
        <v>206.57647705078125</v>
      </c>
      <c r="F404">
        <v>2368701</v>
      </c>
      <c r="G404">
        <v>0</v>
      </c>
      <c r="H404">
        <v>0</v>
      </c>
      <c r="N404">
        <v>213.85</v>
      </c>
    </row>
    <row r="405" spans="1:14" x14ac:dyDescent="0.25">
      <c r="A405" s="1">
        <v>43700</v>
      </c>
      <c r="B405">
        <v>204.88600027952347</v>
      </c>
      <c r="C405">
        <v>214.59416502495236</v>
      </c>
      <c r="D405">
        <v>202.2778216567726</v>
      </c>
      <c r="E405">
        <v>212.9036865234375</v>
      </c>
      <c r="F405">
        <v>1607869</v>
      </c>
      <c r="G405">
        <v>0</v>
      </c>
      <c r="H405">
        <v>0</v>
      </c>
      <c r="N405">
        <v>220.4</v>
      </c>
    </row>
    <row r="406" spans="1:14" x14ac:dyDescent="0.25">
      <c r="A406" s="1">
        <v>43703</v>
      </c>
      <c r="B406">
        <v>214.44926395202293</v>
      </c>
      <c r="C406">
        <v>216.04313772061033</v>
      </c>
      <c r="D406">
        <v>207.49415563667452</v>
      </c>
      <c r="E406">
        <v>211.98599243164063</v>
      </c>
      <c r="F406">
        <v>1650360</v>
      </c>
      <c r="G406">
        <v>0</v>
      </c>
      <c r="H406">
        <v>0</v>
      </c>
      <c r="N406">
        <v>219.45</v>
      </c>
    </row>
    <row r="407" spans="1:14" x14ac:dyDescent="0.25">
      <c r="A407" s="1">
        <v>43704</v>
      </c>
      <c r="B407">
        <v>210.58533234084169</v>
      </c>
      <c r="C407">
        <v>213.24179868917798</v>
      </c>
      <c r="D407">
        <v>208.74996148700347</v>
      </c>
      <c r="E407">
        <v>210.730224609375</v>
      </c>
      <c r="F407">
        <v>2015139</v>
      </c>
      <c r="G407">
        <v>0</v>
      </c>
      <c r="H407">
        <v>0</v>
      </c>
      <c r="N407">
        <v>218.15</v>
      </c>
    </row>
    <row r="408" spans="1:14" x14ac:dyDescent="0.25">
      <c r="A408" s="1">
        <v>43705</v>
      </c>
      <c r="B408">
        <v>210.58531812644352</v>
      </c>
      <c r="C408">
        <v>217.05743275392874</v>
      </c>
      <c r="D408">
        <v>209.18463891255382</v>
      </c>
      <c r="E408">
        <v>215.65675354003906</v>
      </c>
      <c r="F408">
        <v>2576820</v>
      </c>
      <c r="G408">
        <v>0</v>
      </c>
      <c r="H408">
        <v>0</v>
      </c>
      <c r="N408">
        <v>223.25</v>
      </c>
    </row>
    <row r="409" spans="1:14" x14ac:dyDescent="0.25">
      <c r="A409" s="1">
        <v>43706</v>
      </c>
      <c r="B409">
        <v>214.35266197973979</v>
      </c>
      <c r="C409">
        <v>214.98056282055305</v>
      </c>
      <c r="D409">
        <v>209.57102587414226</v>
      </c>
      <c r="E409">
        <v>212.3240966796875</v>
      </c>
      <c r="F409">
        <v>1306042</v>
      </c>
      <c r="G409">
        <v>0</v>
      </c>
      <c r="H409">
        <v>0</v>
      </c>
      <c r="N409">
        <v>219.8</v>
      </c>
    </row>
    <row r="410" spans="1:14" x14ac:dyDescent="0.25">
      <c r="A410" s="1">
        <v>43707</v>
      </c>
      <c r="B410">
        <v>213.29008753279683</v>
      </c>
      <c r="C410">
        <v>218.6996098196901</v>
      </c>
      <c r="D410">
        <v>211.55130672137295</v>
      </c>
      <c r="E410">
        <v>217.58872985839844</v>
      </c>
      <c r="F410">
        <v>1195227</v>
      </c>
      <c r="G410">
        <v>0</v>
      </c>
      <c r="H410">
        <v>0</v>
      </c>
      <c r="N410">
        <v>225.25</v>
      </c>
    </row>
    <row r="411" spans="1:14" x14ac:dyDescent="0.25">
      <c r="A411" s="1">
        <v>43711</v>
      </c>
      <c r="B411">
        <v>217.15404439441784</v>
      </c>
      <c r="C411">
        <v>222.99827310194723</v>
      </c>
      <c r="D411">
        <v>215.46356586892273</v>
      </c>
      <c r="E411">
        <v>221.16288757324219</v>
      </c>
      <c r="F411">
        <v>2155289</v>
      </c>
      <c r="G411">
        <v>0</v>
      </c>
      <c r="H411">
        <v>0</v>
      </c>
      <c r="N411">
        <v>228.95</v>
      </c>
    </row>
    <row r="412" spans="1:14" x14ac:dyDescent="0.25">
      <c r="A412" s="1">
        <v>43712</v>
      </c>
      <c r="B412">
        <v>221.40438060889002</v>
      </c>
      <c r="C412">
        <v>223.28805369904404</v>
      </c>
      <c r="D412">
        <v>215.60845433776828</v>
      </c>
      <c r="E412">
        <v>222.41867065429688</v>
      </c>
      <c r="F412">
        <v>1614066</v>
      </c>
      <c r="G412">
        <v>0</v>
      </c>
      <c r="H412">
        <v>0</v>
      </c>
      <c r="N412">
        <v>230.25</v>
      </c>
    </row>
    <row r="413" spans="1:14" x14ac:dyDescent="0.25">
      <c r="A413" s="1">
        <v>43713</v>
      </c>
      <c r="B413">
        <v>224.10915480143115</v>
      </c>
      <c r="C413">
        <v>229.615281949885</v>
      </c>
      <c r="D413">
        <v>223.19146939998936</v>
      </c>
      <c r="E413">
        <v>228.02140808105469</v>
      </c>
      <c r="F413">
        <v>1730107</v>
      </c>
      <c r="G413">
        <v>0</v>
      </c>
      <c r="H413">
        <v>0</v>
      </c>
      <c r="N413">
        <v>236.05</v>
      </c>
    </row>
    <row r="414" spans="1:14" x14ac:dyDescent="0.25">
      <c r="A414" s="1">
        <v>43714</v>
      </c>
      <c r="B414">
        <v>227.97310312583446</v>
      </c>
      <c r="C414">
        <v>232.60984715432051</v>
      </c>
      <c r="D414">
        <v>225.17174461893819</v>
      </c>
      <c r="E414">
        <v>230.67787170410156</v>
      </c>
      <c r="F414">
        <v>1675968</v>
      </c>
      <c r="G414">
        <v>0</v>
      </c>
      <c r="H414">
        <v>0</v>
      </c>
      <c r="N414">
        <v>238.8</v>
      </c>
    </row>
    <row r="415" spans="1:14" x14ac:dyDescent="0.25">
      <c r="A415" s="1">
        <v>43717</v>
      </c>
      <c r="B415">
        <v>227.63500805234227</v>
      </c>
      <c r="C415">
        <v>232.07855761116204</v>
      </c>
      <c r="D415">
        <v>226.57243036813986</v>
      </c>
      <c r="E415">
        <v>228.26290893554688</v>
      </c>
      <c r="F415">
        <v>1760792</v>
      </c>
      <c r="G415">
        <v>0</v>
      </c>
      <c r="H415">
        <v>0</v>
      </c>
      <c r="N415">
        <v>236.3</v>
      </c>
    </row>
    <row r="416" spans="1:14" x14ac:dyDescent="0.25">
      <c r="A416" s="1">
        <v>43719</v>
      </c>
      <c r="B416">
        <v>228.69759738081237</v>
      </c>
      <c r="C416">
        <v>234.25202688425341</v>
      </c>
      <c r="D416">
        <v>228.69759738081237</v>
      </c>
      <c r="E416">
        <v>231.45066833496094</v>
      </c>
      <c r="F416">
        <v>1464866</v>
      </c>
      <c r="G416">
        <v>0</v>
      </c>
      <c r="H416">
        <v>0</v>
      </c>
      <c r="N416">
        <v>239.6</v>
      </c>
    </row>
    <row r="417" spans="1:14" x14ac:dyDescent="0.25">
      <c r="A417" s="1">
        <v>43720</v>
      </c>
      <c r="B417">
        <v>233.28601979390339</v>
      </c>
      <c r="C417">
        <v>235.50779435894856</v>
      </c>
      <c r="D417">
        <v>228.84247066381303</v>
      </c>
      <c r="E417">
        <v>231.20915222167969</v>
      </c>
      <c r="F417">
        <v>1996765</v>
      </c>
      <c r="G417">
        <v>0</v>
      </c>
      <c r="H417">
        <v>0</v>
      </c>
      <c r="N417">
        <v>239.35</v>
      </c>
    </row>
    <row r="418" spans="1:14" x14ac:dyDescent="0.25">
      <c r="A418" s="1">
        <v>43721</v>
      </c>
      <c r="B418">
        <v>231.8370383995416</v>
      </c>
      <c r="C418">
        <v>234.49350446453636</v>
      </c>
      <c r="D418">
        <v>227.63498618262912</v>
      </c>
      <c r="E418">
        <v>233.67240905761719</v>
      </c>
      <c r="F418">
        <v>1048816</v>
      </c>
      <c r="G418">
        <v>0</v>
      </c>
      <c r="H418">
        <v>0</v>
      </c>
      <c r="N418">
        <v>241.9</v>
      </c>
    </row>
    <row r="419" spans="1:14" x14ac:dyDescent="0.25">
      <c r="A419" s="1">
        <v>43724</v>
      </c>
      <c r="B419">
        <v>231.9336375197889</v>
      </c>
      <c r="C419">
        <v>239.56493395551576</v>
      </c>
      <c r="D419">
        <v>231.40234137152402</v>
      </c>
      <c r="E419">
        <v>234.05880737304688</v>
      </c>
      <c r="F419">
        <v>1348642</v>
      </c>
      <c r="G419">
        <v>0</v>
      </c>
      <c r="H419">
        <v>0</v>
      </c>
      <c r="N419">
        <v>242.3</v>
      </c>
    </row>
    <row r="420" spans="1:14" x14ac:dyDescent="0.25">
      <c r="A420" s="1">
        <v>43725</v>
      </c>
      <c r="B420">
        <v>233.76903474093297</v>
      </c>
      <c r="C420">
        <v>235.07312409511979</v>
      </c>
      <c r="D420">
        <v>229.03570067722379</v>
      </c>
      <c r="E420">
        <v>230.82276916503906</v>
      </c>
      <c r="F420">
        <v>1302061</v>
      </c>
      <c r="G420">
        <v>0</v>
      </c>
      <c r="H420">
        <v>0</v>
      </c>
      <c r="N420">
        <v>238.95</v>
      </c>
    </row>
    <row r="421" spans="1:14" x14ac:dyDescent="0.25">
      <c r="A421" s="1">
        <v>43726</v>
      </c>
      <c r="B421">
        <v>231.8370709196891</v>
      </c>
      <c r="C421">
        <v>234.05884579729693</v>
      </c>
      <c r="D421">
        <v>228.02142207543002</v>
      </c>
      <c r="E421">
        <v>233.0445556640625</v>
      </c>
      <c r="F421">
        <v>842491</v>
      </c>
      <c r="G421">
        <v>0</v>
      </c>
      <c r="H421">
        <v>0</v>
      </c>
      <c r="N421">
        <v>241.25</v>
      </c>
    </row>
    <row r="422" spans="1:14" x14ac:dyDescent="0.25">
      <c r="A422" s="1">
        <v>43727</v>
      </c>
      <c r="B422">
        <v>233.76901751155145</v>
      </c>
      <c r="C422">
        <v>234.20370901764144</v>
      </c>
      <c r="D422">
        <v>226.71730453121779</v>
      </c>
      <c r="E422">
        <v>229.953369140625</v>
      </c>
      <c r="F422">
        <v>867107</v>
      </c>
      <c r="G422">
        <v>0</v>
      </c>
      <c r="H422">
        <v>0</v>
      </c>
      <c r="N422">
        <v>238.05</v>
      </c>
    </row>
    <row r="423" spans="1:14" x14ac:dyDescent="0.25">
      <c r="A423" s="1">
        <v>43728</v>
      </c>
      <c r="B423">
        <v>229.90505043416789</v>
      </c>
      <c r="C423">
        <v>241.06221024143332</v>
      </c>
      <c r="D423">
        <v>226.66898605524548</v>
      </c>
      <c r="E423">
        <v>239.03363037109375</v>
      </c>
      <c r="F423">
        <v>1626395</v>
      </c>
      <c r="G423">
        <v>0</v>
      </c>
      <c r="H423">
        <v>0</v>
      </c>
      <c r="N423">
        <v>247.45</v>
      </c>
    </row>
    <row r="424" spans="1:14" x14ac:dyDescent="0.25">
      <c r="A424" s="1">
        <v>43731</v>
      </c>
      <c r="B424">
        <v>241.49693832035248</v>
      </c>
      <c r="C424">
        <v>245.11939239515777</v>
      </c>
      <c r="D424">
        <v>233.96223089679683</v>
      </c>
      <c r="E424">
        <v>239.17857360839844</v>
      </c>
      <c r="F424">
        <v>1213827</v>
      </c>
      <c r="G424">
        <v>0</v>
      </c>
      <c r="H424">
        <v>0</v>
      </c>
      <c r="N424">
        <v>247.6</v>
      </c>
    </row>
    <row r="425" spans="1:14" x14ac:dyDescent="0.25">
      <c r="A425" s="1">
        <v>43732</v>
      </c>
      <c r="B425">
        <v>236.66697450625543</v>
      </c>
      <c r="C425">
        <v>246.52004559896366</v>
      </c>
      <c r="D425">
        <v>234.92819378641238</v>
      </c>
      <c r="E425">
        <v>245.31256103515625</v>
      </c>
      <c r="F425">
        <v>1790968</v>
      </c>
      <c r="G425">
        <v>0</v>
      </c>
      <c r="H425">
        <v>0</v>
      </c>
      <c r="N425">
        <v>253.95</v>
      </c>
    </row>
    <row r="426" spans="1:14" x14ac:dyDescent="0.25">
      <c r="A426" s="1">
        <v>43733</v>
      </c>
      <c r="B426">
        <v>242.60778049365661</v>
      </c>
      <c r="C426">
        <v>243.91186965306866</v>
      </c>
      <c r="D426">
        <v>237.29484867943134</v>
      </c>
      <c r="E426">
        <v>240.62751770019531</v>
      </c>
      <c r="F426">
        <v>1275169</v>
      </c>
      <c r="G426">
        <v>0</v>
      </c>
      <c r="H426">
        <v>0</v>
      </c>
      <c r="N426">
        <v>249.1</v>
      </c>
    </row>
    <row r="427" spans="1:14" x14ac:dyDescent="0.25">
      <c r="A427" s="1">
        <v>43734</v>
      </c>
      <c r="B427">
        <v>241.20712088826187</v>
      </c>
      <c r="C427">
        <v>242.51121015294089</v>
      </c>
      <c r="D427">
        <v>236.76358640156002</v>
      </c>
      <c r="E427">
        <v>237.34317016601563</v>
      </c>
      <c r="F427">
        <v>840873</v>
      </c>
      <c r="G427">
        <v>0</v>
      </c>
      <c r="H427">
        <v>0</v>
      </c>
      <c r="N427">
        <v>245.7</v>
      </c>
    </row>
    <row r="428" spans="1:14" x14ac:dyDescent="0.25">
      <c r="A428" s="1">
        <v>43735</v>
      </c>
      <c r="B428">
        <v>235.99077775337597</v>
      </c>
      <c r="C428">
        <v>237.34315452109681</v>
      </c>
      <c r="D428">
        <v>231.16083966894257</v>
      </c>
      <c r="E428">
        <v>233.38261413574219</v>
      </c>
      <c r="F428">
        <v>785934</v>
      </c>
      <c r="G428">
        <v>0</v>
      </c>
      <c r="H428">
        <v>0</v>
      </c>
      <c r="N428">
        <v>241.6</v>
      </c>
    </row>
    <row r="429" spans="1:14" x14ac:dyDescent="0.25">
      <c r="A429" s="1">
        <v>43738</v>
      </c>
      <c r="B429">
        <v>232.80301564159939</v>
      </c>
      <c r="C429">
        <v>233.18940479238691</v>
      </c>
      <c r="D429">
        <v>219.66557815760521</v>
      </c>
      <c r="E429">
        <v>225.36491394042969</v>
      </c>
      <c r="F429">
        <v>1502377</v>
      </c>
      <c r="G429">
        <v>0</v>
      </c>
      <c r="H429">
        <v>0</v>
      </c>
      <c r="N429">
        <v>233.3</v>
      </c>
    </row>
    <row r="430" spans="1:14" x14ac:dyDescent="0.25">
      <c r="A430" s="1">
        <v>43739</v>
      </c>
      <c r="B430">
        <v>228.45608153504659</v>
      </c>
      <c r="C430">
        <v>228.84247070303289</v>
      </c>
      <c r="D430">
        <v>220.00368951207975</v>
      </c>
      <c r="E430">
        <v>226.18600463867188</v>
      </c>
      <c r="F430">
        <v>1226745</v>
      </c>
      <c r="G430">
        <v>0</v>
      </c>
      <c r="H430">
        <v>0</v>
      </c>
      <c r="N430">
        <v>234.15</v>
      </c>
    </row>
    <row r="431" spans="1:14" x14ac:dyDescent="0.25">
      <c r="A431" s="1">
        <v>43741</v>
      </c>
      <c r="B431">
        <v>225.07513600154479</v>
      </c>
      <c r="C431">
        <v>227.34521301164452</v>
      </c>
      <c r="D431">
        <v>222.22547521042998</v>
      </c>
      <c r="E431">
        <v>225.94451904296875</v>
      </c>
      <c r="F431">
        <v>640323</v>
      </c>
      <c r="G431">
        <v>0</v>
      </c>
      <c r="H431">
        <v>0</v>
      </c>
      <c r="N431">
        <v>233.9</v>
      </c>
    </row>
    <row r="432" spans="1:14" x14ac:dyDescent="0.25">
      <c r="A432" s="1">
        <v>43742</v>
      </c>
      <c r="B432">
        <v>224.20575598488421</v>
      </c>
      <c r="C432">
        <v>227.92479986759665</v>
      </c>
      <c r="D432">
        <v>222.94996899937235</v>
      </c>
      <c r="E432">
        <v>224.25404357910156</v>
      </c>
      <c r="F432">
        <v>916159</v>
      </c>
      <c r="G432">
        <v>0</v>
      </c>
      <c r="H432">
        <v>0</v>
      </c>
      <c r="N432">
        <v>232.15</v>
      </c>
    </row>
    <row r="433" spans="1:14" x14ac:dyDescent="0.25">
      <c r="A433" s="1">
        <v>43745</v>
      </c>
      <c r="B433">
        <v>224.35066513460703</v>
      </c>
      <c r="C433">
        <v>224.35066513460703</v>
      </c>
      <c r="D433">
        <v>216.33296349722863</v>
      </c>
      <c r="E433">
        <v>220.19691467285156</v>
      </c>
      <c r="F433">
        <v>1530313</v>
      </c>
      <c r="G433">
        <v>0</v>
      </c>
      <c r="H433">
        <v>0</v>
      </c>
      <c r="N433">
        <v>227.95</v>
      </c>
    </row>
    <row r="434" spans="1:14" x14ac:dyDescent="0.25">
      <c r="A434" s="1">
        <v>43747</v>
      </c>
      <c r="B434">
        <v>218.40982596348286</v>
      </c>
      <c r="C434">
        <v>230.77445679377607</v>
      </c>
      <c r="D434">
        <v>217.97511970445632</v>
      </c>
      <c r="E434">
        <v>228.50439453125</v>
      </c>
      <c r="F434">
        <v>661679</v>
      </c>
      <c r="G434">
        <v>0</v>
      </c>
      <c r="H434">
        <v>0</v>
      </c>
      <c r="N434">
        <v>236.55</v>
      </c>
    </row>
    <row r="435" spans="1:14" x14ac:dyDescent="0.25">
      <c r="A435" s="1">
        <v>43748</v>
      </c>
      <c r="B435">
        <v>227.39351076149171</v>
      </c>
      <c r="C435">
        <v>228.64929778615007</v>
      </c>
      <c r="D435">
        <v>223.62616442731996</v>
      </c>
      <c r="E435">
        <v>224.30235290527344</v>
      </c>
      <c r="F435">
        <v>458031</v>
      </c>
      <c r="G435">
        <v>0</v>
      </c>
      <c r="H435">
        <v>0</v>
      </c>
      <c r="N435">
        <v>232.2</v>
      </c>
    </row>
    <row r="436" spans="1:14" x14ac:dyDescent="0.25">
      <c r="A436" s="1">
        <v>43749</v>
      </c>
      <c r="B436">
        <v>224.3023384969122</v>
      </c>
      <c r="C436">
        <v>224.7853323415394</v>
      </c>
      <c r="D436">
        <v>220.43838773989458</v>
      </c>
      <c r="E436">
        <v>222.27377319335938</v>
      </c>
      <c r="F436">
        <v>725660</v>
      </c>
      <c r="G436">
        <v>0</v>
      </c>
      <c r="H436">
        <v>0</v>
      </c>
      <c r="N436">
        <v>230.1</v>
      </c>
    </row>
    <row r="437" spans="1:14" x14ac:dyDescent="0.25">
      <c r="A437" s="1">
        <v>43752</v>
      </c>
      <c r="B437">
        <v>224.64043184452694</v>
      </c>
      <c r="C437">
        <v>227.20029323123748</v>
      </c>
      <c r="D437">
        <v>221.54927430025333</v>
      </c>
      <c r="E437">
        <v>224.78532409667969</v>
      </c>
      <c r="F437">
        <v>1626104</v>
      </c>
      <c r="G437">
        <v>0</v>
      </c>
      <c r="H437">
        <v>0</v>
      </c>
      <c r="N437">
        <v>232.7</v>
      </c>
    </row>
    <row r="438" spans="1:14" x14ac:dyDescent="0.25">
      <c r="A438" s="1">
        <v>43753</v>
      </c>
      <c r="B438">
        <v>225.07513559300523</v>
      </c>
      <c r="C438">
        <v>226.86221874578064</v>
      </c>
      <c r="D438">
        <v>224.49553707323952</v>
      </c>
      <c r="E438">
        <v>226.47581481933594</v>
      </c>
      <c r="F438">
        <v>488532</v>
      </c>
      <c r="G438">
        <v>0</v>
      </c>
      <c r="H438">
        <v>0</v>
      </c>
      <c r="N438">
        <v>234.45</v>
      </c>
    </row>
    <row r="439" spans="1:14" x14ac:dyDescent="0.25">
      <c r="A439" s="1">
        <v>43754</v>
      </c>
      <c r="B439">
        <v>227.00711493873177</v>
      </c>
      <c r="C439">
        <v>229.51868891482613</v>
      </c>
      <c r="D439">
        <v>224.30234636596927</v>
      </c>
      <c r="E439">
        <v>226.71731567382813</v>
      </c>
      <c r="F439">
        <v>688266</v>
      </c>
      <c r="G439">
        <v>0</v>
      </c>
      <c r="H439">
        <v>0</v>
      </c>
      <c r="N439">
        <v>234.7</v>
      </c>
    </row>
    <row r="440" spans="1:14" x14ac:dyDescent="0.25">
      <c r="A440" s="1">
        <v>43755</v>
      </c>
      <c r="B440">
        <v>226.71730064694739</v>
      </c>
      <c r="C440">
        <v>230.38805669955477</v>
      </c>
      <c r="D440">
        <v>223.62614308573137</v>
      </c>
      <c r="E440">
        <v>229.71186828613281</v>
      </c>
      <c r="F440">
        <v>471432</v>
      </c>
      <c r="G440">
        <v>0</v>
      </c>
      <c r="H440">
        <v>0</v>
      </c>
      <c r="N440">
        <v>237.8</v>
      </c>
    </row>
    <row r="441" spans="1:14" x14ac:dyDescent="0.25">
      <c r="A441" s="1">
        <v>43756</v>
      </c>
      <c r="B441">
        <v>228.74589148251943</v>
      </c>
      <c r="C441">
        <v>234.63840763889465</v>
      </c>
      <c r="D441">
        <v>228.64928681610238</v>
      </c>
      <c r="E441">
        <v>232.46493530273438</v>
      </c>
      <c r="F441">
        <v>805730</v>
      </c>
      <c r="G441">
        <v>0</v>
      </c>
      <c r="H441">
        <v>0</v>
      </c>
      <c r="N441">
        <v>240.65</v>
      </c>
    </row>
    <row r="442" spans="1:14" x14ac:dyDescent="0.25">
      <c r="A442" s="1">
        <v>43760</v>
      </c>
      <c r="B442">
        <v>232.46492857310187</v>
      </c>
      <c r="C442">
        <v>240.04793773343926</v>
      </c>
      <c r="D442">
        <v>230.67786021454111</v>
      </c>
      <c r="E442">
        <v>236.90847778320313</v>
      </c>
      <c r="F442">
        <v>1079784</v>
      </c>
      <c r="G442">
        <v>0</v>
      </c>
      <c r="H442">
        <v>0</v>
      </c>
      <c r="N442">
        <v>245.25</v>
      </c>
    </row>
    <row r="443" spans="1:14" x14ac:dyDescent="0.25">
      <c r="A443" s="1">
        <v>43761</v>
      </c>
      <c r="B443">
        <v>237.63296090437919</v>
      </c>
      <c r="C443">
        <v>240.53092384223748</v>
      </c>
      <c r="D443">
        <v>234.97649487800911</v>
      </c>
      <c r="E443">
        <v>239.4200439453125</v>
      </c>
      <c r="F443">
        <v>626600</v>
      </c>
      <c r="G443">
        <v>0</v>
      </c>
      <c r="H443">
        <v>0</v>
      </c>
      <c r="N443">
        <v>247.85</v>
      </c>
    </row>
    <row r="444" spans="1:14" x14ac:dyDescent="0.25">
      <c r="A444" s="1">
        <v>43762</v>
      </c>
      <c r="B444">
        <v>237.53636735016082</v>
      </c>
      <c r="C444">
        <v>241.83502436748083</v>
      </c>
      <c r="D444">
        <v>235.21800278739696</v>
      </c>
      <c r="E444">
        <v>236.18399047851563</v>
      </c>
      <c r="F444">
        <v>893379</v>
      </c>
      <c r="G444">
        <v>0</v>
      </c>
      <c r="H444">
        <v>0</v>
      </c>
      <c r="N444">
        <v>244.5</v>
      </c>
    </row>
    <row r="445" spans="1:14" x14ac:dyDescent="0.25">
      <c r="A445" s="1">
        <v>43763</v>
      </c>
      <c r="B445">
        <v>236.18400266539308</v>
      </c>
      <c r="C445">
        <v>239.95134895922655</v>
      </c>
      <c r="D445">
        <v>232.51324630177399</v>
      </c>
      <c r="E445">
        <v>236.377197265625</v>
      </c>
      <c r="F445">
        <v>923146</v>
      </c>
      <c r="G445">
        <v>0</v>
      </c>
      <c r="H445">
        <v>0</v>
      </c>
      <c r="N445">
        <v>244.7</v>
      </c>
    </row>
    <row r="446" spans="1:14" x14ac:dyDescent="0.25">
      <c r="A446" s="1">
        <v>43765</v>
      </c>
      <c r="B446">
        <v>235.70099669875592</v>
      </c>
      <c r="C446">
        <v>239.17855828367493</v>
      </c>
      <c r="D446">
        <v>234.83161367242738</v>
      </c>
      <c r="E446">
        <v>237.6812744140625</v>
      </c>
      <c r="F446">
        <v>166232</v>
      </c>
      <c r="G446">
        <v>0</v>
      </c>
      <c r="H446">
        <v>0</v>
      </c>
      <c r="N446">
        <v>246.05</v>
      </c>
    </row>
    <row r="447" spans="1:14" x14ac:dyDescent="0.25">
      <c r="A447" s="1">
        <v>43767</v>
      </c>
      <c r="B447">
        <v>237.63297392239113</v>
      </c>
      <c r="C447">
        <v>242.75271167437063</v>
      </c>
      <c r="D447">
        <v>236.42548929880175</v>
      </c>
      <c r="E447">
        <v>241.54522705078125</v>
      </c>
      <c r="F447">
        <v>615376</v>
      </c>
      <c r="G447">
        <v>0</v>
      </c>
      <c r="H447">
        <v>0</v>
      </c>
      <c r="N447">
        <v>250.05</v>
      </c>
    </row>
    <row r="448" spans="1:14" x14ac:dyDescent="0.25">
      <c r="A448" s="1">
        <v>43768</v>
      </c>
      <c r="B448">
        <v>241.69011930969097</v>
      </c>
      <c r="C448">
        <v>243.33229544981202</v>
      </c>
      <c r="D448">
        <v>238.21257243763506</v>
      </c>
      <c r="E448">
        <v>241.54522705078125</v>
      </c>
      <c r="F448">
        <v>591101</v>
      </c>
      <c r="G448">
        <v>0</v>
      </c>
      <c r="H448">
        <v>0</v>
      </c>
      <c r="N448">
        <v>250.05</v>
      </c>
    </row>
    <row r="449" spans="1:14" x14ac:dyDescent="0.25">
      <c r="A449" s="1">
        <v>43769</v>
      </c>
      <c r="B449">
        <v>241.54521711589908</v>
      </c>
      <c r="C449">
        <v>252.79898218876039</v>
      </c>
      <c r="D449">
        <v>240.82072637154414</v>
      </c>
      <c r="E449">
        <v>243.18739318847656</v>
      </c>
      <c r="F449">
        <v>1873896</v>
      </c>
      <c r="G449">
        <v>0</v>
      </c>
      <c r="H449">
        <v>0</v>
      </c>
      <c r="N449">
        <v>251.75</v>
      </c>
    </row>
    <row r="450" spans="1:14" x14ac:dyDescent="0.25">
      <c r="A450" s="1">
        <v>43770</v>
      </c>
      <c r="B450">
        <v>243.38060090652306</v>
      </c>
      <c r="C450">
        <v>249.12822484061917</v>
      </c>
      <c r="D450">
        <v>240.047946250602</v>
      </c>
      <c r="E450">
        <v>246.80986022949219</v>
      </c>
      <c r="F450">
        <v>672164</v>
      </c>
      <c r="G450">
        <v>0</v>
      </c>
      <c r="H450">
        <v>0</v>
      </c>
      <c r="N450">
        <v>255.5</v>
      </c>
    </row>
    <row r="451" spans="1:14" x14ac:dyDescent="0.25">
      <c r="A451" s="1">
        <v>43773</v>
      </c>
      <c r="B451">
        <v>248.16221976948316</v>
      </c>
      <c r="C451">
        <v>252.02617034426561</v>
      </c>
      <c r="D451">
        <v>225.55811480292641</v>
      </c>
      <c r="E451">
        <v>233.430908203125</v>
      </c>
      <c r="F451">
        <v>5231174</v>
      </c>
      <c r="G451">
        <v>0</v>
      </c>
      <c r="H451">
        <v>0</v>
      </c>
      <c r="N451">
        <v>241.65</v>
      </c>
    </row>
    <row r="452" spans="1:14" x14ac:dyDescent="0.25">
      <c r="A452" s="1">
        <v>43774</v>
      </c>
      <c r="B452">
        <v>233.28603914452455</v>
      </c>
      <c r="C452">
        <v>236.18400236371119</v>
      </c>
      <c r="D452">
        <v>230.38807592533789</v>
      </c>
      <c r="E452">
        <v>231.45066833496094</v>
      </c>
      <c r="F452">
        <v>1356790</v>
      </c>
      <c r="G452">
        <v>0</v>
      </c>
      <c r="H452">
        <v>0</v>
      </c>
      <c r="N452">
        <v>239.6</v>
      </c>
    </row>
    <row r="453" spans="1:14" x14ac:dyDescent="0.25">
      <c r="A453" s="1">
        <v>43775</v>
      </c>
      <c r="B453">
        <v>229.13226261158269</v>
      </c>
      <c r="C453">
        <v>236.95676830106274</v>
      </c>
      <c r="D453">
        <v>229.13226261158269</v>
      </c>
      <c r="E453">
        <v>231.692138671875</v>
      </c>
      <c r="F453">
        <v>776113</v>
      </c>
      <c r="G453">
        <v>0</v>
      </c>
      <c r="H453">
        <v>0</v>
      </c>
      <c r="N453">
        <v>239.85</v>
      </c>
    </row>
    <row r="454" spans="1:14" x14ac:dyDescent="0.25">
      <c r="A454" s="1">
        <v>43776</v>
      </c>
      <c r="B454">
        <v>231.69215815889245</v>
      </c>
      <c r="C454">
        <v>233.28603198460533</v>
      </c>
      <c r="D454">
        <v>224.20575340576329</v>
      </c>
      <c r="E454">
        <v>226.91050720214844</v>
      </c>
      <c r="F454">
        <v>1413454</v>
      </c>
      <c r="G454">
        <v>0</v>
      </c>
      <c r="H454">
        <v>0</v>
      </c>
      <c r="N454">
        <v>234.9</v>
      </c>
    </row>
    <row r="455" spans="1:14" x14ac:dyDescent="0.25">
      <c r="A455" s="1">
        <v>43777</v>
      </c>
      <c r="B455">
        <v>226.04111534659972</v>
      </c>
      <c r="C455">
        <v>230.04995829122754</v>
      </c>
      <c r="D455">
        <v>223.62614616554629</v>
      </c>
      <c r="E455">
        <v>224.49552917480469</v>
      </c>
      <c r="F455">
        <v>771808</v>
      </c>
      <c r="G455">
        <v>0</v>
      </c>
      <c r="H455">
        <v>0</v>
      </c>
      <c r="N455">
        <v>232.4</v>
      </c>
    </row>
    <row r="456" spans="1:14" x14ac:dyDescent="0.25">
      <c r="A456" s="1">
        <v>43780</v>
      </c>
      <c r="B456">
        <v>225.02683142898928</v>
      </c>
      <c r="C456">
        <v>226.81391456722562</v>
      </c>
      <c r="D456">
        <v>221.69417681695631</v>
      </c>
      <c r="E456">
        <v>222.61186218261719</v>
      </c>
      <c r="F456">
        <v>753824</v>
      </c>
      <c r="G456">
        <v>0</v>
      </c>
      <c r="H456">
        <v>0</v>
      </c>
      <c r="N456">
        <v>230.45</v>
      </c>
    </row>
    <row r="457" spans="1:14" x14ac:dyDescent="0.25">
      <c r="A457" s="1">
        <v>43782</v>
      </c>
      <c r="B457">
        <v>223.96426222158038</v>
      </c>
      <c r="C457">
        <v>224.64045068801684</v>
      </c>
      <c r="D457">
        <v>215.56015713651715</v>
      </c>
      <c r="E457">
        <v>217.10574340820313</v>
      </c>
      <c r="F457">
        <v>1398413</v>
      </c>
      <c r="G457">
        <v>0</v>
      </c>
      <c r="H457">
        <v>0</v>
      </c>
      <c r="N457">
        <v>224.75</v>
      </c>
    </row>
    <row r="458" spans="1:14" x14ac:dyDescent="0.25">
      <c r="A458" s="1">
        <v>43783</v>
      </c>
      <c r="B458">
        <v>214.9322675869839</v>
      </c>
      <c r="C458">
        <v>227.39350327251034</v>
      </c>
      <c r="D458">
        <v>212.51729828825373</v>
      </c>
      <c r="E458">
        <v>226.28262329101563</v>
      </c>
      <c r="F458">
        <v>4373085</v>
      </c>
      <c r="G458">
        <v>0</v>
      </c>
      <c r="H458">
        <v>0</v>
      </c>
      <c r="N458">
        <v>234.25</v>
      </c>
    </row>
    <row r="459" spans="1:14" x14ac:dyDescent="0.25">
      <c r="A459" s="1">
        <v>43784</v>
      </c>
      <c r="B459">
        <v>226.86221046754514</v>
      </c>
      <c r="C459">
        <v>229.22887731392356</v>
      </c>
      <c r="D459">
        <v>222.85335278835521</v>
      </c>
      <c r="E459">
        <v>226.52410888671875</v>
      </c>
      <c r="F459">
        <v>947260</v>
      </c>
      <c r="G459">
        <v>0</v>
      </c>
      <c r="H459">
        <v>0</v>
      </c>
      <c r="N459">
        <v>234.5</v>
      </c>
    </row>
    <row r="460" spans="1:14" x14ac:dyDescent="0.25">
      <c r="A460" s="1">
        <v>43787</v>
      </c>
      <c r="B460">
        <v>228.45608757445532</v>
      </c>
      <c r="C460">
        <v>238.40576368104956</v>
      </c>
      <c r="D460">
        <v>228.21459065312925</v>
      </c>
      <c r="E460">
        <v>233.28602600097656</v>
      </c>
      <c r="F460">
        <v>2865890</v>
      </c>
      <c r="G460">
        <v>0</v>
      </c>
      <c r="H460">
        <v>0</v>
      </c>
      <c r="N460">
        <v>241.5</v>
      </c>
    </row>
    <row r="461" spans="1:14" x14ac:dyDescent="0.25">
      <c r="A461" s="1">
        <v>43788</v>
      </c>
      <c r="B461">
        <v>233.76901774533951</v>
      </c>
      <c r="C461">
        <v>238.55065379671558</v>
      </c>
      <c r="D461">
        <v>231.11255163459703</v>
      </c>
      <c r="E461">
        <v>235.41119384765625</v>
      </c>
      <c r="F461">
        <v>1756950</v>
      </c>
      <c r="G461">
        <v>0</v>
      </c>
      <c r="H461">
        <v>0</v>
      </c>
      <c r="N461">
        <v>243.7</v>
      </c>
    </row>
    <row r="462" spans="1:14" x14ac:dyDescent="0.25">
      <c r="A462" s="1">
        <v>43789</v>
      </c>
      <c r="B462">
        <v>235.21798335021109</v>
      </c>
      <c r="C462">
        <v>243.3805757176894</v>
      </c>
      <c r="D462">
        <v>233.2860081276221</v>
      </c>
      <c r="E462">
        <v>240.96560668945313</v>
      </c>
      <c r="F462">
        <v>2580699</v>
      </c>
      <c r="G462">
        <v>0</v>
      </c>
      <c r="H462">
        <v>0</v>
      </c>
      <c r="N462">
        <v>249.45</v>
      </c>
    </row>
    <row r="463" spans="1:14" x14ac:dyDescent="0.25">
      <c r="A463" s="1">
        <v>43790</v>
      </c>
      <c r="B463">
        <v>240.53092597939656</v>
      </c>
      <c r="C463">
        <v>247.19623489977232</v>
      </c>
      <c r="D463">
        <v>239.27513908053973</v>
      </c>
      <c r="E463">
        <v>245.74725341796875</v>
      </c>
      <c r="F463">
        <v>2441075</v>
      </c>
      <c r="G463">
        <v>0</v>
      </c>
      <c r="H463">
        <v>0</v>
      </c>
      <c r="N463">
        <v>254.4</v>
      </c>
    </row>
    <row r="464" spans="1:14" x14ac:dyDescent="0.25">
      <c r="A464" s="1">
        <v>43791</v>
      </c>
      <c r="B464">
        <v>245.6989691976529</v>
      </c>
      <c r="C464">
        <v>247.63094453322776</v>
      </c>
      <c r="D464">
        <v>239.13025010873798</v>
      </c>
      <c r="E464">
        <v>242.55950927734375</v>
      </c>
      <c r="F464">
        <v>1370223</v>
      </c>
      <c r="G464">
        <v>0</v>
      </c>
      <c r="H464">
        <v>0</v>
      </c>
      <c r="N464">
        <v>251.1</v>
      </c>
    </row>
    <row r="465" spans="1:14" x14ac:dyDescent="0.25">
      <c r="A465" s="1">
        <v>43794</v>
      </c>
      <c r="B465">
        <v>243.62209577206076</v>
      </c>
      <c r="C465">
        <v>251.06019813791531</v>
      </c>
      <c r="D465">
        <v>241.8350273652205</v>
      </c>
      <c r="E465">
        <v>247.96905517578125</v>
      </c>
      <c r="F465">
        <v>1580268</v>
      </c>
      <c r="G465">
        <v>0</v>
      </c>
      <c r="H465">
        <v>0</v>
      </c>
      <c r="N465">
        <v>256.7</v>
      </c>
    </row>
    <row r="466" spans="1:14" x14ac:dyDescent="0.25">
      <c r="A466" s="1">
        <v>43795</v>
      </c>
      <c r="B466">
        <v>248.21054984370025</v>
      </c>
      <c r="C466">
        <v>250.96359118878766</v>
      </c>
      <c r="D466">
        <v>244.87788050650349</v>
      </c>
      <c r="E466">
        <v>247.09965515136719</v>
      </c>
      <c r="F466">
        <v>1206312</v>
      </c>
      <c r="G466">
        <v>0</v>
      </c>
      <c r="H466">
        <v>0</v>
      </c>
      <c r="N466">
        <v>255.8</v>
      </c>
    </row>
    <row r="467" spans="1:14" x14ac:dyDescent="0.25">
      <c r="A467" s="1">
        <v>43796</v>
      </c>
      <c r="B467">
        <v>247.09964459533984</v>
      </c>
      <c r="C467">
        <v>250.14251454629382</v>
      </c>
      <c r="D467">
        <v>244.00848705357538</v>
      </c>
      <c r="E467">
        <v>246.27854919433594</v>
      </c>
      <c r="F467">
        <v>2109146</v>
      </c>
      <c r="G467">
        <v>0</v>
      </c>
      <c r="H467">
        <v>0</v>
      </c>
      <c r="N467">
        <v>254.95</v>
      </c>
    </row>
    <row r="468" spans="1:14" x14ac:dyDescent="0.25">
      <c r="A468" s="1">
        <v>43797</v>
      </c>
      <c r="B468">
        <v>246.27856057789535</v>
      </c>
      <c r="C468">
        <v>251.06019673349627</v>
      </c>
      <c r="D468">
        <v>244.97448602989647</v>
      </c>
      <c r="E468">
        <v>249.99760437011719</v>
      </c>
      <c r="F468">
        <v>1533842</v>
      </c>
      <c r="G468">
        <v>0</v>
      </c>
      <c r="H468">
        <v>0</v>
      </c>
      <c r="N468">
        <v>258.8</v>
      </c>
    </row>
    <row r="469" spans="1:14" x14ac:dyDescent="0.25">
      <c r="A469" s="1">
        <v>43798</v>
      </c>
      <c r="B469">
        <v>250.2391172047563</v>
      </c>
      <c r="C469">
        <v>256.56635471466956</v>
      </c>
      <c r="D469">
        <v>243.47721763081262</v>
      </c>
      <c r="E469">
        <v>245.50578308105469</v>
      </c>
      <c r="F469">
        <v>2749988</v>
      </c>
      <c r="G469">
        <v>0</v>
      </c>
      <c r="H469">
        <v>0</v>
      </c>
      <c r="N469">
        <v>254.15</v>
      </c>
    </row>
    <row r="470" spans="1:14" x14ac:dyDescent="0.25">
      <c r="A470" s="1">
        <v>43801</v>
      </c>
      <c r="B470">
        <v>245.3608722538911</v>
      </c>
      <c r="C470">
        <v>250.43230760559555</v>
      </c>
      <c r="D470">
        <v>243.18739996030348</v>
      </c>
      <c r="E470">
        <v>249.22482299804688</v>
      </c>
      <c r="F470">
        <v>2786539</v>
      </c>
      <c r="G470">
        <v>0</v>
      </c>
      <c r="H470">
        <v>0</v>
      </c>
      <c r="N470">
        <v>258.2</v>
      </c>
    </row>
    <row r="471" spans="1:14" x14ac:dyDescent="0.25">
      <c r="A471" s="1">
        <v>43802</v>
      </c>
      <c r="B471">
        <v>248.11391775165646</v>
      </c>
      <c r="C471">
        <v>253.37853241590543</v>
      </c>
      <c r="D471">
        <v>245.74723637038011</v>
      </c>
      <c r="E471">
        <v>251.39826965332031</v>
      </c>
      <c r="F471">
        <v>4703707</v>
      </c>
      <c r="G471">
        <v>0</v>
      </c>
      <c r="H471">
        <v>0</v>
      </c>
      <c r="N471">
        <v>260.25</v>
      </c>
    </row>
    <row r="472" spans="1:14" x14ac:dyDescent="0.25">
      <c r="A472" s="1">
        <v>43803</v>
      </c>
      <c r="B472">
        <v>251.20507460898435</v>
      </c>
      <c r="C472">
        <v>255.11734224838392</v>
      </c>
      <c r="D472">
        <v>249.61120089497862</v>
      </c>
      <c r="E472">
        <v>254.48945617675781</v>
      </c>
      <c r="F472">
        <v>3372985</v>
      </c>
      <c r="G472">
        <v>0</v>
      </c>
      <c r="H472">
        <v>0</v>
      </c>
      <c r="N472">
        <v>263.45</v>
      </c>
    </row>
    <row r="473" spans="1:14" x14ac:dyDescent="0.25">
      <c r="A473" s="1">
        <v>43804</v>
      </c>
      <c r="B473">
        <v>254.73094625870135</v>
      </c>
      <c r="C473">
        <v>255.60032921761655</v>
      </c>
      <c r="D473">
        <v>247.48603913507051</v>
      </c>
      <c r="E473">
        <v>248.88670349121094</v>
      </c>
      <c r="F473">
        <v>893270</v>
      </c>
      <c r="G473">
        <v>0</v>
      </c>
      <c r="H473">
        <v>0</v>
      </c>
      <c r="N473">
        <v>257.64999999999998</v>
      </c>
    </row>
    <row r="474" spans="1:14" x14ac:dyDescent="0.25">
      <c r="A474" s="1">
        <v>43805</v>
      </c>
      <c r="B474">
        <v>249.22481718590279</v>
      </c>
      <c r="C474">
        <v>252.07449258510258</v>
      </c>
      <c r="D474">
        <v>244.39487886834652</v>
      </c>
      <c r="E474">
        <v>246.61665344238281</v>
      </c>
      <c r="F474">
        <v>1246246</v>
      </c>
      <c r="G474">
        <v>0</v>
      </c>
      <c r="H474">
        <v>0</v>
      </c>
      <c r="N474">
        <v>255.3</v>
      </c>
    </row>
    <row r="475" spans="1:14" x14ac:dyDescent="0.25">
      <c r="A475" s="1">
        <v>43808</v>
      </c>
      <c r="B475">
        <v>246.90647531635676</v>
      </c>
      <c r="C475">
        <v>251.39831246740343</v>
      </c>
      <c r="D475">
        <v>244.92619747672202</v>
      </c>
      <c r="E475">
        <v>250.62553405761719</v>
      </c>
      <c r="F475">
        <v>892750</v>
      </c>
      <c r="G475">
        <v>0</v>
      </c>
      <c r="H475">
        <v>0</v>
      </c>
      <c r="N475">
        <v>259.45</v>
      </c>
    </row>
    <row r="476" spans="1:14" x14ac:dyDescent="0.25">
      <c r="A476" s="1">
        <v>43809</v>
      </c>
      <c r="B476">
        <v>250.62549673712681</v>
      </c>
      <c r="C476">
        <v>253.23364559148249</v>
      </c>
      <c r="D476">
        <v>247.48603701050442</v>
      </c>
      <c r="E476">
        <v>252.07447814941406</v>
      </c>
      <c r="F476">
        <v>2659862</v>
      </c>
      <c r="G476">
        <v>0</v>
      </c>
      <c r="H476">
        <v>0</v>
      </c>
      <c r="N476">
        <v>260.95</v>
      </c>
    </row>
    <row r="477" spans="1:14" x14ac:dyDescent="0.25">
      <c r="A477" s="1">
        <v>43810</v>
      </c>
      <c r="B477">
        <v>252.02619235808717</v>
      </c>
      <c r="C477">
        <v>255.98674793910394</v>
      </c>
      <c r="D477">
        <v>249.0316245051425</v>
      </c>
      <c r="E477">
        <v>253.47517395019531</v>
      </c>
      <c r="F477">
        <v>3259167</v>
      </c>
      <c r="G477">
        <v>0</v>
      </c>
      <c r="H477">
        <v>0</v>
      </c>
      <c r="N477">
        <v>262.39999999999998</v>
      </c>
    </row>
    <row r="478" spans="1:14" x14ac:dyDescent="0.25">
      <c r="A478" s="1">
        <v>43811</v>
      </c>
      <c r="B478">
        <v>254.73095219447913</v>
      </c>
      <c r="C478">
        <v>258.40169343081391</v>
      </c>
      <c r="D478">
        <v>253.62004282595379</v>
      </c>
      <c r="E478">
        <v>255.02073669433594</v>
      </c>
      <c r="F478">
        <v>2105658</v>
      </c>
      <c r="G478">
        <v>0</v>
      </c>
      <c r="H478">
        <v>0</v>
      </c>
      <c r="N478">
        <v>264</v>
      </c>
    </row>
    <row r="479" spans="1:14" x14ac:dyDescent="0.25">
      <c r="A479" s="1">
        <v>43812</v>
      </c>
      <c r="B479">
        <v>255.02076598419541</v>
      </c>
      <c r="C479">
        <v>255.02076598419541</v>
      </c>
      <c r="D479">
        <v>250.19082723449475</v>
      </c>
      <c r="E479">
        <v>252.122802734375</v>
      </c>
      <c r="F479">
        <v>863943</v>
      </c>
      <c r="G479">
        <v>0</v>
      </c>
      <c r="H479">
        <v>0</v>
      </c>
      <c r="N479">
        <v>261</v>
      </c>
    </row>
    <row r="480" spans="1:14" x14ac:dyDescent="0.25">
      <c r="A480" s="1">
        <v>43815</v>
      </c>
      <c r="B480">
        <v>252.17106895248841</v>
      </c>
      <c r="C480">
        <v>256.56633052987627</v>
      </c>
      <c r="D480">
        <v>251.39829060989044</v>
      </c>
      <c r="E480">
        <v>252.50917053222656</v>
      </c>
      <c r="F480">
        <v>1268170</v>
      </c>
      <c r="G480">
        <v>0</v>
      </c>
      <c r="H480">
        <v>0</v>
      </c>
      <c r="N480">
        <v>261.39999999999998</v>
      </c>
    </row>
    <row r="481" spans="1:14" x14ac:dyDescent="0.25">
      <c r="A481" s="1">
        <v>43816</v>
      </c>
      <c r="B481">
        <v>252.60578306032644</v>
      </c>
      <c r="C481">
        <v>253.57177075845388</v>
      </c>
      <c r="D481">
        <v>249.3697183756785</v>
      </c>
      <c r="E481">
        <v>250.52891540527344</v>
      </c>
      <c r="F481">
        <v>731431</v>
      </c>
      <c r="G481">
        <v>0</v>
      </c>
      <c r="H481">
        <v>0</v>
      </c>
      <c r="N481">
        <v>259.35000000000002</v>
      </c>
    </row>
    <row r="482" spans="1:14" x14ac:dyDescent="0.25">
      <c r="A482" s="1">
        <v>43817</v>
      </c>
      <c r="B482">
        <v>251.15680012164597</v>
      </c>
      <c r="C482">
        <v>252.46088940281396</v>
      </c>
      <c r="D482">
        <v>248.54862155930999</v>
      </c>
      <c r="E482">
        <v>250.09420776367188</v>
      </c>
      <c r="F482">
        <v>747292</v>
      </c>
      <c r="G482">
        <v>0</v>
      </c>
      <c r="H482">
        <v>0</v>
      </c>
      <c r="N482">
        <v>258.89999999999998</v>
      </c>
    </row>
    <row r="483" spans="1:14" x14ac:dyDescent="0.25">
      <c r="A483" s="1">
        <v>43818</v>
      </c>
      <c r="B483">
        <v>250.19081735795916</v>
      </c>
      <c r="C483">
        <v>254.39286980023979</v>
      </c>
      <c r="D483">
        <v>249.85271576290569</v>
      </c>
      <c r="E483">
        <v>252.79899597167969</v>
      </c>
      <c r="F483">
        <v>629435</v>
      </c>
      <c r="G483">
        <v>0</v>
      </c>
      <c r="H483">
        <v>0</v>
      </c>
      <c r="N483">
        <v>261.7</v>
      </c>
    </row>
    <row r="484" spans="1:14" x14ac:dyDescent="0.25">
      <c r="A484" s="1">
        <v>43819</v>
      </c>
      <c r="B484">
        <v>252.79896805968605</v>
      </c>
      <c r="C484">
        <v>259.0778874931633</v>
      </c>
      <c r="D484">
        <v>251.15677733908959</v>
      </c>
      <c r="E484">
        <v>257.09759521484375</v>
      </c>
      <c r="F484">
        <v>2192975</v>
      </c>
      <c r="G484">
        <v>0</v>
      </c>
      <c r="H484">
        <v>0</v>
      </c>
      <c r="N484">
        <v>266.14999999999998</v>
      </c>
    </row>
    <row r="485" spans="1:14" x14ac:dyDescent="0.25">
      <c r="A485" s="1">
        <v>43822</v>
      </c>
      <c r="B485">
        <v>259.65749047993103</v>
      </c>
      <c r="C485">
        <v>261.78267528143829</v>
      </c>
      <c r="D485">
        <v>251.73640876803492</v>
      </c>
      <c r="E485">
        <v>252.94389343261719</v>
      </c>
      <c r="F485">
        <v>2772875</v>
      </c>
      <c r="G485">
        <v>0</v>
      </c>
      <c r="H485">
        <v>0</v>
      </c>
      <c r="N485">
        <v>261.85000000000002</v>
      </c>
    </row>
    <row r="486" spans="1:14" x14ac:dyDescent="0.25">
      <c r="A486" s="1">
        <v>43823</v>
      </c>
      <c r="B486">
        <v>253.08875968397274</v>
      </c>
      <c r="C486">
        <v>253.76496281848105</v>
      </c>
      <c r="D486">
        <v>248.93502465657318</v>
      </c>
      <c r="E486">
        <v>249.65951538085938</v>
      </c>
      <c r="F486">
        <v>975049</v>
      </c>
      <c r="G486">
        <v>0</v>
      </c>
      <c r="H486">
        <v>0</v>
      </c>
      <c r="N486">
        <v>258.45</v>
      </c>
    </row>
    <row r="487" spans="1:14" x14ac:dyDescent="0.25">
      <c r="A487" s="1">
        <v>43825</v>
      </c>
      <c r="B487">
        <v>250.52891704140606</v>
      </c>
      <c r="C487">
        <v>251.73640167195111</v>
      </c>
      <c r="D487">
        <v>247.58263685511301</v>
      </c>
      <c r="E487">
        <v>248.40373229980469</v>
      </c>
      <c r="F487">
        <v>828446</v>
      </c>
      <c r="G487">
        <v>0</v>
      </c>
      <c r="H487">
        <v>0</v>
      </c>
      <c r="N487">
        <v>257.14999999999998</v>
      </c>
    </row>
    <row r="488" spans="1:14" x14ac:dyDescent="0.25">
      <c r="A488" s="1">
        <v>43826</v>
      </c>
      <c r="B488">
        <v>250.2874174905366</v>
      </c>
      <c r="C488">
        <v>252.50917739559782</v>
      </c>
      <c r="D488">
        <v>246.47175430618697</v>
      </c>
      <c r="E488">
        <v>247.09965515136719</v>
      </c>
      <c r="F488">
        <v>1246778</v>
      </c>
      <c r="G488">
        <v>0</v>
      </c>
      <c r="H488">
        <v>0</v>
      </c>
      <c r="N488">
        <v>255.8</v>
      </c>
    </row>
    <row r="489" spans="1:14" x14ac:dyDescent="0.25">
      <c r="A489" s="1">
        <v>43829</v>
      </c>
      <c r="B489">
        <v>247.00304961649005</v>
      </c>
      <c r="C489">
        <v>247.63095045945985</v>
      </c>
      <c r="D489">
        <v>243.67039503082771</v>
      </c>
      <c r="E489">
        <v>246.66496276855469</v>
      </c>
      <c r="F489">
        <v>988265</v>
      </c>
      <c r="G489">
        <v>0</v>
      </c>
      <c r="H489">
        <v>0</v>
      </c>
      <c r="N489">
        <v>255.35</v>
      </c>
    </row>
    <row r="490" spans="1:14" x14ac:dyDescent="0.25">
      <c r="A490" s="1">
        <v>43830</v>
      </c>
      <c r="B490">
        <v>247.29284135989832</v>
      </c>
      <c r="C490">
        <v>249.22481668302251</v>
      </c>
      <c r="D490">
        <v>244.87787220599307</v>
      </c>
      <c r="E490">
        <v>245.65066528320313</v>
      </c>
      <c r="F490">
        <v>462747</v>
      </c>
      <c r="G490">
        <v>0</v>
      </c>
      <c r="H490">
        <v>0</v>
      </c>
      <c r="N490">
        <v>254.3</v>
      </c>
    </row>
    <row r="491" spans="1:14" x14ac:dyDescent="0.25">
      <c r="A491" s="1">
        <v>43831</v>
      </c>
      <c r="B491">
        <v>246.27855965370478</v>
      </c>
      <c r="C491">
        <v>247.92073578565339</v>
      </c>
      <c r="D491">
        <v>244.4914912635675</v>
      </c>
      <c r="E491">
        <v>245.60237121582031</v>
      </c>
      <c r="F491">
        <v>437875</v>
      </c>
      <c r="G491">
        <v>0</v>
      </c>
      <c r="H491">
        <v>0</v>
      </c>
      <c r="N491">
        <v>254.25</v>
      </c>
    </row>
    <row r="492" spans="1:14" x14ac:dyDescent="0.25">
      <c r="A492" s="1">
        <v>43832</v>
      </c>
      <c r="B492">
        <v>246.71325082779714</v>
      </c>
      <c r="C492">
        <v>248.74183087845503</v>
      </c>
      <c r="D492">
        <v>244.92618244012468</v>
      </c>
      <c r="E492">
        <v>247.63095092773438</v>
      </c>
      <c r="F492">
        <v>540659</v>
      </c>
      <c r="G492">
        <v>0</v>
      </c>
      <c r="H492">
        <v>0</v>
      </c>
      <c r="N492">
        <v>256.35000000000002</v>
      </c>
    </row>
    <row r="493" spans="1:14" x14ac:dyDescent="0.25">
      <c r="A493" s="1">
        <v>43833</v>
      </c>
      <c r="B493">
        <v>248.25882116464467</v>
      </c>
      <c r="C493">
        <v>255.02073458158051</v>
      </c>
      <c r="D493">
        <v>247.24453120414398</v>
      </c>
      <c r="E493">
        <v>251.15678405761719</v>
      </c>
      <c r="F493">
        <v>1478041</v>
      </c>
      <c r="G493">
        <v>0</v>
      </c>
      <c r="H493">
        <v>0</v>
      </c>
      <c r="N493">
        <v>260</v>
      </c>
    </row>
    <row r="494" spans="1:14" x14ac:dyDescent="0.25">
      <c r="A494" s="1">
        <v>43836</v>
      </c>
      <c r="B494">
        <v>250.67380308263441</v>
      </c>
      <c r="C494">
        <v>251.10850933068889</v>
      </c>
      <c r="D494">
        <v>245.26426617606708</v>
      </c>
      <c r="E494">
        <v>246.32685852050781</v>
      </c>
      <c r="F494">
        <v>966858</v>
      </c>
      <c r="G494">
        <v>0</v>
      </c>
      <c r="H494">
        <v>0</v>
      </c>
      <c r="N494">
        <v>255</v>
      </c>
    </row>
    <row r="495" spans="1:14" x14ac:dyDescent="0.25">
      <c r="A495" s="1">
        <v>43837</v>
      </c>
      <c r="B495">
        <v>247.58263812420927</v>
      </c>
      <c r="C495">
        <v>251.15680444078569</v>
      </c>
      <c r="D495">
        <v>244.44319280850215</v>
      </c>
      <c r="E495">
        <v>248.30712890625</v>
      </c>
      <c r="F495">
        <v>606481</v>
      </c>
      <c r="G495">
        <v>0</v>
      </c>
      <c r="H495">
        <v>0</v>
      </c>
      <c r="N495">
        <v>257.05</v>
      </c>
    </row>
    <row r="496" spans="1:14" x14ac:dyDescent="0.25">
      <c r="A496" s="1">
        <v>43838</v>
      </c>
      <c r="B496">
        <v>247.87243236503284</v>
      </c>
      <c r="C496">
        <v>250.77039526217757</v>
      </c>
      <c r="D496">
        <v>244.44317332211796</v>
      </c>
      <c r="E496">
        <v>249.65951538085938</v>
      </c>
      <c r="F496">
        <v>874455</v>
      </c>
      <c r="G496">
        <v>0</v>
      </c>
      <c r="H496">
        <v>0</v>
      </c>
      <c r="N496">
        <v>258.45</v>
      </c>
    </row>
    <row r="497" spans="1:14" x14ac:dyDescent="0.25">
      <c r="A497" s="1">
        <v>43839</v>
      </c>
      <c r="B497">
        <v>251.1567844192096</v>
      </c>
      <c r="C497">
        <v>253.33025659206814</v>
      </c>
      <c r="D497">
        <v>248.25882152206486</v>
      </c>
      <c r="E497">
        <v>249.65951538085938</v>
      </c>
      <c r="F497">
        <v>608732</v>
      </c>
      <c r="G497">
        <v>0</v>
      </c>
      <c r="H497">
        <v>0</v>
      </c>
      <c r="N497">
        <v>258.45</v>
      </c>
    </row>
    <row r="498" spans="1:14" x14ac:dyDescent="0.25">
      <c r="A498" s="1">
        <v>43840</v>
      </c>
      <c r="B498">
        <v>250.09421123863254</v>
      </c>
      <c r="C498">
        <v>255.31053895617842</v>
      </c>
      <c r="D498">
        <v>248.50033741932759</v>
      </c>
      <c r="E498">
        <v>249.36972045898438</v>
      </c>
      <c r="F498">
        <v>871270</v>
      </c>
      <c r="G498">
        <v>0</v>
      </c>
      <c r="H498">
        <v>0</v>
      </c>
      <c r="N498">
        <v>258.14999999999998</v>
      </c>
    </row>
    <row r="499" spans="1:14" x14ac:dyDescent="0.25">
      <c r="A499" s="1">
        <v>43843</v>
      </c>
      <c r="B499">
        <v>249.22482112332767</v>
      </c>
      <c r="C499">
        <v>250.67380264148653</v>
      </c>
      <c r="D499">
        <v>247.09965117798842</v>
      </c>
      <c r="E499">
        <v>247.82412719726563</v>
      </c>
      <c r="F499">
        <v>1049259</v>
      </c>
      <c r="G499">
        <v>0</v>
      </c>
      <c r="H499">
        <v>0</v>
      </c>
      <c r="N499">
        <v>256.55</v>
      </c>
    </row>
    <row r="500" spans="1:14" x14ac:dyDescent="0.25">
      <c r="A500" s="1">
        <v>43844</v>
      </c>
      <c r="B500">
        <v>247.82413505155617</v>
      </c>
      <c r="C500">
        <v>249.70782287670423</v>
      </c>
      <c r="D500">
        <v>246.3268658938475</v>
      </c>
      <c r="E500">
        <v>248.30712890625</v>
      </c>
      <c r="F500">
        <v>568913</v>
      </c>
      <c r="G500">
        <v>0</v>
      </c>
      <c r="H500">
        <v>0</v>
      </c>
      <c r="N500">
        <v>257.05</v>
      </c>
    </row>
    <row r="501" spans="1:14" x14ac:dyDescent="0.25">
      <c r="A501" s="1">
        <v>43845</v>
      </c>
      <c r="B501">
        <v>248.30712137118934</v>
      </c>
      <c r="C501">
        <v>254.87585528345548</v>
      </c>
      <c r="D501">
        <v>247.09965151089904</v>
      </c>
      <c r="E501">
        <v>253.81326293945313</v>
      </c>
      <c r="F501">
        <v>909694</v>
      </c>
      <c r="G501">
        <v>0</v>
      </c>
      <c r="H501">
        <v>0</v>
      </c>
      <c r="N501">
        <v>262.75</v>
      </c>
    </row>
    <row r="502" spans="1:14" x14ac:dyDescent="0.25">
      <c r="A502" s="1">
        <v>43846</v>
      </c>
      <c r="B502">
        <v>253.86158483084799</v>
      </c>
      <c r="C502">
        <v>262.45889992877358</v>
      </c>
      <c r="D502">
        <v>253.18541105120104</v>
      </c>
      <c r="E502">
        <v>261.00991821289063</v>
      </c>
      <c r="F502">
        <v>2747358</v>
      </c>
      <c r="G502">
        <v>0</v>
      </c>
      <c r="H502">
        <v>0</v>
      </c>
      <c r="N502">
        <v>270.2</v>
      </c>
    </row>
    <row r="503" spans="1:14" x14ac:dyDescent="0.25">
      <c r="A503" s="1">
        <v>43847</v>
      </c>
      <c r="B503">
        <v>262.65207186760881</v>
      </c>
      <c r="C503">
        <v>263.52145497495013</v>
      </c>
      <c r="D503">
        <v>257.6289530920767</v>
      </c>
      <c r="E503">
        <v>259.99560546875</v>
      </c>
      <c r="F503">
        <v>3413381</v>
      </c>
      <c r="G503">
        <v>0</v>
      </c>
      <c r="H503">
        <v>0</v>
      </c>
      <c r="N503">
        <v>269.14999999999998</v>
      </c>
    </row>
    <row r="504" spans="1:14" x14ac:dyDescent="0.25">
      <c r="A504" s="1">
        <v>43850</v>
      </c>
      <c r="B504">
        <v>259.94728997449124</v>
      </c>
      <c r="C504">
        <v>263.56974376599862</v>
      </c>
      <c r="D504">
        <v>255.60034542468239</v>
      </c>
      <c r="E504">
        <v>257.87042236328125</v>
      </c>
      <c r="F504">
        <v>1445582</v>
      </c>
      <c r="G504">
        <v>0</v>
      </c>
      <c r="H504">
        <v>0</v>
      </c>
      <c r="N504">
        <v>266.95</v>
      </c>
    </row>
    <row r="505" spans="1:14" x14ac:dyDescent="0.25">
      <c r="A505" s="1">
        <v>43851</v>
      </c>
      <c r="B505">
        <v>256.95273181503222</v>
      </c>
      <c r="C505">
        <v>261.29967652618876</v>
      </c>
      <c r="D505">
        <v>256.95273181503222</v>
      </c>
      <c r="E505">
        <v>259.22280883789063</v>
      </c>
      <c r="F505">
        <v>975832</v>
      </c>
      <c r="G505">
        <v>0</v>
      </c>
      <c r="H505">
        <v>0</v>
      </c>
      <c r="N505">
        <v>268.35000000000002</v>
      </c>
    </row>
    <row r="506" spans="1:14" x14ac:dyDescent="0.25">
      <c r="A506" s="1">
        <v>43852</v>
      </c>
      <c r="B506">
        <v>259.36768113802901</v>
      </c>
      <c r="C506">
        <v>267.09558225201124</v>
      </c>
      <c r="D506">
        <v>258.64319040859317</v>
      </c>
      <c r="E506">
        <v>260.04388427734375</v>
      </c>
      <c r="F506">
        <v>4553748</v>
      </c>
      <c r="G506">
        <v>0</v>
      </c>
      <c r="H506">
        <v>0</v>
      </c>
      <c r="N506">
        <v>269.2</v>
      </c>
    </row>
    <row r="507" spans="1:14" x14ac:dyDescent="0.25">
      <c r="A507" s="1">
        <v>43853</v>
      </c>
      <c r="B507">
        <v>260.04390346299579</v>
      </c>
      <c r="C507">
        <v>262.74865726060096</v>
      </c>
      <c r="D507">
        <v>259.46430494076452</v>
      </c>
      <c r="E507">
        <v>260.285400390625</v>
      </c>
      <c r="F507">
        <v>1196861</v>
      </c>
      <c r="G507">
        <v>0</v>
      </c>
      <c r="H507">
        <v>0</v>
      </c>
      <c r="N507">
        <v>269.45</v>
      </c>
    </row>
    <row r="508" spans="1:14" x14ac:dyDescent="0.25">
      <c r="A508" s="1">
        <v>43854</v>
      </c>
      <c r="B508">
        <v>260.33366287982557</v>
      </c>
      <c r="C508">
        <v>264.87381647328135</v>
      </c>
      <c r="D508">
        <v>260.33366287982557</v>
      </c>
      <c r="E508">
        <v>262.89352416992188</v>
      </c>
      <c r="F508">
        <v>1403114</v>
      </c>
      <c r="G508">
        <v>0</v>
      </c>
      <c r="H508">
        <v>0</v>
      </c>
      <c r="N508">
        <v>272.14999999999998</v>
      </c>
    </row>
    <row r="509" spans="1:14" x14ac:dyDescent="0.25">
      <c r="A509" s="1">
        <v>43857</v>
      </c>
      <c r="B509">
        <v>260.91327446076184</v>
      </c>
      <c r="C509">
        <v>266.22620662331872</v>
      </c>
      <c r="D509">
        <v>260.04389145735513</v>
      </c>
      <c r="E509">
        <v>264.052734375</v>
      </c>
      <c r="F509">
        <v>2905584</v>
      </c>
      <c r="G509">
        <v>0</v>
      </c>
      <c r="H509">
        <v>0</v>
      </c>
      <c r="N509">
        <v>273.35000000000002</v>
      </c>
    </row>
    <row r="510" spans="1:14" x14ac:dyDescent="0.25">
      <c r="A510" s="1">
        <v>43858</v>
      </c>
      <c r="B510">
        <v>265.40511724564738</v>
      </c>
      <c r="C510">
        <v>269.51056491914693</v>
      </c>
      <c r="D510">
        <v>262.0724479306117</v>
      </c>
      <c r="E510">
        <v>263.13504028320313</v>
      </c>
      <c r="F510">
        <v>2623772</v>
      </c>
      <c r="G510">
        <v>0</v>
      </c>
      <c r="H510">
        <v>0</v>
      </c>
      <c r="N510">
        <v>272.39999999999998</v>
      </c>
    </row>
    <row r="511" spans="1:14" x14ac:dyDescent="0.25">
      <c r="A511" s="1">
        <v>43859</v>
      </c>
      <c r="B511">
        <v>263.71460753167133</v>
      </c>
      <c r="C511">
        <v>266.46767801171342</v>
      </c>
      <c r="D511">
        <v>261.78263238491917</v>
      </c>
      <c r="E511">
        <v>264.19760131835938</v>
      </c>
      <c r="F511">
        <v>1295548</v>
      </c>
      <c r="G511">
        <v>0</v>
      </c>
      <c r="H511">
        <v>0</v>
      </c>
      <c r="N511">
        <v>273.5</v>
      </c>
    </row>
    <row r="512" spans="1:14" x14ac:dyDescent="0.25">
      <c r="A512" s="1">
        <v>43860</v>
      </c>
      <c r="B512">
        <v>264.68062455521255</v>
      </c>
      <c r="C512">
        <v>265.16361839564178</v>
      </c>
      <c r="D512">
        <v>257.33911228476751</v>
      </c>
      <c r="E512">
        <v>259.27108764648438</v>
      </c>
      <c r="F512">
        <v>1602589</v>
      </c>
      <c r="G512">
        <v>0</v>
      </c>
      <c r="H512">
        <v>0</v>
      </c>
      <c r="N512">
        <v>268.39999999999998</v>
      </c>
    </row>
    <row r="513" spans="1:14" x14ac:dyDescent="0.25">
      <c r="A513" s="1">
        <v>43861</v>
      </c>
      <c r="B513">
        <v>259.07786537227423</v>
      </c>
      <c r="C513">
        <v>262.7486061665852</v>
      </c>
      <c r="D513">
        <v>254.05471846254378</v>
      </c>
      <c r="E513">
        <v>256.51797485351563</v>
      </c>
      <c r="F513">
        <v>1103855</v>
      </c>
      <c r="G513">
        <v>0</v>
      </c>
      <c r="H513">
        <v>0</v>
      </c>
      <c r="N513">
        <v>265.55</v>
      </c>
    </row>
    <row r="514" spans="1:14" x14ac:dyDescent="0.25">
      <c r="A514" s="1">
        <v>43864</v>
      </c>
      <c r="B514">
        <v>249.99762654132991</v>
      </c>
      <c r="C514">
        <v>254.24799637179331</v>
      </c>
      <c r="D514">
        <v>245.60239391889192</v>
      </c>
      <c r="E514">
        <v>251.543212890625</v>
      </c>
      <c r="F514">
        <v>1074575</v>
      </c>
      <c r="G514">
        <v>0</v>
      </c>
      <c r="H514">
        <v>0</v>
      </c>
      <c r="N514">
        <v>260.39999999999998</v>
      </c>
    </row>
    <row r="515" spans="1:14" x14ac:dyDescent="0.25">
      <c r="A515" s="1">
        <v>43865</v>
      </c>
      <c r="B515">
        <v>251.73640481237666</v>
      </c>
      <c r="C515">
        <v>257.91872030197095</v>
      </c>
      <c r="D515">
        <v>250.19081857007669</v>
      </c>
      <c r="E515">
        <v>255.1656494140625</v>
      </c>
      <c r="F515">
        <v>662758</v>
      </c>
      <c r="G515">
        <v>0</v>
      </c>
      <c r="H515">
        <v>0</v>
      </c>
      <c r="N515">
        <v>264.14999999999998</v>
      </c>
    </row>
    <row r="516" spans="1:14" x14ac:dyDescent="0.25">
      <c r="A516" s="1">
        <v>43866</v>
      </c>
      <c r="B516">
        <v>257.33911755024104</v>
      </c>
      <c r="C516">
        <v>265.16362382121429</v>
      </c>
      <c r="D516">
        <v>255.98674066528883</v>
      </c>
      <c r="E516">
        <v>262.41055297851563</v>
      </c>
      <c r="F516">
        <v>2404528</v>
      </c>
      <c r="G516">
        <v>0</v>
      </c>
      <c r="H516">
        <v>0</v>
      </c>
      <c r="N516">
        <v>271.64999999999998</v>
      </c>
    </row>
    <row r="517" spans="1:14" x14ac:dyDescent="0.25">
      <c r="A517" s="1">
        <v>43867</v>
      </c>
      <c r="B517">
        <v>264.87384115332748</v>
      </c>
      <c r="C517">
        <v>278.78405824356753</v>
      </c>
      <c r="D517">
        <v>261.20307017754953</v>
      </c>
      <c r="E517">
        <v>263.81124877929688</v>
      </c>
      <c r="F517">
        <v>8099206</v>
      </c>
      <c r="G517">
        <v>0</v>
      </c>
      <c r="H517">
        <v>0</v>
      </c>
      <c r="N517">
        <v>273.10000000000002</v>
      </c>
    </row>
    <row r="518" spans="1:14" x14ac:dyDescent="0.25">
      <c r="A518" s="1">
        <v>43868</v>
      </c>
      <c r="B518">
        <v>264.6806162598802</v>
      </c>
      <c r="C518">
        <v>269.51055451279774</v>
      </c>
      <c r="D518">
        <v>261.34794707352569</v>
      </c>
      <c r="E518">
        <v>265.83981323242188</v>
      </c>
      <c r="F518">
        <v>2059595</v>
      </c>
      <c r="G518">
        <v>0</v>
      </c>
      <c r="H518">
        <v>0</v>
      </c>
      <c r="N518">
        <v>275.2</v>
      </c>
    </row>
    <row r="519" spans="1:14" x14ac:dyDescent="0.25">
      <c r="A519" s="1">
        <v>43871</v>
      </c>
      <c r="B519">
        <v>266.12959195360889</v>
      </c>
      <c r="C519">
        <v>273.27789451669634</v>
      </c>
      <c r="D519">
        <v>262.2656414352262</v>
      </c>
      <c r="E519">
        <v>269.22076416015625</v>
      </c>
      <c r="F519">
        <v>1710511</v>
      </c>
      <c r="G519">
        <v>0</v>
      </c>
      <c r="H519">
        <v>0</v>
      </c>
      <c r="N519">
        <v>278.7</v>
      </c>
    </row>
    <row r="520" spans="1:14" x14ac:dyDescent="0.25">
      <c r="A520" s="1">
        <v>43872</v>
      </c>
      <c r="B520">
        <v>269.51056329380015</v>
      </c>
      <c r="C520">
        <v>269.51056329380015</v>
      </c>
      <c r="D520">
        <v>263.71463720146033</v>
      </c>
      <c r="E520">
        <v>265.26022338867188</v>
      </c>
      <c r="F520">
        <v>1251820</v>
      </c>
      <c r="G520">
        <v>0</v>
      </c>
      <c r="H520">
        <v>0</v>
      </c>
      <c r="N520">
        <v>274.60000000000002</v>
      </c>
    </row>
    <row r="521" spans="1:14" x14ac:dyDescent="0.25">
      <c r="A521" s="1">
        <v>43873</v>
      </c>
      <c r="B521">
        <v>266.66089824844136</v>
      </c>
      <c r="C521">
        <v>266.7092153221929</v>
      </c>
      <c r="D521">
        <v>261.00989367151857</v>
      </c>
      <c r="E521">
        <v>262.55545043945313</v>
      </c>
      <c r="F521">
        <v>948167</v>
      </c>
      <c r="G521">
        <v>0</v>
      </c>
      <c r="H521">
        <v>0</v>
      </c>
      <c r="N521">
        <v>271.8</v>
      </c>
    </row>
    <row r="522" spans="1:14" x14ac:dyDescent="0.25">
      <c r="A522" s="1">
        <v>43874</v>
      </c>
      <c r="B522">
        <v>261.20305685199196</v>
      </c>
      <c r="C522">
        <v>262.74864300085898</v>
      </c>
      <c r="D522">
        <v>257.91870471040204</v>
      </c>
      <c r="E522">
        <v>259.657470703125</v>
      </c>
      <c r="F522">
        <v>1121053</v>
      </c>
      <c r="G522">
        <v>0</v>
      </c>
      <c r="H522">
        <v>0</v>
      </c>
      <c r="N522">
        <v>268.8</v>
      </c>
    </row>
    <row r="523" spans="1:14" x14ac:dyDescent="0.25">
      <c r="A523" s="1">
        <v>43875</v>
      </c>
      <c r="B523">
        <v>261.10646542848121</v>
      </c>
      <c r="C523">
        <v>262.26566246880424</v>
      </c>
      <c r="D523">
        <v>256.80783781979443</v>
      </c>
      <c r="E523">
        <v>260.81668090820313</v>
      </c>
      <c r="F523">
        <v>727345</v>
      </c>
      <c r="G523">
        <v>0</v>
      </c>
      <c r="H523">
        <v>0</v>
      </c>
      <c r="N523">
        <v>270</v>
      </c>
    </row>
    <row r="524" spans="1:14" x14ac:dyDescent="0.25">
      <c r="A524" s="1">
        <v>43878</v>
      </c>
      <c r="B524">
        <v>262.07242291274599</v>
      </c>
      <c r="C524">
        <v>267.38535468891712</v>
      </c>
      <c r="D524">
        <v>254.19962990397644</v>
      </c>
      <c r="E524">
        <v>257.29080200195313</v>
      </c>
      <c r="F524">
        <v>2360644</v>
      </c>
      <c r="G524">
        <v>0</v>
      </c>
      <c r="H524">
        <v>0</v>
      </c>
      <c r="N524">
        <v>266.35000000000002</v>
      </c>
    </row>
    <row r="525" spans="1:14" x14ac:dyDescent="0.25">
      <c r="A525" s="1">
        <v>43879</v>
      </c>
      <c r="B525">
        <v>257.53232770059395</v>
      </c>
      <c r="C525">
        <v>260.33368614538392</v>
      </c>
      <c r="D525">
        <v>252.21939533028001</v>
      </c>
      <c r="E525">
        <v>258.88470458984375</v>
      </c>
      <c r="F525">
        <v>1305723</v>
      </c>
      <c r="G525">
        <v>0</v>
      </c>
      <c r="H525">
        <v>0</v>
      </c>
      <c r="N525">
        <v>268</v>
      </c>
    </row>
    <row r="526" spans="1:14" x14ac:dyDescent="0.25">
      <c r="A526" s="1">
        <v>43880</v>
      </c>
      <c r="B526">
        <v>259.12622113176968</v>
      </c>
      <c r="C526">
        <v>268.06160806734795</v>
      </c>
      <c r="D526">
        <v>258.88472418756487</v>
      </c>
      <c r="E526">
        <v>266.51602172851563</v>
      </c>
      <c r="F526">
        <v>1407555</v>
      </c>
      <c r="G526">
        <v>0</v>
      </c>
      <c r="H526">
        <v>0</v>
      </c>
      <c r="N526">
        <v>275.89999999999998</v>
      </c>
    </row>
    <row r="527" spans="1:14" x14ac:dyDescent="0.25">
      <c r="A527" s="1">
        <v>43881</v>
      </c>
      <c r="B527">
        <v>266.61261505427484</v>
      </c>
      <c r="C527">
        <v>272.11875693962952</v>
      </c>
      <c r="D527">
        <v>265.64662731857095</v>
      </c>
      <c r="E527">
        <v>269.7520751953125</v>
      </c>
      <c r="F527">
        <v>1635070</v>
      </c>
      <c r="G527">
        <v>0</v>
      </c>
      <c r="H527">
        <v>0</v>
      </c>
      <c r="N527">
        <v>279.25</v>
      </c>
    </row>
    <row r="528" spans="1:14" x14ac:dyDescent="0.25">
      <c r="A528" s="1">
        <v>43885</v>
      </c>
      <c r="B528">
        <v>267.57859841830356</v>
      </c>
      <c r="C528">
        <v>270.91126784387558</v>
      </c>
      <c r="D528">
        <v>263.27994127280982</v>
      </c>
      <c r="E528">
        <v>265.55001831054688</v>
      </c>
      <c r="F528">
        <v>1577897</v>
      </c>
      <c r="G528">
        <v>0</v>
      </c>
      <c r="H528">
        <v>0</v>
      </c>
      <c r="N528">
        <v>274.89999999999998</v>
      </c>
    </row>
    <row r="529" spans="1:14" x14ac:dyDescent="0.25">
      <c r="A529" s="1">
        <v>43886</v>
      </c>
      <c r="B529">
        <v>266.61257454215229</v>
      </c>
      <c r="C529">
        <v>268.49626213238861</v>
      </c>
      <c r="D529">
        <v>261.4445350455054</v>
      </c>
      <c r="E529">
        <v>262.94183349609375</v>
      </c>
      <c r="F529">
        <v>1030458</v>
      </c>
      <c r="G529">
        <v>0</v>
      </c>
      <c r="H529">
        <v>0</v>
      </c>
      <c r="N529">
        <v>272.2</v>
      </c>
    </row>
    <row r="530" spans="1:14" x14ac:dyDescent="0.25">
      <c r="A530" s="1">
        <v>43887</v>
      </c>
      <c r="B530">
        <v>261.00986595648317</v>
      </c>
      <c r="C530">
        <v>262.36224272462817</v>
      </c>
      <c r="D530">
        <v>253.08875570368704</v>
      </c>
      <c r="E530">
        <v>253.90985107421875</v>
      </c>
      <c r="F530">
        <v>1172207</v>
      </c>
      <c r="G530">
        <v>0</v>
      </c>
      <c r="H530">
        <v>0</v>
      </c>
      <c r="N530">
        <v>262.85000000000002</v>
      </c>
    </row>
    <row r="531" spans="1:14" x14ac:dyDescent="0.25">
      <c r="A531" s="1">
        <v>43888</v>
      </c>
      <c r="B531">
        <v>252.89556722737947</v>
      </c>
      <c r="C531">
        <v>255.26224887635323</v>
      </c>
      <c r="D531">
        <v>247.29285037784834</v>
      </c>
      <c r="E531">
        <v>252.5574951171875</v>
      </c>
      <c r="F531">
        <v>1083355</v>
      </c>
      <c r="G531">
        <v>0</v>
      </c>
      <c r="H531">
        <v>0</v>
      </c>
      <c r="N531">
        <v>261.45</v>
      </c>
    </row>
    <row r="532" spans="1:14" x14ac:dyDescent="0.25">
      <c r="A532" s="1">
        <v>43889</v>
      </c>
      <c r="B532">
        <v>249.65955178905932</v>
      </c>
      <c r="C532">
        <v>256.71125074196266</v>
      </c>
      <c r="D532">
        <v>245.60239134955413</v>
      </c>
      <c r="E532">
        <v>251.20510864257813</v>
      </c>
      <c r="F532">
        <v>2349628</v>
      </c>
      <c r="G532">
        <v>0</v>
      </c>
      <c r="H532">
        <v>0</v>
      </c>
      <c r="N532">
        <v>260.05</v>
      </c>
    </row>
    <row r="533" spans="1:14" x14ac:dyDescent="0.25">
      <c r="A533" s="1">
        <v>43892</v>
      </c>
      <c r="B533">
        <v>251.20508743756326</v>
      </c>
      <c r="C533">
        <v>254.58604435855122</v>
      </c>
      <c r="D533">
        <v>238.88875910805243</v>
      </c>
      <c r="E533">
        <v>241.64181518554688</v>
      </c>
      <c r="F533">
        <v>2160496</v>
      </c>
      <c r="G533">
        <v>0</v>
      </c>
      <c r="H533">
        <v>0</v>
      </c>
      <c r="N533">
        <v>250.15</v>
      </c>
    </row>
    <row r="534" spans="1:14" x14ac:dyDescent="0.25">
      <c r="A534" s="1">
        <v>43893</v>
      </c>
      <c r="B534">
        <v>240.82070731029165</v>
      </c>
      <c r="C534">
        <v>254.48944044910587</v>
      </c>
      <c r="D534">
        <v>232.32001363474018</v>
      </c>
      <c r="E534">
        <v>251.494873046875</v>
      </c>
      <c r="F534">
        <v>2447513</v>
      </c>
      <c r="G534">
        <v>0</v>
      </c>
      <c r="H534">
        <v>0</v>
      </c>
      <c r="N534">
        <v>260.35000000000002</v>
      </c>
    </row>
    <row r="535" spans="1:14" x14ac:dyDescent="0.25">
      <c r="A535" s="1">
        <v>43894</v>
      </c>
      <c r="B535">
        <v>253.08877590810224</v>
      </c>
      <c r="C535">
        <v>254.44115278420927</v>
      </c>
      <c r="D535">
        <v>243.52550363039646</v>
      </c>
      <c r="E535">
        <v>247.09965515136719</v>
      </c>
      <c r="F535">
        <v>2007343</v>
      </c>
      <c r="G535">
        <v>0</v>
      </c>
      <c r="H535">
        <v>0</v>
      </c>
      <c r="N535">
        <v>255.8</v>
      </c>
    </row>
    <row r="536" spans="1:14" x14ac:dyDescent="0.25">
      <c r="A536" s="1">
        <v>43895</v>
      </c>
      <c r="B536">
        <v>248.06564988082778</v>
      </c>
      <c r="C536">
        <v>263.47316674930278</v>
      </c>
      <c r="D536">
        <v>248.06564988082778</v>
      </c>
      <c r="E536">
        <v>255.06906127929688</v>
      </c>
      <c r="F536">
        <v>5574983</v>
      </c>
      <c r="G536">
        <v>0</v>
      </c>
      <c r="H536">
        <v>0</v>
      </c>
      <c r="N536">
        <v>264.05</v>
      </c>
    </row>
    <row r="537" spans="1:14" x14ac:dyDescent="0.25">
      <c r="A537" s="1">
        <v>43896</v>
      </c>
      <c r="B537">
        <v>251.10852813984857</v>
      </c>
      <c r="C537">
        <v>259.51260390170046</v>
      </c>
      <c r="D537">
        <v>245.94048776628989</v>
      </c>
      <c r="E537">
        <v>257.04934692382813</v>
      </c>
      <c r="F537">
        <v>2571888</v>
      </c>
      <c r="G537">
        <v>0</v>
      </c>
      <c r="H537">
        <v>0</v>
      </c>
      <c r="N537">
        <v>266.10000000000002</v>
      </c>
    </row>
    <row r="538" spans="1:14" x14ac:dyDescent="0.25">
      <c r="A538" s="1">
        <v>43899</v>
      </c>
      <c r="B538">
        <v>255.89011275217706</v>
      </c>
      <c r="C538">
        <v>258.16018953833174</v>
      </c>
      <c r="D538">
        <v>240.33772102892164</v>
      </c>
      <c r="E538">
        <v>247.48603820800781</v>
      </c>
      <c r="F538">
        <v>2318161</v>
      </c>
      <c r="G538">
        <v>0</v>
      </c>
      <c r="H538">
        <v>0</v>
      </c>
      <c r="N538">
        <v>256.2</v>
      </c>
    </row>
    <row r="539" spans="1:14" x14ac:dyDescent="0.25">
      <c r="A539" s="1">
        <v>43901</v>
      </c>
      <c r="B539">
        <v>249.75608787494861</v>
      </c>
      <c r="C539">
        <v>255.31051670141946</v>
      </c>
      <c r="D539">
        <v>245.55405056315146</v>
      </c>
      <c r="E539">
        <v>249.3214111328125</v>
      </c>
      <c r="F539">
        <v>2942068</v>
      </c>
      <c r="G539">
        <v>0</v>
      </c>
      <c r="H539">
        <v>0</v>
      </c>
      <c r="N539">
        <v>258.10000000000002</v>
      </c>
    </row>
    <row r="540" spans="1:14" x14ac:dyDescent="0.25">
      <c r="A540" s="1">
        <v>43902</v>
      </c>
      <c r="B540">
        <v>242.26972158721921</v>
      </c>
      <c r="C540">
        <v>244.00850242015051</v>
      </c>
      <c r="D540">
        <v>226.52411890313459</v>
      </c>
      <c r="E540">
        <v>228.84248352050781</v>
      </c>
      <c r="F540">
        <v>2131508</v>
      </c>
      <c r="G540">
        <v>0</v>
      </c>
      <c r="H540">
        <v>0</v>
      </c>
      <c r="N540">
        <v>236.9</v>
      </c>
    </row>
    <row r="541" spans="1:14" x14ac:dyDescent="0.25">
      <c r="A541" s="1">
        <v>43903</v>
      </c>
      <c r="B541">
        <v>211.5513000118103</v>
      </c>
      <c r="C541">
        <v>246.3268561781353</v>
      </c>
      <c r="D541">
        <v>195.12950959993464</v>
      </c>
      <c r="E541">
        <v>242.99420166015625</v>
      </c>
      <c r="F541">
        <v>1796888</v>
      </c>
      <c r="G541">
        <v>0</v>
      </c>
      <c r="H541">
        <v>0</v>
      </c>
      <c r="N541">
        <v>251.55</v>
      </c>
    </row>
    <row r="542" spans="1:14" x14ac:dyDescent="0.25">
      <c r="A542" s="1">
        <v>43906</v>
      </c>
      <c r="B542">
        <v>238.59897198539022</v>
      </c>
      <c r="C542">
        <v>252.89557875785448</v>
      </c>
      <c r="D542">
        <v>228.21460377145118</v>
      </c>
      <c r="E542">
        <v>240.86904907226563</v>
      </c>
      <c r="F542">
        <v>2973038</v>
      </c>
      <c r="G542">
        <v>0</v>
      </c>
      <c r="H542">
        <v>0</v>
      </c>
      <c r="N542">
        <v>249.35</v>
      </c>
    </row>
    <row r="543" spans="1:14" x14ac:dyDescent="0.25">
      <c r="A543" s="1">
        <v>43907</v>
      </c>
      <c r="B543">
        <v>240.82073992594675</v>
      </c>
      <c r="C543">
        <v>259.22280881626847</v>
      </c>
      <c r="D543">
        <v>238.69556990418582</v>
      </c>
      <c r="E543">
        <v>253.76498413085938</v>
      </c>
      <c r="F543">
        <v>2396541</v>
      </c>
      <c r="G543">
        <v>0</v>
      </c>
      <c r="H543">
        <v>0</v>
      </c>
      <c r="N543">
        <v>262.7</v>
      </c>
    </row>
    <row r="544" spans="1:14" x14ac:dyDescent="0.25">
      <c r="A544" s="1">
        <v>43908</v>
      </c>
      <c r="B544">
        <v>255.98671982865699</v>
      </c>
      <c r="C544">
        <v>258.546581131023</v>
      </c>
      <c r="D544">
        <v>242.51119544978795</v>
      </c>
      <c r="E544">
        <v>249.3214111328125</v>
      </c>
      <c r="F544">
        <v>2087472</v>
      </c>
      <c r="G544">
        <v>0</v>
      </c>
      <c r="H544">
        <v>0</v>
      </c>
      <c r="N544">
        <v>258.10000000000002</v>
      </c>
    </row>
    <row r="545" spans="1:14" x14ac:dyDescent="0.25">
      <c r="A545" s="1">
        <v>43909</v>
      </c>
      <c r="B545">
        <v>236.66698744155454</v>
      </c>
      <c r="C545">
        <v>247.24454985067575</v>
      </c>
      <c r="D545">
        <v>227.00711040312373</v>
      </c>
      <c r="E545">
        <v>237.48808288574219</v>
      </c>
      <c r="F545">
        <v>1521965</v>
      </c>
      <c r="G545">
        <v>0</v>
      </c>
      <c r="H545">
        <v>0</v>
      </c>
      <c r="N545">
        <v>245.85</v>
      </c>
    </row>
    <row r="546" spans="1:14" x14ac:dyDescent="0.25">
      <c r="A546" s="1">
        <v>43910</v>
      </c>
      <c r="B546">
        <v>243.42888389587975</v>
      </c>
      <c r="C546">
        <v>280.13641400716318</v>
      </c>
      <c r="D546">
        <v>243.42888389587975</v>
      </c>
      <c r="E546">
        <v>276.07925415039063</v>
      </c>
      <c r="F546">
        <v>7510948</v>
      </c>
      <c r="G546">
        <v>0</v>
      </c>
      <c r="H546">
        <v>0</v>
      </c>
      <c r="N546">
        <v>285.8</v>
      </c>
    </row>
    <row r="547" spans="1:14" x14ac:dyDescent="0.25">
      <c r="A547" s="1">
        <v>43913</v>
      </c>
      <c r="B547">
        <v>281.70254686857692</v>
      </c>
      <c r="C547">
        <v>299.1592120103025</v>
      </c>
      <c r="D547">
        <v>268.45114526094733</v>
      </c>
      <c r="E547">
        <v>274.1722412109375</v>
      </c>
      <c r="F547">
        <v>6353782</v>
      </c>
      <c r="G547">
        <v>3.5</v>
      </c>
      <c r="H547">
        <v>0</v>
      </c>
      <c r="N547">
        <v>280.35000000000002</v>
      </c>
    </row>
    <row r="548" spans="1:14" x14ac:dyDescent="0.25">
      <c r="A548" s="1">
        <v>43914</v>
      </c>
      <c r="B548">
        <v>290.45533967175385</v>
      </c>
      <c r="C548">
        <v>292.90024993835112</v>
      </c>
      <c r="D548">
        <v>267.27757840637349</v>
      </c>
      <c r="E548">
        <v>272.31411743164063</v>
      </c>
      <c r="F548">
        <v>2614095</v>
      </c>
      <c r="G548">
        <v>0</v>
      </c>
      <c r="H548">
        <v>0</v>
      </c>
      <c r="N548">
        <v>278.45</v>
      </c>
    </row>
    <row r="549" spans="1:14" x14ac:dyDescent="0.25">
      <c r="A549" s="1">
        <v>43915</v>
      </c>
      <c r="B549">
        <v>264.05032240772454</v>
      </c>
      <c r="C549">
        <v>274.80792813544667</v>
      </c>
      <c r="D549">
        <v>251.48347702041147</v>
      </c>
      <c r="E549">
        <v>257.88916015625</v>
      </c>
      <c r="F549">
        <v>2927417</v>
      </c>
      <c r="G549">
        <v>0</v>
      </c>
      <c r="H549">
        <v>0</v>
      </c>
      <c r="N549">
        <v>263.7</v>
      </c>
    </row>
    <row r="550" spans="1:14" x14ac:dyDescent="0.25">
      <c r="A550" s="1">
        <v>43916</v>
      </c>
      <c r="B550">
        <v>261.21422637591013</v>
      </c>
      <c r="C550">
        <v>265.02828053263715</v>
      </c>
      <c r="D550">
        <v>247.22933626366347</v>
      </c>
      <c r="E550">
        <v>251.19009399414063</v>
      </c>
      <c r="F550">
        <v>2575177</v>
      </c>
      <c r="G550">
        <v>0</v>
      </c>
      <c r="H550">
        <v>0</v>
      </c>
      <c r="N550">
        <v>256.85000000000002</v>
      </c>
    </row>
    <row r="551" spans="1:14" x14ac:dyDescent="0.25">
      <c r="A551" s="1">
        <v>43917</v>
      </c>
      <c r="B551">
        <v>255.24863596266567</v>
      </c>
      <c r="C551">
        <v>258.91600142189935</v>
      </c>
      <c r="D551">
        <v>243.17077308123672</v>
      </c>
      <c r="E551">
        <v>247.13153076171875</v>
      </c>
      <c r="F551">
        <v>1872352</v>
      </c>
      <c r="G551">
        <v>0</v>
      </c>
      <c r="H551">
        <v>0</v>
      </c>
      <c r="N551">
        <v>252.7</v>
      </c>
    </row>
    <row r="552" spans="1:14" x14ac:dyDescent="0.25">
      <c r="A552" s="1">
        <v>43920</v>
      </c>
      <c r="B552">
        <v>246.44696979140934</v>
      </c>
      <c r="C552">
        <v>252.70593448375891</v>
      </c>
      <c r="D552">
        <v>242.19281970099044</v>
      </c>
      <c r="E552">
        <v>246.59365844726563</v>
      </c>
      <c r="F552">
        <v>2234886</v>
      </c>
      <c r="G552">
        <v>0</v>
      </c>
      <c r="H552">
        <v>0</v>
      </c>
      <c r="N552">
        <v>252.15</v>
      </c>
    </row>
    <row r="553" spans="1:14" x14ac:dyDescent="0.25">
      <c r="A553" s="1">
        <v>43921</v>
      </c>
      <c r="B553">
        <v>252.31476258294845</v>
      </c>
      <c r="C553">
        <v>265.17498579209058</v>
      </c>
      <c r="D553">
        <v>249.47867238340018</v>
      </c>
      <c r="E553">
        <v>261.36093139648438</v>
      </c>
      <c r="F553">
        <v>1919045</v>
      </c>
      <c r="G553">
        <v>0</v>
      </c>
      <c r="H553">
        <v>0</v>
      </c>
      <c r="N553">
        <v>267.25</v>
      </c>
    </row>
    <row r="554" spans="1:14" x14ac:dyDescent="0.25">
      <c r="A554" s="1">
        <v>43922</v>
      </c>
      <c r="B554">
        <v>264.05030074011341</v>
      </c>
      <c r="C554">
        <v>267.27757025556565</v>
      </c>
      <c r="D554">
        <v>255.39531269127957</v>
      </c>
      <c r="E554">
        <v>258.03582763671875</v>
      </c>
      <c r="F554">
        <v>3044512</v>
      </c>
      <c r="G554">
        <v>0</v>
      </c>
      <c r="H554">
        <v>0</v>
      </c>
      <c r="N554">
        <v>263.85000000000002</v>
      </c>
    </row>
    <row r="555" spans="1:14" x14ac:dyDescent="0.25">
      <c r="A555" s="1">
        <v>43924</v>
      </c>
      <c r="B555">
        <v>258.03583602767719</v>
      </c>
      <c r="C555">
        <v>273.34096835851773</v>
      </c>
      <c r="D555">
        <v>252.6081173177939</v>
      </c>
      <c r="E555">
        <v>268.5489501953125</v>
      </c>
      <c r="F555">
        <v>4367888</v>
      </c>
      <c r="G555">
        <v>0</v>
      </c>
      <c r="H555">
        <v>0</v>
      </c>
      <c r="N555">
        <v>274.60000000000002</v>
      </c>
    </row>
    <row r="556" spans="1:14" x14ac:dyDescent="0.25">
      <c r="A556" s="1">
        <v>43928</v>
      </c>
      <c r="B556">
        <v>295.39405360220843</v>
      </c>
      <c r="C556">
        <v>311.8727551658418</v>
      </c>
      <c r="D556">
        <v>283.60959777080501</v>
      </c>
      <c r="E556">
        <v>305.46710205078125</v>
      </c>
      <c r="F556">
        <v>12849762</v>
      </c>
      <c r="G556">
        <v>0</v>
      </c>
      <c r="H556">
        <v>0</v>
      </c>
      <c r="N556">
        <v>312.35000000000002</v>
      </c>
    </row>
    <row r="557" spans="1:14" x14ac:dyDescent="0.25">
      <c r="A557" s="1">
        <v>43929</v>
      </c>
      <c r="B557">
        <v>326.6400392188163</v>
      </c>
      <c r="C557">
        <v>358.61948014624284</v>
      </c>
      <c r="D557">
        <v>322.72818246170476</v>
      </c>
      <c r="E557">
        <v>342.14077758789063</v>
      </c>
      <c r="F557">
        <v>34940619</v>
      </c>
      <c r="G557">
        <v>0</v>
      </c>
      <c r="H557">
        <v>0</v>
      </c>
      <c r="N557">
        <v>349.85</v>
      </c>
    </row>
    <row r="558" spans="1:14" x14ac:dyDescent="0.25">
      <c r="A558" s="1">
        <v>43930</v>
      </c>
      <c r="B558">
        <v>364.78062920447866</v>
      </c>
      <c r="C558">
        <v>365.75859335784185</v>
      </c>
      <c r="D558">
        <v>340.33152537039831</v>
      </c>
      <c r="E558">
        <v>343.36322021484375</v>
      </c>
      <c r="F558">
        <v>21198837</v>
      </c>
      <c r="G558">
        <v>0</v>
      </c>
      <c r="H558">
        <v>0</v>
      </c>
      <c r="N558">
        <v>351.1</v>
      </c>
    </row>
    <row r="559" spans="1:14" x14ac:dyDescent="0.25">
      <c r="A559" s="1">
        <v>43934</v>
      </c>
      <c r="B559">
        <v>356.85912878970373</v>
      </c>
      <c r="C559">
        <v>356.85912878970373</v>
      </c>
      <c r="D559">
        <v>343.99890559435732</v>
      </c>
      <c r="E559">
        <v>345.954833984375</v>
      </c>
      <c r="F559">
        <v>14945001</v>
      </c>
      <c r="G559">
        <v>0</v>
      </c>
      <c r="H559">
        <v>0</v>
      </c>
      <c r="N559">
        <v>353.75</v>
      </c>
    </row>
    <row r="560" spans="1:14" x14ac:dyDescent="0.25">
      <c r="A560" s="1">
        <v>43936</v>
      </c>
      <c r="B560">
        <v>346.68829723346596</v>
      </c>
      <c r="C560">
        <v>350.11117181828155</v>
      </c>
      <c r="D560">
        <v>323.559450650803</v>
      </c>
      <c r="E560">
        <v>331.62765502929688</v>
      </c>
      <c r="F560">
        <v>11480952</v>
      </c>
      <c r="G560">
        <v>0</v>
      </c>
      <c r="H560">
        <v>0</v>
      </c>
      <c r="N560">
        <v>339.1</v>
      </c>
    </row>
    <row r="561" spans="1:14" x14ac:dyDescent="0.25">
      <c r="A561" s="1">
        <v>43937</v>
      </c>
      <c r="B561">
        <v>328.59593623633634</v>
      </c>
      <c r="C561">
        <v>338.57118195297772</v>
      </c>
      <c r="D561">
        <v>321.89687621011808</v>
      </c>
      <c r="E561">
        <v>335.97955322265625</v>
      </c>
      <c r="F561">
        <v>7473616</v>
      </c>
      <c r="G561">
        <v>0</v>
      </c>
      <c r="H561">
        <v>0</v>
      </c>
      <c r="N561">
        <v>343.55</v>
      </c>
    </row>
    <row r="562" spans="1:14" x14ac:dyDescent="0.25">
      <c r="A562" s="1">
        <v>43938</v>
      </c>
      <c r="B562">
        <v>341.3094947886982</v>
      </c>
      <c r="C562">
        <v>344.24338729404519</v>
      </c>
      <c r="D562">
        <v>324.68410392506536</v>
      </c>
      <c r="E562">
        <v>326.44442749023438</v>
      </c>
      <c r="F562">
        <v>7835392</v>
      </c>
      <c r="G562">
        <v>0</v>
      </c>
      <c r="H562">
        <v>0</v>
      </c>
      <c r="N562">
        <v>333.8</v>
      </c>
    </row>
    <row r="563" spans="1:14" x14ac:dyDescent="0.25">
      <c r="A563" s="1">
        <v>43941</v>
      </c>
      <c r="B563">
        <v>332.5078102832511</v>
      </c>
      <c r="C563">
        <v>333.38797204733436</v>
      </c>
      <c r="D563">
        <v>322.92377357194925</v>
      </c>
      <c r="E563">
        <v>325.857666015625</v>
      </c>
      <c r="F563">
        <v>9732675</v>
      </c>
      <c r="G563">
        <v>0</v>
      </c>
      <c r="H563">
        <v>0</v>
      </c>
      <c r="N563">
        <v>333.2</v>
      </c>
    </row>
    <row r="564" spans="1:14" x14ac:dyDescent="0.25">
      <c r="A564" s="1">
        <v>43942</v>
      </c>
      <c r="B564">
        <v>322.48367130086979</v>
      </c>
      <c r="C564">
        <v>342.18964251672548</v>
      </c>
      <c r="D564">
        <v>319.15859923373159</v>
      </c>
      <c r="E564">
        <v>336.61526489257813</v>
      </c>
      <c r="F564">
        <v>12650701</v>
      </c>
      <c r="G564">
        <v>0</v>
      </c>
      <c r="H564">
        <v>0</v>
      </c>
      <c r="N564">
        <v>344.2</v>
      </c>
    </row>
    <row r="565" spans="1:14" x14ac:dyDescent="0.25">
      <c r="A565" s="1">
        <v>43943</v>
      </c>
      <c r="B565">
        <v>332.50781840291035</v>
      </c>
      <c r="C565">
        <v>333.38798018848667</v>
      </c>
      <c r="D565">
        <v>320.18546386954756</v>
      </c>
      <c r="E565">
        <v>324.09732055664063</v>
      </c>
      <c r="F565">
        <v>8464412</v>
      </c>
      <c r="G565">
        <v>0</v>
      </c>
      <c r="H565">
        <v>0</v>
      </c>
      <c r="N565">
        <v>331.4</v>
      </c>
    </row>
    <row r="566" spans="1:14" x14ac:dyDescent="0.25">
      <c r="A566" s="1">
        <v>43944</v>
      </c>
      <c r="B566">
        <v>324.87968278463234</v>
      </c>
      <c r="C566">
        <v>335.05050335626521</v>
      </c>
      <c r="D566">
        <v>322.77703611409424</v>
      </c>
      <c r="E566">
        <v>324.14620971679688</v>
      </c>
      <c r="F566">
        <v>7291158</v>
      </c>
      <c r="G566">
        <v>0</v>
      </c>
      <c r="H566">
        <v>0</v>
      </c>
      <c r="N566">
        <v>331.45</v>
      </c>
    </row>
    <row r="567" spans="1:14" x14ac:dyDescent="0.25">
      <c r="A567" s="1">
        <v>43945</v>
      </c>
      <c r="B567">
        <v>325.90654520740452</v>
      </c>
      <c r="C567">
        <v>336.4196595689337</v>
      </c>
      <c r="D567">
        <v>323.60832354074859</v>
      </c>
      <c r="E567">
        <v>329.5250244140625</v>
      </c>
      <c r="F567">
        <v>8615838</v>
      </c>
      <c r="G567">
        <v>0</v>
      </c>
      <c r="H567">
        <v>0</v>
      </c>
      <c r="N567">
        <v>336.95</v>
      </c>
    </row>
    <row r="568" spans="1:14" x14ac:dyDescent="0.25">
      <c r="A568" s="1">
        <v>43948</v>
      </c>
      <c r="B568">
        <v>323.02155642503658</v>
      </c>
      <c r="C568">
        <v>335.00161761924693</v>
      </c>
      <c r="D568">
        <v>318.47402896115193</v>
      </c>
      <c r="E568">
        <v>326.49334716796875</v>
      </c>
      <c r="F568">
        <v>9372941</v>
      </c>
      <c r="G568">
        <v>0</v>
      </c>
      <c r="H568">
        <v>0</v>
      </c>
      <c r="N568">
        <v>333.85</v>
      </c>
    </row>
    <row r="569" spans="1:14" x14ac:dyDescent="0.25">
      <c r="A569" s="1">
        <v>43949</v>
      </c>
      <c r="B569">
        <v>327.71579150989538</v>
      </c>
      <c r="C569">
        <v>332.06771405540911</v>
      </c>
      <c r="D569">
        <v>316.86038351311191</v>
      </c>
      <c r="E569">
        <v>318.76742553710938</v>
      </c>
      <c r="F569">
        <v>4882363</v>
      </c>
      <c r="G569">
        <v>0</v>
      </c>
      <c r="H569">
        <v>0</v>
      </c>
      <c r="N569">
        <v>325.95</v>
      </c>
    </row>
    <row r="570" spans="1:14" x14ac:dyDescent="0.25">
      <c r="A570" s="1">
        <v>43950</v>
      </c>
      <c r="B570">
        <v>317.83833409339258</v>
      </c>
      <c r="C570">
        <v>323.41274142937658</v>
      </c>
      <c r="D570">
        <v>313.43749562133019</v>
      </c>
      <c r="E570">
        <v>319.50088500976563</v>
      </c>
      <c r="F570">
        <v>5451366</v>
      </c>
      <c r="G570">
        <v>0</v>
      </c>
      <c r="H570">
        <v>0</v>
      </c>
      <c r="N570">
        <v>326.7</v>
      </c>
    </row>
    <row r="571" spans="1:14" x14ac:dyDescent="0.25">
      <c r="A571" s="1">
        <v>43951</v>
      </c>
      <c r="B571">
        <v>323.21714605498499</v>
      </c>
      <c r="C571">
        <v>324.68409225493195</v>
      </c>
      <c r="D571">
        <v>314.21986409060474</v>
      </c>
      <c r="E571">
        <v>316.81149291992188</v>
      </c>
      <c r="F571">
        <v>5084577</v>
      </c>
      <c r="G571">
        <v>0</v>
      </c>
      <c r="H571">
        <v>0</v>
      </c>
      <c r="N571">
        <v>323.95</v>
      </c>
    </row>
    <row r="572" spans="1:14" x14ac:dyDescent="0.25">
      <c r="A572" s="1">
        <v>43955</v>
      </c>
      <c r="B572">
        <v>316.81149128821204</v>
      </c>
      <c r="C572">
        <v>329.8184022560456</v>
      </c>
      <c r="D572">
        <v>313.14412580723308</v>
      </c>
      <c r="E572">
        <v>322.92376708984375</v>
      </c>
      <c r="F572">
        <v>10069776</v>
      </c>
      <c r="G572">
        <v>0</v>
      </c>
      <c r="H572">
        <v>0</v>
      </c>
      <c r="N572">
        <v>330.2</v>
      </c>
    </row>
    <row r="573" spans="1:14" x14ac:dyDescent="0.25">
      <c r="A573" s="1">
        <v>43956</v>
      </c>
      <c r="B573">
        <v>328.59593145757697</v>
      </c>
      <c r="C573">
        <v>334.95269798875034</v>
      </c>
      <c r="D573">
        <v>317.15373976342681</v>
      </c>
      <c r="E573">
        <v>318.91409301757813</v>
      </c>
      <c r="F573">
        <v>8082678</v>
      </c>
      <c r="G573">
        <v>0</v>
      </c>
      <c r="H573">
        <v>0</v>
      </c>
      <c r="N573">
        <v>326.10000000000002</v>
      </c>
    </row>
    <row r="574" spans="1:14" x14ac:dyDescent="0.25">
      <c r="A574" s="1">
        <v>43957</v>
      </c>
      <c r="B574">
        <v>321.70131656686192</v>
      </c>
      <c r="C574">
        <v>323.41275381598928</v>
      </c>
      <c r="D574">
        <v>316.46920243622463</v>
      </c>
      <c r="E574">
        <v>319.69647216796875</v>
      </c>
      <c r="F574">
        <v>3448128</v>
      </c>
      <c r="G574">
        <v>0</v>
      </c>
      <c r="H574">
        <v>0</v>
      </c>
      <c r="N574">
        <v>326.89999999999998</v>
      </c>
    </row>
    <row r="575" spans="1:14" x14ac:dyDescent="0.25">
      <c r="A575" s="1">
        <v>43958</v>
      </c>
      <c r="B575">
        <v>320.91893385016664</v>
      </c>
      <c r="C575">
        <v>325.22197019473668</v>
      </c>
      <c r="D575">
        <v>313.24190920803846</v>
      </c>
      <c r="E575">
        <v>314.12210083007813</v>
      </c>
      <c r="F575">
        <v>4523263</v>
      </c>
      <c r="G575">
        <v>0</v>
      </c>
      <c r="H575">
        <v>0</v>
      </c>
      <c r="N575">
        <v>321.2</v>
      </c>
    </row>
    <row r="576" spans="1:14" x14ac:dyDescent="0.25">
      <c r="A576" s="1">
        <v>43959</v>
      </c>
      <c r="B576">
        <v>316.37140937537998</v>
      </c>
      <c r="C576">
        <v>320.23437978956372</v>
      </c>
      <c r="D576">
        <v>310.99260643391295</v>
      </c>
      <c r="E576">
        <v>314.17098999023438</v>
      </c>
      <c r="F576">
        <v>5409424</v>
      </c>
      <c r="G576">
        <v>0</v>
      </c>
      <c r="H576">
        <v>0</v>
      </c>
      <c r="N576">
        <v>321.25</v>
      </c>
    </row>
    <row r="577" spans="1:14" x14ac:dyDescent="0.25">
      <c r="A577" s="1">
        <v>43962</v>
      </c>
      <c r="B577">
        <v>325.46645793175304</v>
      </c>
      <c r="C577">
        <v>325.66206270024259</v>
      </c>
      <c r="D577">
        <v>318.03395425070829</v>
      </c>
      <c r="E577">
        <v>321.16342163085938</v>
      </c>
      <c r="F577">
        <v>5369042</v>
      </c>
      <c r="G577">
        <v>0</v>
      </c>
      <c r="H577">
        <v>0</v>
      </c>
      <c r="N577">
        <v>328.4</v>
      </c>
    </row>
    <row r="578" spans="1:14" x14ac:dyDescent="0.25">
      <c r="A578" s="1">
        <v>43963</v>
      </c>
      <c r="B578">
        <v>318.76740527406275</v>
      </c>
      <c r="C578">
        <v>322.92375263309975</v>
      </c>
      <c r="D578">
        <v>315.1978124896371</v>
      </c>
      <c r="E578">
        <v>316.56698608398438</v>
      </c>
      <c r="F578">
        <v>2547712</v>
      </c>
      <c r="G578">
        <v>0</v>
      </c>
      <c r="H578">
        <v>0</v>
      </c>
      <c r="N578">
        <v>323.7</v>
      </c>
    </row>
    <row r="579" spans="1:14" x14ac:dyDescent="0.25">
      <c r="A579" s="1">
        <v>43964</v>
      </c>
      <c r="B579">
        <v>319.54978274246281</v>
      </c>
      <c r="C579">
        <v>321.50571102244726</v>
      </c>
      <c r="D579">
        <v>314.02429132052612</v>
      </c>
      <c r="E579">
        <v>317.78945922851563</v>
      </c>
      <c r="F579">
        <v>2799973</v>
      </c>
      <c r="G579">
        <v>0</v>
      </c>
      <c r="H579">
        <v>0</v>
      </c>
      <c r="N579">
        <v>324.95</v>
      </c>
    </row>
    <row r="580" spans="1:14" x14ac:dyDescent="0.25">
      <c r="A580" s="1">
        <v>43965</v>
      </c>
      <c r="B580">
        <v>315.98020909821923</v>
      </c>
      <c r="C580">
        <v>334.21923373384124</v>
      </c>
      <c r="D580">
        <v>315.49122704447547</v>
      </c>
      <c r="E580">
        <v>329.42721557617188</v>
      </c>
      <c r="F580">
        <v>10950024</v>
      </c>
      <c r="G580">
        <v>0</v>
      </c>
      <c r="H580">
        <v>0</v>
      </c>
      <c r="N580">
        <v>336.85</v>
      </c>
    </row>
    <row r="581" spans="1:14" x14ac:dyDescent="0.25">
      <c r="A581" s="1">
        <v>43966</v>
      </c>
      <c r="B581">
        <v>332.50783930594105</v>
      </c>
      <c r="C581">
        <v>335.44173200569935</v>
      </c>
      <c r="D581">
        <v>322.72819697341333</v>
      </c>
      <c r="E581">
        <v>324.87973022460938</v>
      </c>
      <c r="F581">
        <v>5091000</v>
      </c>
      <c r="G581">
        <v>0</v>
      </c>
      <c r="H581">
        <v>0</v>
      </c>
      <c r="N581">
        <v>332.2</v>
      </c>
    </row>
    <row r="582" spans="1:14" x14ac:dyDescent="0.25">
      <c r="A582" s="1">
        <v>43969</v>
      </c>
      <c r="B582">
        <v>325.17307432158094</v>
      </c>
      <c r="C582">
        <v>328.25365537245023</v>
      </c>
      <c r="D582">
        <v>316.02910370622538</v>
      </c>
      <c r="E582">
        <v>316.81149291992188</v>
      </c>
      <c r="F582">
        <v>3086689</v>
      </c>
      <c r="G582">
        <v>0</v>
      </c>
      <c r="H582">
        <v>0</v>
      </c>
      <c r="N582">
        <v>323.95</v>
      </c>
    </row>
    <row r="583" spans="1:14" x14ac:dyDescent="0.25">
      <c r="A583" s="1">
        <v>43970</v>
      </c>
      <c r="B583">
        <v>318.86519451071234</v>
      </c>
      <c r="C583">
        <v>323.65724265177647</v>
      </c>
      <c r="D583">
        <v>314.26878097992619</v>
      </c>
      <c r="E583">
        <v>318.718505859375</v>
      </c>
      <c r="F583">
        <v>2773188</v>
      </c>
      <c r="G583">
        <v>0</v>
      </c>
      <c r="H583">
        <v>0</v>
      </c>
      <c r="N583">
        <v>325.89999999999998</v>
      </c>
    </row>
    <row r="584" spans="1:14" x14ac:dyDescent="0.25">
      <c r="A584" s="1">
        <v>43971</v>
      </c>
      <c r="B584">
        <v>319.59865706909233</v>
      </c>
      <c r="C584">
        <v>331.5298310692084</v>
      </c>
      <c r="D584">
        <v>317.93613600028658</v>
      </c>
      <c r="E584">
        <v>330.35626220703125</v>
      </c>
      <c r="F584">
        <v>3302453</v>
      </c>
      <c r="G584">
        <v>0</v>
      </c>
      <c r="H584">
        <v>0</v>
      </c>
      <c r="N584">
        <v>337.8</v>
      </c>
    </row>
    <row r="585" spans="1:14" x14ac:dyDescent="0.25">
      <c r="A585" s="1">
        <v>43972</v>
      </c>
      <c r="B585">
        <v>332.01883076778006</v>
      </c>
      <c r="C585">
        <v>345.22134686605705</v>
      </c>
      <c r="D585">
        <v>331.92102838321779</v>
      </c>
      <c r="E585">
        <v>336.761962890625</v>
      </c>
      <c r="F585">
        <v>10198978</v>
      </c>
      <c r="G585">
        <v>0</v>
      </c>
      <c r="H585">
        <v>0</v>
      </c>
      <c r="N585">
        <v>344.35</v>
      </c>
    </row>
    <row r="586" spans="1:14" x14ac:dyDescent="0.25">
      <c r="A586" s="1">
        <v>43973</v>
      </c>
      <c r="B586">
        <v>338.37556336926019</v>
      </c>
      <c r="C586">
        <v>342.77640162117257</v>
      </c>
      <c r="D586">
        <v>335.44167120131863</v>
      </c>
      <c r="E586">
        <v>339.06015014648438</v>
      </c>
      <c r="F586">
        <v>4851553</v>
      </c>
      <c r="G586">
        <v>0</v>
      </c>
      <c r="H586">
        <v>0</v>
      </c>
      <c r="N586">
        <v>346.7</v>
      </c>
    </row>
    <row r="587" spans="1:14" x14ac:dyDescent="0.25">
      <c r="A587" s="1">
        <v>43977</v>
      </c>
      <c r="B587">
        <v>340.33150913443558</v>
      </c>
      <c r="C587">
        <v>344.09667691428115</v>
      </c>
      <c r="D587">
        <v>326.88450266719855</v>
      </c>
      <c r="E587">
        <v>330.84524536132813</v>
      </c>
      <c r="F587">
        <v>4063780</v>
      </c>
      <c r="G587">
        <v>0</v>
      </c>
      <c r="H587">
        <v>0</v>
      </c>
      <c r="N587">
        <v>338.3</v>
      </c>
    </row>
    <row r="588" spans="1:14" x14ac:dyDescent="0.25">
      <c r="A588" s="1">
        <v>43978</v>
      </c>
      <c r="B588">
        <v>332.3121780895662</v>
      </c>
      <c r="C588">
        <v>333.19236962610364</v>
      </c>
      <c r="D588">
        <v>325.66203437078332</v>
      </c>
      <c r="E588">
        <v>330.16067504882813</v>
      </c>
      <c r="F588">
        <v>2899592</v>
      </c>
      <c r="G588">
        <v>0</v>
      </c>
      <c r="H588">
        <v>0</v>
      </c>
      <c r="N588">
        <v>337.6</v>
      </c>
    </row>
    <row r="589" spans="1:14" x14ac:dyDescent="0.25">
      <c r="A589" s="1">
        <v>43979</v>
      </c>
      <c r="B589">
        <v>329.18274247956879</v>
      </c>
      <c r="C589">
        <v>335.34390475429399</v>
      </c>
      <c r="D589">
        <v>326.00435895711098</v>
      </c>
      <c r="E589">
        <v>330.64968872070313</v>
      </c>
      <c r="F589">
        <v>2383250</v>
      </c>
      <c r="G589">
        <v>0</v>
      </c>
      <c r="H589">
        <v>0</v>
      </c>
      <c r="N589">
        <v>338.1</v>
      </c>
    </row>
    <row r="590" spans="1:14" x14ac:dyDescent="0.25">
      <c r="A590" s="1">
        <v>43980</v>
      </c>
      <c r="B590">
        <v>334.41487056221752</v>
      </c>
      <c r="C590">
        <v>344.7323809475734</v>
      </c>
      <c r="D590">
        <v>333.77916995531308</v>
      </c>
      <c r="E590">
        <v>337.0064697265625</v>
      </c>
      <c r="F590">
        <v>6498111</v>
      </c>
      <c r="G590">
        <v>0</v>
      </c>
      <c r="H590">
        <v>0</v>
      </c>
      <c r="N590">
        <v>344.6</v>
      </c>
    </row>
    <row r="591" spans="1:14" x14ac:dyDescent="0.25">
      <c r="A591" s="1">
        <v>43983</v>
      </c>
      <c r="B591">
        <v>338.2777879544247</v>
      </c>
      <c r="C591">
        <v>345.07465062321779</v>
      </c>
      <c r="D591">
        <v>335.09940451917987</v>
      </c>
      <c r="E591">
        <v>341.84735107421875</v>
      </c>
      <c r="F591">
        <v>4746218</v>
      </c>
      <c r="G591">
        <v>0</v>
      </c>
      <c r="H591">
        <v>0</v>
      </c>
      <c r="N591">
        <v>349.55</v>
      </c>
    </row>
    <row r="592" spans="1:14" x14ac:dyDescent="0.25">
      <c r="A592" s="1">
        <v>43984</v>
      </c>
      <c r="B592">
        <v>343.16761618903365</v>
      </c>
      <c r="C592">
        <v>356.46793467258584</v>
      </c>
      <c r="D592">
        <v>342.72755022612597</v>
      </c>
      <c r="E592">
        <v>345.27023315429688</v>
      </c>
      <c r="F592">
        <v>8214215</v>
      </c>
      <c r="G592">
        <v>0</v>
      </c>
      <c r="H592">
        <v>0</v>
      </c>
      <c r="N592">
        <v>353.05</v>
      </c>
    </row>
    <row r="593" spans="1:14" x14ac:dyDescent="0.25">
      <c r="A593" s="1">
        <v>43985</v>
      </c>
      <c r="B593">
        <v>347.71512983155668</v>
      </c>
      <c r="C593">
        <v>351.48029765070373</v>
      </c>
      <c r="D593">
        <v>343.99887812531324</v>
      </c>
      <c r="E593">
        <v>346.00369262695313</v>
      </c>
      <c r="F593">
        <v>3505026</v>
      </c>
      <c r="G593">
        <v>0</v>
      </c>
      <c r="H593">
        <v>0</v>
      </c>
      <c r="N593">
        <v>353.8</v>
      </c>
    </row>
    <row r="594" spans="1:14" x14ac:dyDescent="0.25">
      <c r="A594" s="1">
        <v>43986</v>
      </c>
      <c r="B594">
        <v>350.11116761579387</v>
      </c>
      <c r="C594">
        <v>356.02783881763071</v>
      </c>
      <c r="D594">
        <v>345.56364026242949</v>
      </c>
      <c r="E594">
        <v>354.70761108398438</v>
      </c>
      <c r="F594">
        <v>5910999</v>
      </c>
      <c r="G594">
        <v>0</v>
      </c>
      <c r="H594">
        <v>0</v>
      </c>
      <c r="N594">
        <v>362.7</v>
      </c>
    </row>
    <row r="595" spans="1:14" x14ac:dyDescent="0.25">
      <c r="A595" s="1">
        <v>43987</v>
      </c>
      <c r="B595">
        <v>356.8102214967563</v>
      </c>
      <c r="C595">
        <v>359.45070676065848</v>
      </c>
      <c r="D595">
        <v>349.81778388341769</v>
      </c>
      <c r="E595">
        <v>351.77371215820313</v>
      </c>
      <c r="F595">
        <v>4170571</v>
      </c>
      <c r="G595">
        <v>0</v>
      </c>
      <c r="H595">
        <v>0</v>
      </c>
      <c r="N595">
        <v>359.7</v>
      </c>
    </row>
    <row r="596" spans="1:14" x14ac:dyDescent="0.25">
      <c r="A596" s="1">
        <v>43990</v>
      </c>
      <c r="B596">
        <v>352.06707507686849</v>
      </c>
      <c r="C596">
        <v>352.55605712558639</v>
      </c>
      <c r="D596">
        <v>343.46100295747226</v>
      </c>
      <c r="E596">
        <v>345.41693115234375</v>
      </c>
      <c r="F596">
        <v>2963704</v>
      </c>
      <c r="G596">
        <v>0</v>
      </c>
      <c r="H596">
        <v>0</v>
      </c>
      <c r="N596">
        <v>353.2</v>
      </c>
    </row>
    <row r="597" spans="1:14" x14ac:dyDescent="0.25">
      <c r="A597" s="1">
        <v>43991</v>
      </c>
      <c r="B597">
        <v>346.19930570394018</v>
      </c>
      <c r="C597">
        <v>360.86876781003934</v>
      </c>
      <c r="D597">
        <v>344.24337742312696</v>
      </c>
      <c r="E597">
        <v>352.2626953125</v>
      </c>
      <c r="F597">
        <v>5530198</v>
      </c>
      <c r="G597">
        <v>0</v>
      </c>
      <c r="H597">
        <v>0</v>
      </c>
      <c r="N597">
        <v>360.2</v>
      </c>
    </row>
    <row r="598" spans="1:14" x14ac:dyDescent="0.25">
      <c r="A598" s="1">
        <v>43992</v>
      </c>
      <c r="B598">
        <v>352.55609167043724</v>
      </c>
      <c r="C598">
        <v>363.11809301961199</v>
      </c>
      <c r="D598">
        <v>350.74685194388547</v>
      </c>
      <c r="E598">
        <v>361.06439208984375</v>
      </c>
      <c r="F598">
        <v>5019676</v>
      </c>
      <c r="G598">
        <v>0</v>
      </c>
      <c r="H598">
        <v>0</v>
      </c>
      <c r="N598">
        <v>369.2</v>
      </c>
    </row>
    <row r="599" spans="1:14" x14ac:dyDescent="0.25">
      <c r="A599" s="1">
        <v>43993</v>
      </c>
      <c r="B599">
        <v>361.65113487868433</v>
      </c>
      <c r="C599">
        <v>369.91494397897685</v>
      </c>
      <c r="D599">
        <v>358.08157165927491</v>
      </c>
      <c r="E599">
        <v>361.35775756835938</v>
      </c>
      <c r="F599">
        <v>6624240</v>
      </c>
      <c r="G599">
        <v>0</v>
      </c>
      <c r="H599">
        <v>0</v>
      </c>
      <c r="N599">
        <v>369.5</v>
      </c>
    </row>
    <row r="600" spans="1:14" x14ac:dyDescent="0.25">
      <c r="A600" s="1">
        <v>43994</v>
      </c>
      <c r="B600">
        <v>353.97413799219186</v>
      </c>
      <c r="C600">
        <v>368.10570213094769</v>
      </c>
      <c r="D600">
        <v>351.77371864249756</v>
      </c>
      <c r="E600">
        <v>366.05197143554688</v>
      </c>
      <c r="F600">
        <v>4644285</v>
      </c>
      <c r="G600">
        <v>0</v>
      </c>
      <c r="H600">
        <v>0</v>
      </c>
      <c r="N600">
        <v>374.3</v>
      </c>
    </row>
    <row r="601" spans="1:14" x14ac:dyDescent="0.25">
      <c r="A601" s="1">
        <v>43997</v>
      </c>
      <c r="B601">
        <v>371.62637498824267</v>
      </c>
      <c r="C601">
        <v>375.14705187820334</v>
      </c>
      <c r="D601">
        <v>361.01545804916418</v>
      </c>
      <c r="E601">
        <v>362.67800903320313</v>
      </c>
      <c r="F601">
        <v>6630510</v>
      </c>
      <c r="G601">
        <v>0</v>
      </c>
      <c r="H601">
        <v>0</v>
      </c>
      <c r="N601">
        <v>370.85</v>
      </c>
    </row>
    <row r="602" spans="1:14" x14ac:dyDescent="0.25">
      <c r="A602" s="1">
        <v>43998</v>
      </c>
      <c r="B602">
        <v>357.93488235422484</v>
      </c>
      <c r="C602">
        <v>366.49206874930536</v>
      </c>
      <c r="D602">
        <v>348.49753418466986</v>
      </c>
      <c r="E602">
        <v>352.84945678710938</v>
      </c>
      <c r="F602">
        <v>7050529</v>
      </c>
      <c r="G602">
        <v>0</v>
      </c>
      <c r="H602">
        <v>0</v>
      </c>
      <c r="N602">
        <v>360.8</v>
      </c>
    </row>
    <row r="603" spans="1:14" x14ac:dyDescent="0.25">
      <c r="A603" s="1">
        <v>43999</v>
      </c>
      <c r="B603">
        <v>361.84675972811647</v>
      </c>
      <c r="C603">
        <v>363.60708337794318</v>
      </c>
      <c r="D603">
        <v>354.65871677530833</v>
      </c>
      <c r="E603">
        <v>356.46795654296875</v>
      </c>
      <c r="F603">
        <v>6062637</v>
      </c>
      <c r="G603">
        <v>0</v>
      </c>
      <c r="H603">
        <v>0</v>
      </c>
      <c r="N603">
        <v>364.5</v>
      </c>
    </row>
    <row r="604" spans="1:14" x14ac:dyDescent="0.25">
      <c r="A604" s="1">
        <v>44000</v>
      </c>
      <c r="B604">
        <v>357.93488375819663</v>
      </c>
      <c r="C604">
        <v>360.86877624801792</v>
      </c>
      <c r="D604">
        <v>354.26751814592001</v>
      </c>
      <c r="E604">
        <v>357.59259033203125</v>
      </c>
      <c r="F604">
        <v>2283494</v>
      </c>
      <c r="G604">
        <v>0</v>
      </c>
      <c r="H604">
        <v>0</v>
      </c>
      <c r="N604">
        <v>365.65</v>
      </c>
    </row>
    <row r="605" spans="1:14" x14ac:dyDescent="0.25">
      <c r="A605" s="1">
        <v>44001</v>
      </c>
      <c r="B605">
        <v>360.5753847194768</v>
      </c>
      <c r="C605">
        <v>361.55334884418909</v>
      </c>
      <c r="D605">
        <v>352.31157592761889</v>
      </c>
      <c r="E605">
        <v>354.0718994140625</v>
      </c>
      <c r="F605">
        <v>5007226</v>
      </c>
      <c r="G605">
        <v>0</v>
      </c>
      <c r="H605">
        <v>0</v>
      </c>
      <c r="N605">
        <v>362.05</v>
      </c>
    </row>
    <row r="606" spans="1:14" x14ac:dyDescent="0.25">
      <c r="A606" s="1">
        <v>44004</v>
      </c>
      <c r="B606">
        <v>357.88598660383678</v>
      </c>
      <c r="C606">
        <v>360.37978320630299</v>
      </c>
      <c r="D606">
        <v>348.69309987256457</v>
      </c>
      <c r="E606">
        <v>352.7027587890625</v>
      </c>
      <c r="F606">
        <v>5181110</v>
      </c>
      <c r="G606">
        <v>0</v>
      </c>
      <c r="H606">
        <v>0</v>
      </c>
      <c r="N606">
        <v>360.65</v>
      </c>
    </row>
    <row r="607" spans="1:14" x14ac:dyDescent="0.25">
      <c r="A607" s="1">
        <v>44005</v>
      </c>
      <c r="B607">
        <v>354.02302391504003</v>
      </c>
      <c r="C607">
        <v>360.72208434212035</v>
      </c>
      <c r="D607">
        <v>353.04505976057857</v>
      </c>
      <c r="E607">
        <v>358.96173095703125</v>
      </c>
      <c r="F607">
        <v>2420026</v>
      </c>
      <c r="G607">
        <v>0</v>
      </c>
      <c r="H607">
        <v>0</v>
      </c>
      <c r="N607">
        <v>367.05</v>
      </c>
    </row>
    <row r="608" spans="1:14" x14ac:dyDescent="0.25">
      <c r="A608" s="1">
        <v>44006</v>
      </c>
      <c r="B608">
        <v>360.08641980531632</v>
      </c>
      <c r="C608">
        <v>365.07401320279337</v>
      </c>
      <c r="D608">
        <v>353.58293419019014</v>
      </c>
      <c r="E608">
        <v>354.80538940429688</v>
      </c>
      <c r="F608">
        <v>3090543</v>
      </c>
      <c r="G608">
        <v>0</v>
      </c>
      <c r="H608">
        <v>0</v>
      </c>
      <c r="N608">
        <v>362.8</v>
      </c>
    </row>
    <row r="609" spans="1:14" x14ac:dyDescent="0.25">
      <c r="A609" s="1">
        <v>44007</v>
      </c>
      <c r="B609">
        <v>354.80536355667022</v>
      </c>
      <c r="C609">
        <v>359.10842947292525</v>
      </c>
      <c r="D609">
        <v>352.06707601459499</v>
      </c>
      <c r="E609">
        <v>355.34326171875</v>
      </c>
      <c r="F609">
        <v>1701434</v>
      </c>
      <c r="G609">
        <v>0</v>
      </c>
      <c r="H609">
        <v>0</v>
      </c>
      <c r="N609">
        <v>363.35</v>
      </c>
    </row>
    <row r="610" spans="1:14" x14ac:dyDescent="0.25">
      <c r="A610" s="1">
        <v>44008</v>
      </c>
      <c r="B610">
        <v>356.85909524323779</v>
      </c>
      <c r="C610">
        <v>364.48723315428441</v>
      </c>
      <c r="D610">
        <v>355.0498556835289</v>
      </c>
      <c r="E610">
        <v>355.83224487304688</v>
      </c>
      <c r="F610">
        <v>4312446</v>
      </c>
      <c r="G610">
        <v>0</v>
      </c>
      <c r="H610">
        <v>0</v>
      </c>
      <c r="N610">
        <v>363.85</v>
      </c>
    </row>
    <row r="611" spans="1:14" x14ac:dyDescent="0.25">
      <c r="A611" s="1">
        <v>44011</v>
      </c>
      <c r="B611">
        <v>357.1524996573558</v>
      </c>
      <c r="C611">
        <v>362.77579320715336</v>
      </c>
      <c r="D611">
        <v>356.07673318315796</v>
      </c>
      <c r="E611">
        <v>358.61944580078125</v>
      </c>
      <c r="F611">
        <v>2246321</v>
      </c>
      <c r="G611">
        <v>0</v>
      </c>
      <c r="H611">
        <v>0</v>
      </c>
      <c r="N611">
        <v>366.7</v>
      </c>
    </row>
    <row r="612" spans="1:14" x14ac:dyDescent="0.25">
      <c r="A612" s="1">
        <v>44012</v>
      </c>
      <c r="B612">
        <v>359.64629010488073</v>
      </c>
      <c r="C612">
        <v>361.45552962031456</v>
      </c>
      <c r="D612">
        <v>344.09666721552423</v>
      </c>
      <c r="E612">
        <v>345.31912231445313</v>
      </c>
      <c r="F612">
        <v>2533187</v>
      </c>
      <c r="G612">
        <v>0</v>
      </c>
      <c r="H612">
        <v>0</v>
      </c>
      <c r="N612">
        <v>353.1</v>
      </c>
    </row>
    <row r="613" spans="1:14" x14ac:dyDescent="0.25">
      <c r="A613" s="1">
        <v>44013</v>
      </c>
      <c r="B613">
        <v>343.75440098118338</v>
      </c>
      <c r="C613">
        <v>346.05262271778696</v>
      </c>
      <c r="D613">
        <v>339.40244854708106</v>
      </c>
      <c r="E613">
        <v>341.01611328125</v>
      </c>
      <c r="F613">
        <v>2538312</v>
      </c>
      <c r="G613">
        <v>0</v>
      </c>
      <c r="H613">
        <v>0</v>
      </c>
      <c r="N613">
        <v>348.7</v>
      </c>
    </row>
    <row r="614" spans="1:14" x14ac:dyDescent="0.25">
      <c r="A614" s="1">
        <v>44014</v>
      </c>
      <c r="B614">
        <v>342.28745197672646</v>
      </c>
      <c r="C614">
        <v>358.81504011744033</v>
      </c>
      <c r="D614">
        <v>342.28745197672646</v>
      </c>
      <c r="E614">
        <v>355.14767456054688</v>
      </c>
      <c r="F614">
        <v>5430089</v>
      </c>
      <c r="G614">
        <v>0</v>
      </c>
      <c r="H614">
        <v>0</v>
      </c>
      <c r="N614">
        <v>363.15</v>
      </c>
    </row>
    <row r="615" spans="1:14" x14ac:dyDescent="0.25">
      <c r="A615" s="1">
        <v>44015</v>
      </c>
      <c r="B615">
        <v>371.62639654257964</v>
      </c>
      <c r="C615">
        <v>371.62639654257964</v>
      </c>
      <c r="D615">
        <v>354.51202301759241</v>
      </c>
      <c r="E615">
        <v>358.27719116210938</v>
      </c>
      <c r="F615">
        <v>8834396</v>
      </c>
      <c r="G615">
        <v>0</v>
      </c>
      <c r="H615">
        <v>0</v>
      </c>
      <c r="N615">
        <v>366.35</v>
      </c>
    </row>
    <row r="616" spans="1:14" x14ac:dyDescent="0.25">
      <c r="A616" s="1">
        <v>44018</v>
      </c>
      <c r="B616">
        <v>365.75857525879604</v>
      </c>
      <c r="C616">
        <v>365.75857525879604</v>
      </c>
      <c r="D616">
        <v>352.16488016873166</v>
      </c>
      <c r="E616">
        <v>354.90316772460938</v>
      </c>
      <c r="F616">
        <v>3390790</v>
      </c>
      <c r="G616">
        <v>0</v>
      </c>
      <c r="H616">
        <v>0</v>
      </c>
      <c r="N616">
        <v>362.9</v>
      </c>
    </row>
    <row r="617" spans="1:14" x14ac:dyDescent="0.25">
      <c r="A617" s="1">
        <v>44019</v>
      </c>
      <c r="B617">
        <v>353.53401885503041</v>
      </c>
      <c r="C617">
        <v>362.28680940649195</v>
      </c>
      <c r="D617">
        <v>353.28952783230909</v>
      </c>
      <c r="E617">
        <v>353.87631225585938</v>
      </c>
      <c r="F617">
        <v>4953116</v>
      </c>
      <c r="G617">
        <v>0</v>
      </c>
      <c r="H617">
        <v>0</v>
      </c>
      <c r="N617">
        <v>361.85</v>
      </c>
    </row>
    <row r="618" spans="1:14" x14ac:dyDescent="0.25">
      <c r="A618" s="1">
        <v>44020</v>
      </c>
      <c r="B618">
        <v>354.21862250168493</v>
      </c>
      <c r="C618">
        <v>358.27716770284536</v>
      </c>
      <c r="D618">
        <v>349.81778388341769</v>
      </c>
      <c r="E618">
        <v>351.77371215820313</v>
      </c>
      <c r="F618">
        <v>2606845</v>
      </c>
      <c r="G618">
        <v>0</v>
      </c>
      <c r="H618">
        <v>0</v>
      </c>
      <c r="N618">
        <v>359.7</v>
      </c>
    </row>
    <row r="619" spans="1:14" x14ac:dyDescent="0.25">
      <c r="A619" s="1">
        <v>44021</v>
      </c>
      <c r="B619">
        <v>353.14283811350532</v>
      </c>
      <c r="C619">
        <v>354.95207764515891</v>
      </c>
      <c r="D619">
        <v>347.47062849656709</v>
      </c>
      <c r="E619">
        <v>348.2041015625</v>
      </c>
      <c r="F619">
        <v>2714917</v>
      </c>
      <c r="G619">
        <v>0</v>
      </c>
      <c r="H619">
        <v>0</v>
      </c>
      <c r="N619">
        <v>356.05</v>
      </c>
    </row>
    <row r="620" spans="1:14" x14ac:dyDescent="0.25">
      <c r="A620" s="1">
        <v>44022</v>
      </c>
      <c r="B620">
        <v>349.47549511725452</v>
      </c>
      <c r="C620">
        <v>352.60496249150111</v>
      </c>
      <c r="D620">
        <v>346.68829131957273</v>
      </c>
      <c r="E620">
        <v>348.54641723632813</v>
      </c>
      <c r="F620">
        <v>2477667</v>
      </c>
      <c r="G620">
        <v>0</v>
      </c>
      <c r="H620">
        <v>0</v>
      </c>
      <c r="N620">
        <v>356.4</v>
      </c>
    </row>
    <row r="621" spans="1:14" x14ac:dyDescent="0.25">
      <c r="A621" s="1">
        <v>44025</v>
      </c>
      <c r="B621">
        <v>350.01337959786196</v>
      </c>
      <c r="C621">
        <v>352.21379903772083</v>
      </c>
      <c r="D621">
        <v>348.15525359544534</v>
      </c>
      <c r="E621">
        <v>350.208984375</v>
      </c>
      <c r="F621">
        <v>1869088</v>
      </c>
      <c r="G621">
        <v>0</v>
      </c>
      <c r="H621">
        <v>0</v>
      </c>
      <c r="N621">
        <v>358.1</v>
      </c>
    </row>
    <row r="622" spans="1:14" x14ac:dyDescent="0.25">
      <c r="A622" s="1">
        <v>44026</v>
      </c>
      <c r="B622">
        <v>350.06226758823288</v>
      </c>
      <c r="C622">
        <v>354.02301032370542</v>
      </c>
      <c r="D622">
        <v>344.97684224222951</v>
      </c>
      <c r="E622">
        <v>346.00369262695313</v>
      </c>
      <c r="F622">
        <v>2596036</v>
      </c>
      <c r="G622">
        <v>0</v>
      </c>
      <c r="H622">
        <v>0</v>
      </c>
      <c r="N622">
        <v>353.8</v>
      </c>
    </row>
    <row r="623" spans="1:14" x14ac:dyDescent="0.25">
      <c r="A623" s="1">
        <v>44027</v>
      </c>
      <c r="B623">
        <v>349.18209302866137</v>
      </c>
      <c r="C623">
        <v>350.25785957872944</v>
      </c>
      <c r="D623">
        <v>345.5636435267387</v>
      </c>
      <c r="E623">
        <v>346.7371826171875</v>
      </c>
      <c r="F623">
        <v>2721855</v>
      </c>
      <c r="G623">
        <v>0</v>
      </c>
      <c r="H623">
        <v>0</v>
      </c>
      <c r="N623">
        <v>354.55</v>
      </c>
    </row>
    <row r="624" spans="1:14" x14ac:dyDescent="0.25">
      <c r="A624" s="1">
        <v>44028</v>
      </c>
      <c r="B624">
        <v>348.35082177851564</v>
      </c>
      <c r="C624">
        <v>354.65867226974876</v>
      </c>
      <c r="D624">
        <v>344.34116302918784</v>
      </c>
      <c r="E624">
        <v>352.94723510742188</v>
      </c>
      <c r="F624">
        <v>4026049</v>
      </c>
      <c r="G624">
        <v>0</v>
      </c>
      <c r="H624">
        <v>0</v>
      </c>
      <c r="N624">
        <v>360.9</v>
      </c>
    </row>
    <row r="625" spans="1:14" x14ac:dyDescent="0.25">
      <c r="A625" s="1">
        <v>44029</v>
      </c>
      <c r="B625">
        <v>354.4141870500564</v>
      </c>
      <c r="C625">
        <v>370.25721755020584</v>
      </c>
      <c r="D625">
        <v>354.21861213535959</v>
      </c>
      <c r="E625">
        <v>369.08364868164063</v>
      </c>
      <c r="F625">
        <v>9211356</v>
      </c>
      <c r="G625">
        <v>0</v>
      </c>
      <c r="H625">
        <v>0</v>
      </c>
      <c r="N625">
        <v>377.4</v>
      </c>
    </row>
    <row r="626" spans="1:14" x14ac:dyDescent="0.25">
      <c r="A626" s="1">
        <v>44032</v>
      </c>
      <c r="B626">
        <v>372.60434321489771</v>
      </c>
      <c r="C626">
        <v>376.02721775886658</v>
      </c>
      <c r="D626">
        <v>364.34053416356244</v>
      </c>
      <c r="E626">
        <v>366.05197143554688</v>
      </c>
      <c r="F626">
        <v>5951419</v>
      </c>
      <c r="G626">
        <v>0</v>
      </c>
      <c r="H626">
        <v>0</v>
      </c>
      <c r="N626">
        <v>374.3</v>
      </c>
    </row>
    <row r="627" spans="1:14" x14ac:dyDescent="0.25">
      <c r="A627" s="1">
        <v>44033</v>
      </c>
      <c r="B627">
        <v>367.71453647952535</v>
      </c>
      <c r="C627">
        <v>369.27928515696863</v>
      </c>
      <c r="D627">
        <v>355.24549302177553</v>
      </c>
      <c r="E627">
        <v>356.81024169921875</v>
      </c>
      <c r="F627">
        <v>3512055</v>
      </c>
      <c r="G627">
        <v>0</v>
      </c>
      <c r="H627">
        <v>0</v>
      </c>
      <c r="N627">
        <v>364.85</v>
      </c>
    </row>
    <row r="628" spans="1:14" x14ac:dyDescent="0.25">
      <c r="A628" s="1">
        <v>44034</v>
      </c>
      <c r="B628">
        <v>358.17934645770941</v>
      </c>
      <c r="C628">
        <v>365.36738845802995</v>
      </c>
      <c r="D628">
        <v>353.53401704972549</v>
      </c>
      <c r="E628">
        <v>358.57052612304688</v>
      </c>
      <c r="F628">
        <v>3470022</v>
      </c>
      <c r="G628">
        <v>0</v>
      </c>
      <c r="H628">
        <v>0</v>
      </c>
      <c r="N628">
        <v>366.65</v>
      </c>
    </row>
    <row r="629" spans="1:14" x14ac:dyDescent="0.25">
      <c r="A629" s="1">
        <v>44035</v>
      </c>
      <c r="B629">
        <v>359.01064774801563</v>
      </c>
      <c r="C629">
        <v>363.65597749045702</v>
      </c>
      <c r="D629">
        <v>357.2502943596109</v>
      </c>
      <c r="E629">
        <v>361.7978515625</v>
      </c>
      <c r="F629">
        <v>2370928</v>
      </c>
      <c r="G629">
        <v>0</v>
      </c>
      <c r="H629">
        <v>0</v>
      </c>
      <c r="N629">
        <v>369.95</v>
      </c>
    </row>
    <row r="630" spans="1:14" x14ac:dyDescent="0.25">
      <c r="A630" s="1">
        <v>44036</v>
      </c>
      <c r="B630">
        <v>361.84673200112189</v>
      </c>
      <c r="C630">
        <v>366.63875032076595</v>
      </c>
      <c r="D630">
        <v>353.53403680650149</v>
      </c>
      <c r="E630">
        <v>355.09878540039063</v>
      </c>
      <c r="F630">
        <v>4897964</v>
      </c>
      <c r="G630">
        <v>0</v>
      </c>
      <c r="H630">
        <v>0</v>
      </c>
      <c r="N630">
        <v>363.1</v>
      </c>
    </row>
    <row r="631" spans="1:14" x14ac:dyDescent="0.25">
      <c r="A631" s="1">
        <v>44039</v>
      </c>
      <c r="B631">
        <v>355.73444174784078</v>
      </c>
      <c r="C631">
        <v>356.22342379835322</v>
      </c>
      <c r="D631">
        <v>342.77641740925964</v>
      </c>
      <c r="E631">
        <v>348.74200439453125</v>
      </c>
      <c r="F631">
        <v>2844884</v>
      </c>
      <c r="G631">
        <v>0</v>
      </c>
      <c r="H631">
        <v>0</v>
      </c>
      <c r="N631">
        <v>356.6</v>
      </c>
    </row>
    <row r="632" spans="1:14" x14ac:dyDescent="0.25">
      <c r="A632" s="1">
        <v>44040</v>
      </c>
      <c r="B632">
        <v>348.15524793812961</v>
      </c>
      <c r="C632">
        <v>354.02303301573852</v>
      </c>
      <c r="D632">
        <v>346.2971219659064</v>
      </c>
      <c r="E632">
        <v>349.18209838867188</v>
      </c>
      <c r="F632">
        <v>2929086</v>
      </c>
      <c r="G632">
        <v>0</v>
      </c>
      <c r="H632">
        <v>0</v>
      </c>
      <c r="N632">
        <v>357.05</v>
      </c>
    </row>
    <row r="633" spans="1:14" x14ac:dyDescent="0.25">
      <c r="A633" s="1">
        <v>44041</v>
      </c>
      <c r="B633">
        <v>349.71998651898053</v>
      </c>
      <c r="C633">
        <v>354.41420250778668</v>
      </c>
      <c r="D633">
        <v>348.15523790767935</v>
      </c>
      <c r="E633">
        <v>352.80056762695313</v>
      </c>
      <c r="F633">
        <v>1863961</v>
      </c>
      <c r="G633">
        <v>0</v>
      </c>
      <c r="H633">
        <v>0</v>
      </c>
      <c r="N633">
        <v>360.75</v>
      </c>
    </row>
    <row r="634" spans="1:14" x14ac:dyDescent="0.25">
      <c r="A634" s="1">
        <v>44042</v>
      </c>
      <c r="B634">
        <v>353.53404502346467</v>
      </c>
      <c r="C634">
        <v>360.37979416638103</v>
      </c>
      <c r="D634">
        <v>353.33844025277085</v>
      </c>
      <c r="E634">
        <v>357.59259033203125</v>
      </c>
      <c r="F634">
        <v>3384412</v>
      </c>
      <c r="G634">
        <v>0</v>
      </c>
      <c r="H634">
        <v>0</v>
      </c>
      <c r="N634">
        <v>365.65</v>
      </c>
    </row>
    <row r="635" spans="1:14" x14ac:dyDescent="0.25">
      <c r="A635" s="1">
        <v>44043</v>
      </c>
      <c r="B635">
        <v>359.35291772774303</v>
      </c>
      <c r="C635">
        <v>387.71387641028878</v>
      </c>
      <c r="D635">
        <v>359.20619923779134</v>
      </c>
      <c r="E635">
        <v>379.84124755859375</v>
      </c>
      <c r="F635">
        <v>15280658</v>
      </c>
      <c r="G635">
        <v>0</v>
      </c>
      <c r="H635">
        <v>0</v>
      </c>
      <c r="N635">
        <v>388.4</v>
      </c>
    </row>
    <row r="636" spans="1:14" x14ac:dyDescent="0.25">
      <c r="A636" s="1">
        <v>44046</v>
      </c>
      <c r="B636">
        <v>387.27380983956635</v>
      </c>
      <c r="C636">
        <v>391.87025335903473</v>
      </c>
      <c r="D636">
        <v>378.52101861348655</v>
      </c>
      <c r="E636">
        <v>385.95355224609375</v>
      </c>
      <c r="F636">
        <v>12197366</v>
      </c>
      <c r="G636">
        <v>0</v>
      </c>
      <c r="H636">
        <v>0</v>
      </c>
      <c r="N636">
        <v>394.65</v>
      </c>
    </row>
    <row r="637" spans="1:14" x14ac:dyDescent="0.25">
      <c r="A637" s="1">
        <v>44047</v>
      </c>
      <c r="B637">
        <v>389.22973060621956</v>
      </c>
      <c r="C637">
        <v>396.6133479799318</v>
      </c>
      <c r="D637">
        <v>381.84611323250732</v>
      </c>
      <c r="E637">
        <v>394.80413818359375</v>
      </c>
      <c r="F637">
        <v>9406025</v>
      </c>
      <c r="G637">
        <v>0</v>
      </c>
      <c r="H637">
        <v>0</v>
      </c>
      <c r="N637">
        <v>403.7</v>
      </c>
    </row>
    <row r="638" spans="1:14" x14ac:dyDescent="0.25">
      <c r="A638" s="1">
        <v>44048</v>
      </c>
      <c r="B638">
        <v>399.98734065631942</v>
      </c>
      <c r="C638">
        <v>402.43225105152919</v>
      </c>
      <c r="D638">
        <v>383.80204577806973</v>
      </c>
      <c r="E638">
        <v>387.32269287109375</v>
      </c>
      <c r="F638">
        <v>19562702</v>
      </c>
      <c r="G638">
        <v>0</v>
      </c>
      <c r="H638">
        <v>0</v>
      </c>
      <c r="N638">
        <v>396.05</v>
      </c>
    </row>
    <row r="639" spans="1:14" x14ac:dyDescent="0.25">
      <c r="A639" s="1">
        <v>44049</v>
      </c>
      <c r="B639">
        <v>387.2738098909914</v>
      </c>
      <c r="C639">
        <v>392.94599011802234</v>
      </c>
      <c r="D639">
        <v>375.73384466561208</v>
      </c>
      <c r="E639">
        <v>380.2813720703125</v>
      </c>
      <c r="F639">
        <v>9631375</v>
      </c>
      <c r="G639">
        <v>0</v>
      </c>
      <c r="H639">
        <v>0</v>
      </c>
      <c r="N639">
        <v>388.85</v>
      </c>
    </row>
    <row r="640" spans="1:14" x14ac:dyDescent="0.25">
      <c r="A640" s="1">
        <v>44050</v>
      </c>
      <c r="B640">
        <v>381.69937889705415</v>
      </c>
      <c r="C640">
        <v>386.58919943042713</v>
      </c>
      <c r="D640">
        <v>379.00997760369904</v>
      </c>
      <c r="E640">
        <v>382.28616333007813</v>
      </c>
      <c r="F640">
        <v>4604458</v>
      </c>
      <c r="G640">
        <v>0</v>
      </c>
      <c r="H640">
        <v>0</v>
      </c>
      <c r="N640">
        <v>390.9</v>
      </c>
    </row>
    <row r="641" spans="1:14" x14ac:dyDescent="0.25">
      <c r="A641" s="1">
        <v>44053</v>
      </c>
      <c r="B641">
        <v>384.53551432562608</v>
      </c>
      <c r="C641">
        <v>400.76969528076381</v>
      </c>
      <c r="D641">
        <v>383.50863406478601</v>
      </c>
      <c r="E641">
        <v>396.22216796875</v>
      </c>
      <c r="F641">
        <v>7942401</v>
      </c>
      <c r="G641">
        <v>0</v>
      </c>
      <c r="H641">
        <v>0</v>
      </c>
      <c r="N641">
        <v>405.15</v>
      </c>
    </row>
    <row r="642" spans="1:14" x14ac:dyDescent="0.25">
      <c r="A642" s="1">
        <v>44054</v>
      </c>
      <c r="B642">
        <v>398.12922470819643</v>
      </c>
      <c r="C642">
        <v>399.59617098210646</v>
      </c>
      <c r="D642">
        <v>384.33992376442268</v>
      </c>
      <c r="E642">
        <v>386.05136108398438</v>
      </c>
      <c r="F642">
        <v>3349443</v>
      </c>
      <c r="G642">
        <v>0</v>
      </c>
      <c r="H642">
        <v>0</v>
      </c>
      <c r="N642">
        <v>394.75</v>
      </c>
    </row>
    <row r="643" spans="1:14" x14ac:dyDescent="0.25">
      <c r="A643" s="1">
        <v>44055</v>
      </c>
      <c r="B643">
        <v>386.78481051769444</v>
      </c>
      <c r="C643">
        <v>386.78481051769444</v>
      </c>
      <c r="D643">
        <v>372.84882176958536</v>
      </c>
      <c r="E643">
        <v>376.7117919921875</v>
      </c>
      <c r="F643">
        <v>3992334</v>
      </c>
      <c r="G643">
        <v>0</v>
      </c>
      <c r="H643">
        <v>0</v>
      </c>
      <c r="N643">
        <v>385.2</v>
      </c>
    </row>
    <row r="644" spans="1:14" x14ac:dyDescent="0.25">
      <c r="A644" s="1">
        <v>44056</v>
      </c>
      <c r="B644">
        <v>384.8288969640775</v>
      </c>
      <c r="C644">
        <v>385.85574739404933</v>
      </c>
      <c r="D644">
        <v>376.760692643992</v>
      </c>
      <c r="E644">
        <v>377.88534545898438</v>
      </c>
      <c r="F644">
        <v>5405124</v>
      </c>
      <c r="G644">
        <v>0</v>
      </c>
      <c r="H644">
        <v>0</v>
      </c>
      <c r="N644">
        <v>386.4</v>
      </c>
    </row>
    <row r="645" spans="1:14" x14ac:dyDescent="0.25">
      <c r="A645" s="1">
        <v>44057</v>
      </c>
      <c r="B645">
        <v>381.40604498836478</v>
      </c>
      <c r="C645">
        <v>391.52798061284511</v>
      </c>
      <c r="D645">
        <v>377.54307438954544</v>
      </c>
      <c r="E645">
        <v>386.7359619140625</v>
      </c>
      <c r="F645">
        <v>7430560</v>
      </c>
      <c r="G645">
        <v>0</v>
      </c>
      <c r="H645">
        <v>0</v>
      </c>
      <c r="N645">
        <v>395.45</v>
      </c>
    </row>
    <row r="646" spans="1:14" x14ac:dyDescent="0.25">
      <c r="A646" s="1">
        <v>44060</v>
      </c>
      <c r="B646">
        <v>390.35438806703957</v>
      </c>
      <c r="C646">
        <v>393.67946023837482</v>
      </c>
      <c r="D646">
        <v>382.23729748597731</v>
      </c>
      <c r="E646">
        <v>388.74075317382813</v>
      </c>
      <c r="F646">
        <v>4306535</v>
      </c>
      <c r="G646">
        <v>0</v>
      </c>
      <c r="H646">
        <v>0</v>
      </c>
      <c r="N646">
        <v>397.5</v>
      </c>
    </row>
    <row r="647" spans="1:14" x14ac:dyDescent="0.25">
      <c r="A647" s="1">
        <v>44061</v>
      </c>
      <c r="B647">
        <v>389.22973417575173</v>
      </c>
      <c r="C647">
        <v>392.16362664441317</v>
      </c>
      <c r="D647">
        <v>386.39364409173186</v>
      </c>
      <c r="E647">
        <v>388.25177001953125</v>
      </c>
      <c r="F647">
        <v>2023214</v>
      </c>
      <c r="G647">
        <v>0</v>
      </c>
      <c r="H647">
        <v>0</v>
      </c>
      <c r="N647">
        <v>397</v>
      </c>
    </row>
    <row r="648" spans="1:14" x14ac:dyDescent="0.25">
      <c r="A648" s="1">
        <v>44062</v>
      </c>
      <c r="B648">
        <v>390.10991152711387</v>
      </c>
      <c r="C648">
        <v>397.05346328260282</v>
      </c>
      <c r="D648">
        <v>385.90467742546082</v>
      </c>
      <c r="E648">
        <v>387.07821655273438</v>
      </c>
      <c r="F648">
        <v>4960714</v>
      </c>
      <c r="G648">
        <v>0</v>
      </c>
      <c r="H648">
        <v>0</v>
      </c>
      <c r="N648">
        <v>395.8</v>
      </c>
    </row>
    <row r="649" spans="1:14" x14ac:dyDescent="0.25">
      <c r="A649" s="1">
        <v>44063</v>
      </c>
      <c r="B649">
        <v>388.25173994995561</v>
      </c>
      <c r="C649">
        <v>391.96799151773575</v>
      </c>
      <c r="D649">
        <v>386.34469805498446</v>
      </c>
      <c r="E649">
        <v>389.6697998046875</v>
      </c>
      <c r="F649">
        <v>2403030</v>
      </c>
      <c r="G649">
        <v>0</v>
      </c>
      <c r="H649">
        <v>0</v>
      </c>
      <c r="N649">
        <v>398.45</v>
      </c>
    </row>
    <row r="650" spans="1:14" x14ac:dyDescent="0.25">
      <c r="A650" s="1">
        <v>44064</v>
      </c>
      <c r="B650">
        <v>391.47905665921593</v>
      </c>
      <c r="C650">
        <v>395.09753613112969</v>
      </c>
      <c r="D650">
        <v>387.61611598281496</v>
      </c>
      <c r="E650">
        <v>391.82135009765625</v>
      </c>
      <c r="F650">
        <v>3722556</v>
      </c>
      <c r="G650">
        <v>0</v>
      </c>
      <c r="H650">
        <v>0</v>
      </c>
      <c r="N650">
        <v>400.65</v>
      </c>
    </row>
    <row r="651" spans="1:14" x14ac:dyDescent="0.25">
      <c r="A651" s="1">
        <v>44067</v>
      </c>
      <c r="B651">
        <v>394.21735953350117</v>
      </c>
      <c r="C651">
        <v>394.95083265474494</v>
      </c>
      <c r="D651">
        <v>383.94873583608847</v>
      </c>
      <c r="E651">
        <v>386.39364624023438</v>
      </c>
      <c r="F651">
        <v>3077174</v>
      </c>
      <c r="G651">
        <v>0</v>
      </c>
      <c r="H651">
        <v>0</v>
      </c>
      <c r="N651">
        <v>395.1</v>
      </c>
    </row>
    <row r="652" spans="1:14" x14ac:dyDescent="0.25">
      <c r="A652" s="1">
        <v>44068</v>
      </c>
      <c r="B652">
        <v>388.25176340811998</v>
      </c>
      <c r="C652">
        <v>389.71870961747055</v>
      </c>
      <c r="D652">
        <v>378.52100828138902</v>
      </c>
      <c r="E652">
        <v>379.64569091796875</v>
      </c>
      <c r="F652">
        <v>2248906</v>
      </c>
      <c r="G652">
        <v>0</v>
      </c>
      <c r="H652">
        <v>0</v>
      </c>
      <c r="N652">
        <v>388.2</v>
      </c>
    </row>
    <row r="653" spans="1:14" x14ac:dyDescent="0.25">
      <c r="A653" s="1">
        <v>44069</v>
      </c>
      <c r="B653">
        <v>381.40601194335454</v>
      </c>
      <c r="C653">
        <v>382.53066472750146</v>
      </c>
      <c r="D653">
        <v>376.61399365975223</v>
      </c>
      <c r="E653">
        <v>380.08575439453125</v>
      </c>
      <c r="F653">
        <v>2189843</v>
      </c>
      <c r="G653">
        <v>0</v>
      </c>
      <c r="H653">
        <v>0</v>
      </c>
      <c r="N653">
        <v>388.65</v>
      </c>
    </row>
    <row r="654" spans="1:14" x14ac:dyDescent="0.25">
      <c r="A654" s="1">
        <v>44070</v>
      </c>
      <c r="B654">
        <v>380.42804600679733</v>
      </c>
      <c r="C654">
        <v>387.27379490666254</v>
      </c>
      <c r="D654">
        <v>379.45008187824516</v>
      </c>
      <c r="E654">
        <v>380.52584838867188</v>
      </c>
      <c r="F654">
        <v>2673972</v>
      </c>
      <c r="G654">
        <v>0</v>
      </c>
      <c r="H654">
        <v>0</v>
      </c>
      <c r="N654">
        <v>389.1</v>
      </c>
    </row>
    <row r="655" spans="1:14" x14ac:dyDescent="0.25">
      <c r="A655" s="1">
        <v>44071</v>
      </c>
      <c r="B655">
        <v>381.40602489264302</v>
      </c>
      <c r="C655">
        <v>385.07339051661074</v>
      </c>
      <c r="D655">
        <v>379.01000074694497</v>
      </c>
      <c r="E655">
        <v>380.2813720703125</v>
      </c>
      <c r="F655">
        <v>2434360</v>
      </c>
      <c r="G655">
        <v>0</v>
      </c>
      <c r="H655">
        <v>0</v>
      </c>
      <c r="N655">
        <v>388.85</v>
      </c>
    </row>
    <row r="656" spans="1:14" x14ac:dyDescent="0.25">
      <c r="A656" s="1">
        <v>44074</v>
      </c>
      <c r="B656">
        <v>383.26416888498898</v>
      </c>
      <c r="C656">
        <v>383.8998396540531</v>
      </c>
      <c r="D656">
        <v>360.13532122987692</v>
      </c>
      <c r="E656">
        <v>363.0692138671875</v>
      </c>
      <c r="F656">
        <v>3023973</v>
      </c>
      <c r="G656">
        <v>0</v>
      </c>
      <c r="H656">
        <v>0</v>
      </c>
      <c r="N656">
        <v>371.25</v>
      </c>
    </row>
    <row r="657" spans="1:14" x14ac:dyDescent="0.25">
      <c r="A657" s="1">
        <v>44075</v>
      </c>
      <c r="B657">
        <v>364.87842878251087</v>
      </c>
      <c r="C657">
        <v>371.5285730361947</v>
      </c>
      <c r="D657">
        <v>358.42385945093702</v>
      </c>
      <c r="E657">
        <v>369.76824951171875</v>
      </c>
      <c r="F657">
        <v>3299059</v>
      </c>
      <c r="G657">
        <v>0</v>
      </c>
      <c r="H657">
        <v>0</v>
      </c>
      <c r="N657">
        <v>378.1</v>
      </c>
    </row>
    <row r="658" spans="1:14" x14ac:dyDescent="0.25">
      <c r="A658" s="1">
        <v>44076</v>
      </c>
      <c r="B658">
        <v>371.72417998919752</v>
      </c>
      <c r="C658">
        <v>375.92941390300484</v>
      </c>
      <c r="D658">
        <v>364.48725123643504</v>
      </c>
      <c r="E658">
        <v>373.58230590820313</v>
      </c>
      <c r="F658">
        <v>3414195</v>
      </c>
      <c r="G658">
        <v>0</v>
      </c>
      <c r="H658">
        <v>0</v>
      </c>
      <c r="N658">
        <v>382</v>
      </c>
    </row>
    <row r="659" spans="1:14" x14ac:dyDescent="0.25">
      <c r="A659" s="1">
        <v>44077</v>
      </c>
      <c r="B659">
        <v>374.56028359232079</v>
      </c>
      <c r="C659">
        <v>380.77036214831497</v>
      </c>
      <c r="D659">
        <v>371.47970237252633</v>
      </c>
      <c r="E659">
        <v>378.52102661132813</v>
      </c>
      <c r="F659">
        <v>2425534</v>
      </c>
      <c r="G659">
        <v>0</v>
      </c>
      <c r="H659">
        <v>0</v>
      </c>
      <c r="N659">
        <v>387.05</v>
      </c>
    </row>
    <row r="660" spans="1:14" x14ac:dyDescent="0.25">
      <c r="A660" s="1">
        <v>44078</v>
      </c>
      <c r="B660">
        <v>372.65322657057357</v>
      </c>
      <c r="C660">
        <v>381.89499970506012</v>
      </c>
      <c r="D660">
        <v>366.05196857311091</v>
      </c>
      <c r="E660">
        <v>368.83917236328125</v>
      </c>
      <c r="F660">
        <v>3463442</v>
      </c>
      <c r="G660">
        <v>0</v>
      </c>
      <c r="H660">
        <v>0</v>
      </c>
      <c r="N660">
        <v>377.15</v>
      </c>
    </row>
    <row r="661" spans="1:14" x14ac:dyDescent="0.25">
      <c r="A661" s="1">
        <v>44081</v>
      </c>
      <c r="B661">
        <v>374.46246690893565</v>
      </c>
      <c r="C661">
        <v>374.46246690893565</v>
      </c>
      <c r="D661">
        <v>358.76615424605745</v>
      </c>
      <c r="E661">
        <v>362.2379150390625</v>
      </c>
      <c r="F661">
        <v>3179672</v>
      </c>
      <c r="G661">
        <v>0</v>
      </c>
      <c r="H661">
        <v>0</v>
      </c>
      <c r="N661">
        <v>370.4</v>
      </c>
    </row>
    <row r="662" spans="1:14" x14ac:dyDescent="0.25">
      <c r="A662" s="1">
        <v>44082</v>
      </c>
      <c r="B662">
        <v>362.82473050409328</v>
      </c>
      <c r="C662">
        <v>365.95422798826019</v>
      </c>
      <c r="D662">
        <v>354.31642973752071</v>
      </c>
      <c r="E662">
        <v>356.56576538085938</v>
      </c>
      <c r="F662">
        <v>2082467</v>
      </c>
      <c r="G662">
        <v>0</v>
      </c>
      <c r="H662">
        <v>0</v>
      </c>
      <c r="N662">
        <v>364.6</v>
      </c>
    </row>
    <row r="663" spans="1:14" x14ac:dyDescent="0.25">
      <c r="A663" s="1">
        <v>44083</v>
      </c>
      <c r="B663">
        <v>355.00096905249177</v>
      </c>
      <c r="C663">
        <v>363.60704121269566</v>
      </c>
      <c r="D663">
        <v>352.06707674627285</v>
      </c>
      <c r="E663">
        <v>362.43350219726563</v>
      </c>
      <c r="F663">
        <v>3592446</v>
      </c>
      <c r="G663">
        <v>0</v>
      </c>
      <c r="H663">
        <v>0</v>
      </c>
      <c r="N663">
        <v>370.6</v>
      </c>
    </row>
    <row r="664" spans="1:14" x14ac:dyDescent="0.25">
      <c r="A664" s="1">
        <v>44084</v>
      </c>
      <c r="B664">
        <v>365.17181481666017</v>
      </c>
      <c r="C664">
        <v>366.68767718600549</v>
      </c>
      <c r="D664">
        <v>352.45828061683733</v>
      </c>
      <c r="E664">
        <v>355.73446655273438</v>
      </c>
      <c r="F664">
        <v>5232616</v>
      </c>
      <c r="G664">
        <v>0</v>
      </c>
      <c r="H664">
        <v>0</v>
      </c>
      <c r="N664">
        <v>363.75</v>
      </c>
    </row>
    <row r="665" spans="1:14" x14ac:dyDescent="0.25">
      <c r="A665" s="1">
        <v>44085</v>
      </c>
      <c r="B665">
        <v>356.95688979690141</v>
      </c>
      <c r="C665">
        <v>364.43830905239275</v>
      </c>
      <c r="D665">
        <v>350.11114122545399</v>
      </c>
      <c r="E665">
        <v>361.84671020507813</v>
      </c>
      <c r="F665">
        <v>4408064</v>
      </c>
      <c r="G665">
        <v>0</v>
      </c>
      <c r="H665">
        <v>0</v>
      </c>
      <c r="N665">
        <v>370</v>
      </c>
    </row>
    <row r="666" spans="1:14" x14ac:dyDescent="0.25">
      <c r="A666" s="1">
        <v>44088</v>
      </c>
      <c r="B666">
        <v>363.6070331637228</v>
      </c>
      <c r="C666">
        <v>364.97620675239301</v>
      </c>
      <c r="D666">
        <v>357.44587139508769</v>
      </c>
      <c r="E666">
        <v>360.42864990234375</v>
      </c>
      <c r="F666">
        <v>2843408</v>
      </c>
      <c r="G666">
        <v>0</v>
      </c>
      <c r="H666">
        <v>0</v>
      </c>
      <c r="N666">
        <v>368.55</v>
      </c>
    </row>
    <row r="667" spans="1:14" x14ac:dyDescent="0.25">
      <c r="A667" s="1">
        <v>44089</v>
      </c>
      <c r="B667">
        <v>362.48239475344303</v>
      </c>
      <c r="C667">
        <v>370.15941905693234</v>
      </c>
      <c r="D667">
        <v>359.15732271772367</v>
      </c>
      <c r="E667">
        <v>366.78543090820313</v>
      </c>
      <c r="F667">
        <v>4154655</v>
      </c>
      <c r="G667">
        <v>0</v>
      </c>
      <c r="H667">
        <v>0</v>
      </c>
      <c r="N667">
        <v>375.05</v>
      </c>
    </row>
    <row r="668" spans="1:14" x14ac:dyDescent="0.25">
      <c r="A668" s="1">
        <v>44090</v>
      </c>
      <c r="B668">
        <v>368.839151517951</v>
      </c>
      <c r="C668">
        <v>381.40599607561541</v>
      </c>
      <c r="D668">
        <v>366.834337066361</v>
      </c>
      <c r="E668">
        <v>379.84124755859375</v>
      </c>
      <c r="F668">
        <v>5051649</v>
      </c>
      <c r="G668">
        <v>0</v>
      </c>
      <c r="H668">
        <v>0</v>
      </c>
      <c r="N668">
        <v>388.4</v>
      </c>
    </row>
    <row r="669" spans="1:14" x14ac:dyDescent="0.25">
      <c r="A669" s="1">
        <v>44091</v>
      </c>
      <c r="B669">
        <v>380.42806207881364</v>
      </c>
      <c r="C669">
        <v>387.86059573883318</v>
      </c>
      <c r="D669">
        <v>375.92942092839934</v>
      </c>
      <c r="E669">
        <v>385.02450561523438</v>
      </c>
      <c r="F669">
        <v>6323433</v>
      </c>
      <c r="G669">
        <v>0</v>
      </c>
      <c r="H669">
        <v>0</v>
      </c>
      <c r="N669">
        <v>393.7</v>
      </c>
    </row>
    <row r="670" spans="1:14" x14ac:dyDescent="0.25">
      <c r="A670" s="1">
        <v>44092</v>
      </c>
      <c r="B670">
        <v>386.34473693812873</v>
      </c>
      <c r="C670">
        <v>413.67884767654493</v>
      </c>
      <c r="D670">
        <v>386.34473693812873</v>
      </c>
      <c r="E670">
        <v>400.67193603515625</v>
      </c>
      <c r="F670">
        <v>19640911</v>
      </c>
      <c r="G670">
        <v>0</v>
      </c>
      <c r="H670">
        <v>0</v>
      </c>
      <c r="N670">
        <v>409.7</v>
      </c>
    </row>
    <row r="671" spans="1:14" x14ac:dyDescent="0.25">
      <c r="A671" s="1">
        <v>44095</v>
      </c>
      <c r="B671">
        <v>403.8013986177084</v>
      </c>
      <c r="C671">
        <v>407.76217140143518</v>
      </c>
      <c r="D671">
        <v>381.94389351448348</v>
      </c>
      <c r="E671">
        <v>387.37161254882813</v>
      </c>
      <c r="F671">
        <v>8893943</v>
      </c>
      <c r="G671">
        <v>0</v>
      </c>
      <c r="H671">
        <v>0</v>
      </c>
      <c r="N671">
        <v>396.1</v>
      </c>
    </row>
    <row r="672" spans="1:14" x14ac:dyDescent="0.25">
      <c r="A672" s="1">
        <v>44096</v>
      </c>
      <c r="B672">
        <v>389.13192960853712</v>
      </c>
      <c r="C672">
        <v>389.71871406799772</v>
      </c>
      <c r="D672">
        <v>372.84883246781465</v>
      </c>
      <c r="E672">
        <v>384.43771362304688</v>
      </c>
      <c r="F672">
        <v>4930269</v>
      </c>
      <c r="G672">
        <v>0</v>
      </c>
      <c r="H672">
        <v>0</v>
      </c>
      <c r="N672">
        <v>393.1</v>
      </c>
    </row>
    <row r="673" spans="1:14" x14ac:dyDescent="0.25">
      <c r="A673" s="1">
        <v>44097</v>
      </c>
      <c r="B673">
        <v>386.29583767732532</v>
      </c>
      <c r="C673">
        <v>387.27380182334383</v>
      </c>
      <c r="D673">
        <v>370.94178864679526</v>
      </c>
      <c r="E673">
        <v>375.4404296875</v>
      </c>
      <c r="F673">
        <v>3731153</v>
      </c>
      <c r="G673">
        <v>0</v>
      </c>
      <c r="H673">
        <v>0</v>
      </c>
      <c r="N673">
        <v>383.9</v>
      </c>
    </row>
    <row r="674" spans="1:14" x14ac:dyDescent="0.25">
      <c r="A674" s="1">
        <v>44098</v>
      </c>
      <c r="B674">
        <v>373.33782070018015</v>
      </c>
      <c r="C674">
        <v>375.3426353042114</v>
      </c>
      <c r="D674">
        <v>365.90528706299722</v>
      </c>
      <c r="E674">
        <v>368.00790405273438</v>
      </c>
      <c r="F674">
        <v>3631829</v>
      </c>
      <c r="G674">
        <v>0</v>
      </c>
      <c r="H674">
        <v>0</v>
      </c>
      <c r="N674">
        <v>376.3</v>
      </c>
    </row>
    <row r="675" spans="1:14" x14ac:dyDescent="0.25">
      <c r="A675" s="1">
        <v>44099</v>
      </c>
      <c r="B675">
        <v>370.64839087262379</v>
      </c>
      <c r="C675">
        <v>380.52583417096616</v>
      </c>
      <c r="D675">
        <v>367.22551655058112</v>
      </c>
      <c r="E675">
        <v>377.00515747070313</v>
      </c>
      <c r="F675">
        <v>3902803</v>
      </c>
      <c r="G675">
        <v>0</v>
      </c>
      <c r="H675">
        <v>0</v>
      </c>
      <c r="N675">
        <v>385.5</v>
      </c>
    </row>
    <row r="676" spans="1:14" x14ac:dyDescent="0.25">
      <c r="A676" s="1">
        <v>44102</v>
      </c>
      <c r="B676">
        <v>380.5258820465595</v>
      </c>
      <c r="C676">
        <v>383.89984068143644</v>
      </c>
      <c r="D676">
        <v>372.94665937989043</v>
      </c>
      <c r="E676">
        <v>381.99282836914063</v>
      </c>
      <c r="F676">
        <v>3623432</v>
      </c>
      <c r="G676">
        <v>0</v>
      </c>
      <c r="H676">
        <v>0</v>
      </c>
      <c r="N676">
        <v>390.6</v>
      </c>
    </row>
    <row r="677" spans="1:14" x14ac:dyDescent="0.25">
      <c r="A677" s="1">
        <v>44103</v>
      </c>
      <c r="B677">
        <v>379.54789323654722</v>
      </c>
      <c r="C677">
        <v>386.10023514575374</v>
      </c>
      <c r="D677">
        <v>376.85849181942353</v>
      </c>
      <c r="E677">
        <v>379.25448608398438</v>
      </c>
      <c r="F677">
        <v>3888455</v>
      </c>
      <c r="G677">
        <v>0</v>
      </c>
      <c r="H677">
        <v>0</v>
      </c>
      <c r="N677">
        <v>387.8</v>
      </c>
    </row>
    <row r="678" spans="1:14" x14ac:dyDescent="0.25">
      <c r="A678" s="1">
        <v>44104</v>
      </c>
      <c r="B678">
        <v>379.49894751718938</v>
      </c>
      <c r="C678">
        <v>397.5423966461795</v>
      </c>
      <c r="D678">
        <v>377.49413310067723</v>
      </c>
      <c r="E678">
        <v>386.34469604492188</v>
      </c>
      <c r="F678">
        <v>7587170</v>
      </c>
      <c r="G678">
        <v>0</v>
      </c>
      <c r="H678">
        <v>0</v>
      </c>
      <c r="N678">
        <v>395.05</v>
      </c>
    </row>
    <row r="679" spans="1:14" x14ac:dyDescent="0.25">
      <c r="A679" s="1">
        <v>44105</v>
      </c>
      <c r="B679">
        <v>389.86539232732969</v>
      </c>
      <c r="C679">
        <v>393.33718287693631</v>
      </c>
      <c r="D679">
        <v>382.13948171152231</v>
      </c>
      <c r="E679">
        <v>389.47421264648438</v>
      </c>
      <c r="F679">
        <v>4531721</v>
      </c>
      <c r="G679">
        <v>0</v>
      </c>
      <c r="H679">
        <v>0</v>
      </c>
      <c r="N679">
        <v>398.25</v>
      </c>
    </row>
    <row r="680" spans="1:14" x14ac:dyDescent="0.25">
      <c r="A680" s="1">
        <v>44109</v>
      </c>
      <c r="B680">
        <v>392.16363532506506</v>
      </c>
      <c r="C680">
        <v>408.20224187308054</v>
      </c>
      <c r="D680">
        <v>387.07820966211222</v>
      </c>
      <c r="E680">
        <v>404.92605590820313</v>
      </c>
      <c r="F680">
        <v>6566686</v>
      </c>
      <c r="G680">
        <v>0</v>
      </c>
      <c r="H680">
        <v>0</v>
      </c>
      <c r="N680">
        <v>414.05</v>
      </c>
    </row>
    <row r="681" spans="1:14" x14ac:dyDescent="0.25">
      <c r="A681" s="1">
        <v>44110</v>
      </c>
      <c r="B681">
        <v>408.34892144929307</v>
      </c>
      <c r="C681">
        <v>414.11893384647101</v>
      </c>
      <c r="D681">
        <v>403.31241201430169</v>
      </c>
      <c r="E681">
        <v>406.19741821289063</v>
      </c>
      <c r="F681">
        <v>6757564</v>
      </c>
      <c r="G681">
        <v>0</v>
      </c>
      <c r="H681">
        <v>0</v>
      </c>
      <c r="N681">
        <v>415.35</v>
      </c>
    </row>
    <row r="682" spans="1:14" x14ac:dyDescent="0.25">
      <c r="A682" s="1">
        <v>44111</v>
      </c>
      <c r="B682">
        <v>407.56658743627884</v>
      </c>
      <c r="C682">
        <v>411.08726458651188</v>
      </c>
      <c r="D682">
        <v>396.36888521354706</v>
      </c>
      <c r="E682">
        <v>403.75253295898438</v>
      </c>
      <c r="F682">
        <v>4547165</v>
      </c>
      <c r="G682">
        <v>0</v>
      </c>
      <c r="H682">
        <v>0</v>
      </c>
      <c r="N682">
        <v>412.85</v>
      </c>
    </row>
    <row r="683" spans="1:14" x14ac:dyDescent="0.25">
      <c r="A683" s="1">
        <v>44112</v>
      </c>
      <c r="B683">
        <v>405.8551237305482</v>
      </c>
      <c r="C683">
        <v>429.032886108139</v>
      </c>
      <c r="D683">
        <v>405.07276434573311</v>
      </c>
      <c r="E683">
        <v>426.49017333984375</v>
      </c>
      <c r="F683">
        <v>11801209</v>
      </c>
      <c r="G683">
        <v>0</v>
      </c>
      <c r="H683">
        <v>0</v>
      </c>
      <c r="N683">
        <v>436.1</v>
      </c>
    </row>
    <row r="684" spans="1:14" x14ac:dyDescent="0.25">
      <c r="A684" s="1">
        <v>44113</v>
      </c>
      <c r="B684">
        <v>426.39236882179296</v>
      </c>
      <c r="C684">
        <v>438.03013622199217</v>
      </c>
      <c r="D684">
        <v>425.41440467311912</v>
      </c>
      <c r="E684">
        <v>428.34829711914063</v>
      </c>
      <c r="F684">
        <v>9872616</v>
      </c>
      <c r="G684">
        <v>0</v>
      </c>
      <c r="H684">
        <v>0</v>
      </c>
      <c r="N684">
        <v>438</v>
      </c>
    </row>
    <row r="685" spans="1:14" x14ac:dyDescent="0.25">
      <c r="A685" s="1">
        <v>44116</v>
      </c>
      <c r="B685">
        <v>428.34830461893046</v>
      </c>
      <c r="C685">
        <v>433.38481410376363</v>
      </c>
      <c r="D685">
        <v>421.2580644169048</v>
      </c>
      <c r="E685">
        <v>431.77117919921875</v>
      </c>
      <c r="F685">
        <v>5232786</v>
      </c>
      <c r="G685">
        <v>0</v>
      </c>
      <c r="H685">
        <v>0</v>
      </c>
      <c r="N685">
        <v>441.5</v>
      </c>
    </row>
    <row r="686" spans="1:14" x14ac:dyDescent="0.25">
      <c r="A686" s="1">
        <v>44117</v>
      </c>
      <c r="B686">
        <v>428.83726815669928</v>
      </c>
      <c r="C686">
        <v>436.46537638199538</v>
      </c>
      <c r="D686">
        <v>417.7862854991377</v>
      </c>
      <c r="E686">
        <v>420.62237548828125</v>
      </c>
      <c r="F686">
        <v>5013352</v>
      </c>
      <c r="G686">
        <v>0</v>
      </c>
      <c r="H686">
        <v>0</v>
      </c>
      <c r="N686">
        <v>430.1</v>
      </c>
    </row>
    <row r="687" spans="1:14" x14ac:dyDescent="0.25">
      <c r="A687" s="1">
        <v>44118</v>
      </c>
      <c r="B687">
        <v>419.05762446146804</v>
      </c>
      <c r="C687">
        <v>424.04524743107885</v>
      </c>
      <c r="D687">
        <v>413.04315110624452</v>
      </c>
      <c r="E687">
        <v>421.06243896484375</v>
      </c>
      <c r="F687">
        <v>3974124</v>
      </c>
      <c r="G687">
        <v>0</v>
      </c>
      <c r="H687">
        <v>0</v>
      </c>
      <c r="N687">
        <v>430.55</v>
      </c>
    </row>
    <row r="688" spans="1:14" x14ac:dyDescent="0.25">
      <c r="A688" s="1">
        <v>44119</v>
      </c>
      <c r="B688">
        <v>421.11134410430333</v>
      </c>
      <c r="C688">
        <v>423.45845195675349</v>
      </c>
      <c r="D688">
        <v>405.65949353923975</v>
      </c>
      <c r="E688">
        <v>406.73526000976563</v>
      </c>
      <c r="F688">
        <v>3828064</v>
      </c>
      <c r="G688">
        <v>0</v>
      </c>
      <c r="H688">
        <v>0</v>
      </c>
      <c r="N688">
        <v>415.9</v>
      </c>
    </row>
    <row r="689" spans="1:14" x14ac:dyDescent="0.25">
      <c r="A689" s="1">
        <v>44120</v>
      </c>
      <c r="B689">
        <v>404.48598541772776</v>
      </c>
      <c r="C689">
        <v>422.67612489193584</v>
      </c>
      <c r="D689">
        <v>402.2366499266941</v>
      </c>
      <c r="E689">
        <v>420.915771484375</v>
      </c>
      <c r="F689">
        <v>6973034</v>
      </c>
      <c r="G689">
        <v>0</v>
      </c>
      <c r="H689">
        <v>0</v>
      </c>
      <c r="N689">
        <v>430.4</v>
      </c>
    </row>
    <row r="690" spans="1:14" x14ac:dyDescent="0.25">
      <c r="A690" s="1">
        <v>44123</v>
      </c>
      <c r="B690">
        <v>426.29457669535043</v>
      </c>
      <c r="C690">
        <v>426.29457669535043</v>
      </c>
      <c r="D690">
        <v>410.54934755382254</v>
      </c>
      <c r="E690">
        <v>413.38546752929688</v>
      </c>
      <c r="F690">
        <v>3621498</v>
      </c>
      <c r="G690">
        <v>0</v>
      </c>
      <c r="H690">
        <v>0</v>
      </c>
      <c r="N690">
        <v>422.7</v>
      </c>
    </row>
    <row r="691" spans="1:14" x14ac:dyDescent="0.25">
      <c r="A691" s="1">
        <v>44124</v>
      </c>
      <c r="B691">
        <v>410.74493391825592</v>
      </c>
      <c r="C691">
        <v>421.45365306202058</v>
      </c>
      <c r="D691">
        <v>408.15333494707676</v>
      </c>
      <c r="E691">
        <v>418.76425170898438</v>
      </c>
      <c r="F691">
        <v>4544341</v>
      </c>
      <c r="G691">
        <v>0</v>
      </c>
      <c r="H691">
        <v>0</v>
      </c>
      <c r="N691">
        <v>428.2</v>
      </c>
    </row>
    <row r="692" spans="1:14" x14ac:dyDescent="0.25">
      <c r="A692" s="1">
        <v>44125</v>
      </c>
      <c r="B692">
        <v>418.76425671800126</v>
      </c>
      <c r="C692">
        <v>422.92060431331851</v>
      </c>
      <c r="D692">
        <v>408.88681293422798</v>
      </c>
      <c r="E692">
        <v>416.95501708984375</v>
      </c>
      <c r="F692">
        <v>3562497</v>
      </c>
      <c r="G692">
        <v>0</v>
      </c>
      <c r="H692">
        <v>0</v>
      </c>
      <c r="N692">
        <v>426.35</v>
      </c>
    </row>
    <row r="693" spans="1:14" x14ac:dyDescent="0.25">
      <c r="A693" s="1">
        <v>44126</v>
      </c>
      <c r="B693">
        <v>415.63474555910619</v>
      </c>
      <c r="C693">
        <v>417.73736242056248</v>
      </c>
      <c r="D693">
        <v>406.4418889204652</v>
      </c>
      <c r="E693">
        <v>416.27041625976563</v>
      </c>
      <c r="F693">
        <v>2951109</v>
      </c>
      <c r="G693">
        <v>0</v>
      </c>
      <c r="H693">
        <v>0</v>
      </c>
      <c r="N693">
        <v>425.65</v>
      </c>
    </row>
    <row r="694" spans="1:14" x14ac:dyDescent="0.25">
      <c r="A694" s="1">
        <v>44127</v>
      </c>
      <c r="B694">
        <v>418.56861319864072</v>
      </c>
      <c r="C694">
        <v>425.07206815899326</v>
      </c>
      <c r="D694">
        <v>413.72767921543181</v>
      </c>
      <c r="E694">
        <v>414.95013427734375</v>
      </c>
      <c r="F694">
        <v>4441774</v>
      </c>
      <c r="G694">
        <v>0</v>
      </c>
      <c r="H694">
        <v>0</v>
      </c>
      <c r="N694">
        <v>424.3</v>
      </c>
    </row>
    <row r="695" spans="1:14" x14ac:dyDescent="0.25">
      <c r="A695" s="1">
        <v>44130</v>
      </c>
      <c r="B695">
        <v>416.12372507964915</v>
      </c>
      <c r="C695">
        <v>420.52456353525059</v>
      </c>
      <c r="D695">
        <v>405.36611996595667</v>
      </c>
      <c r="E695">
        <v>409.62026977539063</v>
      </c>
      <c r="F695">
        <v>2709889</v>
      </c>
      <c r="G695">
        <v>0</v>
      </c>
      <c r="H695">
        <v>0</v>
      </c>
      <c r="N695">
        <v>418.85</v>
      </c>
    </row>
    <row r="696" spans="1:14" x14ac:dyDescent="0.25">
      <c r="A696" s="1">
        <v>44131</v>
      </c>
      <c r="B696">
        <v>410.74497191373968</v>
      </c>
      <c r="C696">
        <v>415.34141568033795</v>
      </c>
      <c r="D696">
        <v>406.97980370217715</v>
      </c>
      <c r="E696">
        <v>414.1678466796875</v>
      </c>
      <c r="F696">
        <v>2410795</v>
      </c>
      <c r="G696">
        <v>0</v>
      </c>
      <c r="H696">
        <v>0</v>
      </c>
      <c r="N696">
        <v>423.5</v>
      </c>
    </row>
    <row r="697" spans="1:14" x14ac:dyDescent="0.25">
      <c r="A697" s="1">
        <v>44132</v>
      </c>
      <c r="B697">
        <v>415.63475140533995</v>
      </c>
      <c r="C697">
        <v>418.37303900597186</v>
      </c>
      <c r="D697">
        <v>407.71323605659535</v>
      </c>
      <c r="E697">
        <v>409.27798461914063</v>
      </c>
      <c r="F697">
        <v>2577321</v>
      </c>
      <c r="G697">
        <v>0</v>
      </c>
      <c r="H697">
        <v>0</v>
      </c>
      <c r="N697">
        <v>418.5</v>
      </c>
    </row>
    <row r="698" spans="1:14" x14ac:dyDescent="0.25">
      <c r="A698" s="1">
        <v>44133</v>
      </c>
      <c r="B698">
        <v>407.81106223069804</v>
      </c>
      <c r="C698">
        <v>410.74495476473186</v>
      </c>
      <c r="D698">
        <v>398.52040253959103</v>
      </c>
      <c r="E698">
        <v>402.0899658203125</v>
      </c>
      <c r="F698">
        <v>2429592</v>
      </c>
      <c r="G698">
        <v>0</v>
      </c>
      <c r="H698">
        <v>0</v>
      </c>
      <c r="N698">
        <v>411.15</v>
      </c>
    </row>
    <row r="699" spans="1:14" x14ac:dyDescent="0.25">
      <c r="A699" s="1">
        <v>44134</v>
      </c>
      <c r="B699">
        <v>403.99702512429741</v>
      </c>
      <c r="C699">
        <v>409.76700805146766</v>
      </c>
      <c r="D699">
        <v>399.40058135369941</v>
      </c>
      <c r="E699">
        <v>408.49566650390625</v>
      </c>
      <c r="F699">
        <v>2527504</v>
      </c>
      <c r="G699">
        <v>0</v>
      </c>
      <c r="H699">
        <v>0</v>
      </c>
      <c r="N699">
        <v>417.7</v>
      </c>
    </row>
    <row r="700" spans="1:14" x14ac:dyDescent="0.25">
      <c r="A700" s="1">
        <v>44137</v>
      </c>
      <c r="B700">
        <v>408.78899426055494</v>
      </c>
      <c r="C700">
        <v>414.11891054959813</v>
      </c>
      <c r="D700">
        <v>395.09749684512968</v>
      </c>
      <c r="E700">
        <v>401.6009521484375</v>
      </c>
      <c r="F700">
        <v>2958688</v>
      </c>
      <c r="G700">
        <v>0</v>
      </c>
      <c r="H700">
        <v>0</v>
      </c>
      <c r="N700">
        <v>410.65</v>
      </c>
    </row>
    <row r="701" spans="1:14" x14ac:dyDescent="0.25">
      <c r="A701" s="1">
        <v>44138</v>
      </c>
      <c r="B701">
        <v>410.74495037450538</v>
      </c>
      <c r="C701">
        <v>453.77537374707259</v>
      </c>
      <c r="D701">
        <v>406.83309370427202</v>
      </c>
      <c r="E701">
        <v>428.00601196289063</v>
      </c>
      <c r="F701">
        <v>30218448</v>
      </c>
      <c r="G701">
        <v>0</v>
      </c>
      <c r="H701">
        <v>0</v>
      </c>
      <c r="N701">
        <v>437.65</v>
      </c>
    </row>
    <row r="702" spans="1:14" x14ac:dyDescent="0.25">
      <c r="A702" s="1">
        <v>44139</v>
      </c>
      <c r="B702">
        <v>427.3214370846627</v>
      </c>
      <c r="C702">
        <v>434.60725192126495</v>
      </c>
      <c r="D702">
        <v>423.0672871646471</v>
      </c>
      <c r="E702">
        <v>429.61962890625</v>
      </c>
      <c r="F702">
        <v>6349693</v>
      </c>
      <c r="G702">
        <v>0</v>
      </c>
      <c r="H702">
        <v>0</v>
      </c>
      <c r="N702">
        <v>439.3</v>
      </c>
    </row>
    <row r="703" spans="1:14" x14ac:dyDescent="0.25">
      <c r="A703" s="1">
        <v>44140</v>
      </c>
      <c r="B703">
        <v>436.1720146845434</v>
      </c>
      <c r="C703">
        <v>439.88826654874936</v>
      </c>
      <c r="D703">
        <v>427.61482829779504</v>
      </c>
      <c r="E703">
        <v>433.14031982421875</v>
      </c>
      <c r="F703">
        <v>5283605</v>
      </c>
      <c r="G703">
        <v>0</v>
      </c>
      <c r="H703">
        <v>0</v>
      </c>
      <c r="N703">
        <v>442.9</v>
      </c>
    </row>
    <row r="704" spans="1:14" x14ac:dyDescent="0.25">
      <c r="A704" s="1">
        <v>44141</v>
      </c>
      <c r="B704">
        <v>433.14029008326418</v>
      </c>
      <c r="C704">
        <v>434.55834995373817</v>
      </c>
      <c r="D704">
        <v>420.91573894157631</v>
      </c>
      <c r="E704">
        <v>422.77386474609375</v>
      </c>
      <c r="F704">
        <v>4204221</v>
      </c>
      <c r="G704">
        <v>0</v>
      </c>
      <c r="H704">
        <v>0</v>
      </c>
      <c r="N704">
        <v>432.3</v>
      </c>
    </row>
    <row r="705" spans="1:14" x14ac:dyDescent="0.25">
      <c r="A705" s="1">
        <v>44144</v>
      </c>
      <c r="B705">
        <v>426.4901461483322</v>
      </c>
      <c r="C705">
        <v>429.2284336656989</v>
      </c>
      <c r="D705">
        <v>419.54659513167928</v>
      </c>
      <c r="E705">
        <v>427.95709228515625</v>
      </c>
      <c r="F705">
        <v>4111210</v>
      </c>
      <c r="G705">
        <v>0</v>
      </c>
      <c r="H705">
        <v>0</v>
      </c>
      <c r="N705">
        <v>437.6</v>
      </c>
    </row>
    <row r="706" spans="1:14" x14ac:dyDescent="0.25">
      <c r="A706" s="1">
        <v>44145</v>
      </c>
      <c r="B706">
        <v>430.30425071704013</v>
      </c>
      <c r="C706">
        <v>430.30425071704013</v>
      </c>
      <c r="D706">
        <v>397.29795875863078</v>
      </c>
      <c r="E706">
        <v>400.3785400390625</v>
      </c>
      <c r="F706">
        <v>7148283</v>
      </c>
      <c r="G706">
        <v>0</v>
      </c>
      <c r="H706">
        <v>0</v>
      </c>
      <c r="N706">
        <v>409.4</v>
      </c>
    </row>
    <row r="707" spans="1:14" x14ac:dyDescent="0.25">
      <c r="A707" s="1">
        <v>44146</v>
      </c>
      <c r="B707">
        <v>405.75730057430991</v>
      </c>
      <c r="C707">
        <v>409.76695936769079</v>
      </c>
      <c r="D707">
        <v>402.04104891903751</v>
      </c>
      <c r="E707">
        <v>407.27316284179688</v>
      </c>
      <c r="F707">
        <v>5861723</v>
      </c>
      <c r="G707">
        <v>0</v>
      </c>
      <c r="H707">
        <v>0</v>
      </c>
      <c r="N707">
        <v>416.45</v>
      </c>
    </row>
    <row r="708" spans="1:14" x14ac:dyDescent="0.25">
      <c r="A708" s="1">
        <v>44147</v>
      </c>
      <c r="B708">
        <v>409.18020119093956</v>
      </c>
      <c r="C708">
        <v>425.80559201722849</v>
      </c>
      <c r="D708">
        <v>404.73047617253076</v>
      </c>
      <c r="E708">
        <v>416.66162109375</v>
      </c>
      <c r="F708">
        <v>9036176</v>
      </c>
      <c r="G708">
        <v>0</v>
      </c>
      <c r="H708">
        <v>0</v>
      </c>
      <c r="N708">
        <v>426.05</v>
      </c>
    </row>
    <row r="709" spans="1:14" x14ac:dyDescent="0.25">
      <c r="A709" s="1">
        <v>44148</v>
      </c>
      <c r="B709">
        <v>418.51974870457047</v>
      </c>
      <c r="C709">
        <v>423.21396444845607</v>
      </c>
      <c r="D709">
        <v>414.75458094900813</v>
      </c>
      <c r="E709">
        <v>416.22152709960938</v>
      </c>
      <c r="F709">
        <v>5443702</v>
      </c>
      <c r="G709">
        <v>0</v>
      </c>
      <c r="H709">
        <v>0</v>
      </c>
      <c r="N709">
        <v>425.6</v>
      </c>
    </row>
    <row r="710" spans="1:14" x14ac:dyDescent="0.25">
      <c r="A710" s="1">
        <v>44149</v>
      </c>
      <c r="B710">
        <v>418.56862157378424</v>
      </c>
      <c r="C710">
        <v>420.52454971197949</v>
      </c>
      <c r="D710">
        <v>417.93295089788973</v>
      </c>
      <c r="E710">
        <v>419.79107666015625</v>
      </c>
      <c r="F710">
        <v>453603</v>
      </c>
      <c r="G710">
        <v>0</v>
      </c>
      <c r="H710">
        <v>0</v>
      </c>
      <c r="N710">
        <v>0</v>
      </c>
    </row>
    <row r="711" spans="1:14" x14ac:dyDescent="0.25">
      <c r="A711" s="1">
        <v>44152</v>
      </c>
      <c r="B711">
        <v>422.48048546980635</v>
      </c>
      <c r="C711">
        <v>424.38752737697905</v>
      </c>
      <c r="D711">
        <v>416.61270094939238</v>
      </c>
      <c r="E711">
        <v>420.37786865234375</v>
      </c>
      <c r="F711">
        <v>3849920</v>
      </c>
      <c r="G711">
        <v>0</v>
      </c>
      <c r="H711">
        <v>0</v>
      </c>
      <c r="N711">
        <v>429.85</v>
      </c>
    </row>
    <row r="712" spans="1:14" x14ac:dyDescent="0.25">
      <c r="A712" s="1">
        <v>44153</v>
      </c>
      <c r="B712">
        <v>420.32895321435939</v>
      </c>
      <c r="C712">
        <v>426.19673774417413</v>
      </c>
      <c r="D712">
        <v>416.27040821692327</v>
      </c>
      <c r="E712">
        <v>419.44879150390625</v>
      </c>
      <c r="F712">
        <v>3341326</v>
      </c>
      <c r="G712">
        <v>0</v>
      </c>
      <c r="H712">
        <v>0</v>
      </c>
      <c r="N712">
        <v>428.9</v>
      </c>
    </row>
    <row r="713" spans="1:14" x14ac:dyDescent="0.25">
      <c r="A713" s="1">
        <v>44154</v>
      </c>
      <c r="B713">
        <v>421.06244898323627</v>
      </c>
      <c r="C713">
        <v>429.17956926085913</v>
      </c>
      <c r="D713">
        <v>417.68849060373458</v>
      </c>
      <c r="E713">
        <v>421.20916748046875</v>
      </c>
      <c r="F713">
        <v>3614608</v>
      </c>
      <c r="G713">
        <v>0</v>
      </c>
      <c r="H713">
        <v>0</v>
      </c>
      <c r="N713">
        <v>430.7</v>
      </c>
    </row>
    <row r="714" spans="1:14" x14ac:dyDescent="0.25">
      <c r="A714" s="1">
        <v>44155</v>
      </c>
      <c r="B714">
        <v>424.43643205495403</v>
      </c>
      <c r="C714">
        <v>424.8276117375982</v>
      </c>
      <c r="D714">
        <v>414.36341346265624</v>
      </c>
      <c r="E714">
        <v>416.4171142578125</v>
      </c>
      <c r="F714">
        <v>2797173</v>
      </c>
      <c r="G714">
        <v>0</v>
      </c>
      <c r="H714">
        <v>0</v>
      </c>
      <c r="N714">
        <v>425.8</v>
      </c>
    </row>
    <row r="715" spans="1:14" x14ac:dyDescent="0.25">
      <c r="A715" s="1">
        <v>44158</v>
      </c>
      <c r="B715">
        <v>420.18230080521988</v>
      </c>
      <c r="C715">
        <v>428.20161895889686</v>
      </c>
      <c r="D715">
        <v>415.73257575775278</v>
      </c>
      <c r="E715">
        <v>423.31179809570313</v>
      </c>
      <c r="F715">
        <v>3744377</v>
      </c>
      <c r="G715">
        <v>0</v>
      </c>
      <c r="H715">
        <v>0</v>
      </c>
      <c r="N715">
        <v>432.85</v>
      </c>
    </row>
    <row r="716" spans="1:14" x14ac:dyDescent="0.25">
      <c r="A716" s="1">
        <v>44159</v>
      </c>
      <c r="B716">
        <v>422.48049915406352</v>
      </c>
      <c r="C716">
        <v>424.63203215260887</v>
      </c>
      <c r="D716">
        <v>416.12373238438437</v>
      </c>
      <c r="E716">
        <v>419.6444091796875</v>
      </c>
      <c r="F716">
        <v>3001559</v>
      </c>
      <c r="G716">
        <v>0</v>
      </c>
      <c r="H716">
        <v>0</v>
      </c>
      <c r="N716">
        <v>429.1</v>
      </c>
    </row>
    <row r="717" spans="1:14" x14ac:dyDescent="0.25">
      <c r="A717" s="1">
        <v>44160</v>
      </c>
      <c r="B717">
        <v>421.99152491016321</v>
      </c>
      <c r="C717">
        <v>422.82280039522811</v>
      </c>
      <c r="D717">
        <v>410.30484154066107</v>
      </c>
      <c r="E717">
        <v>412.21188354492188</v>
      </c>
      <c r="F717">
        <v>2533722</v>
      </c>
      <c r="G717">
        <v>0</v>
      </c>
      <c r="H717">
        <v>0</v>
      </c>
      <c r="N717">
        <v>421.5</v>
      </c>
    </row>
    <row r="718" spans="1:14" x14ac:dyDescent="0.25">
      <c r="A718" s="1">
        <v>44161</v>
      </c>
      <c r="B718">
        <v>412.70088537834357</v>
      </c>
      <c r="C718">
        <v>417.39510152043704</v>
      </c>
      <c r="D718">
        <v>408.88683103225532</v>
      </c>
      <c r="E718">
        <v>412.9942626953125</v>
      </c>
      <c r="F718">
        <v>2587875</v>
      </c>
      <c r="G718">
        <v>0</v>
      </c>
      <c r="H718">
        <v>0</v>
      </c>
      <c r="N718">
        <v>422.3</v>
      </c>
    </row>
    <row r="719" spans="1:14" x14ac:dyDescent="0.25">
      <c r="A719" s="1">
        <v>44162</v>
      </c>
      <c r="B719">
        <v>429.32629284249913</v>
      </c>
      <c r="C719">
        <v>448.88557725445804</v>
      </c>
      <c r="D719">
        <v>422.67614808047284</v>
      </c>
      <c r="E719">
        <v>440.18170166015625</v>
      </c>
      <c r="F719">
        <v>19534886</v>
      </c>
      <c r="G719">
        <v>0</v>
      </c>
      <c r="H719">
        <v>0</v>
      </c>
      <c r="N719">
        <v>450.1</v>
      </c>
    </row>
    <row r="720" spans="1:14" x14ac:dyDescent="0.25">
      <c r="A720" s="1">
        <v>44166</v>
      </c>
      <c r="B720">
        <v>448.9833590789637</v>
      </c>
      <c r="C720">
        <v>449.27673639366458</v>
      </c>
      <c r="D720">
        <v>432.55354301845887</v>
      </c>
      <c r="E720">
        <v>443.6534423828125</v>
      </c>
      <c r="F720">
        <v>6867503</v>
      </c>
      <c r="G720">
        <v>0</v>
      </c>
      <c r="H720">
        <v>0</v>
      </c>
      <c r="N720">
        <v>453.65</v>
      </c>
    </row>
    <row r="721" spans="1:14" x14ac:dyDescent="0.25">
      <c r="A721" s="1">
        <v>44167</v>
      </c>
      <c r="B721">
        <v>443.01774392772614</v>
      </c>
      <c r="C721">
        <v>445.80494762344301</v>
      </c>
      <c r="D721">
        <v>435.29183339116253</v>
      </c>
      <c r="E721">
        <v>440.8662109375</v>
      </c>
      <c r="F721">
        <v>2976254</v>
      </c>
      <c r="G721">
        <v>0</v>
      </c>
      <c r="H721">
        <v>0</v>
      </c>
      <c r="N721">
        <v>450.8</v>
      </c>
    </row>
    <row r="722" spans="1:14" x14ac:dyDescent="0.25">
      <c r="A722" s="1">
        <v>44168</v>
      </c>
      <c r="B722">
        <v>440.86621661676304</v>
      </c>
      <c r="C722">
        <v>453.57975027073911</v>
      </c>
      <c r="D722">
        <v>440.86621661676304</v>
      </c>
      <c r="E722">
        <v>452.74850463867188</v>
      </c>
      <c r="F722">
        <v>4514941</v>
      </c>
      <c r="G722">
        <v>0</v>
      </c>
      <c r="H722">
        <v>0</v>
      </c>
      <c r="N722">
        <v>462.95</v>
      </c>
    </row>
    <row r="723" spans="1:14" x14ac:dyDescent="0.25">
      <c r="A723" s="1">
        <v>44169</v>
      </c>
      <c r="B723">
        <v>453.77537792106779</v>
      </c>
      <c r="C723">
        <v>465.31534326636597</v>
      </c>
      <c r="D723">
        <v>447.95647913253202</v>
      </c>
      <c r="E723">
        <v>460.67001342773438</v>
      </c>
      <c r="F723">
        <v>7398943</v>
      </c>
      <c r="G723">
        <v>0</v>
      </c>
      <c r="H723">
        <v>0</v>
      </c>
      <c r="N723">
        <v>471.05</v>
      </c>
    </row>
    <row r="724" spans="1:14" x14ac:dyDescent="0.25">
      <c r="A724" s="1">
        <v>44172</v>
      </c>
      <c r="B724">
        <v>461.50128818965732</v>
      </c>
      <c r="C724">
        <v>470.35188188000933</v>
      </c>
      <c r="D724">
        <v>456.56258104420152</v>
      </c>
      <c r="E724">
        <v>461.59909057617188</v>
      </c>
      <c r="F724">
        <v>5147587</v>
      </c>
      <c r="G724">
        <v>0</v>
      </c>
      <c r="H724">
        <v>0</v>
      </c>
      <c r="N724">
        <v>472</v>
      </c>
    </row>
    <row r="725" spans="1:14" x14ac:dyDescent="0.25">
      <c r="A725" s="1">
        <v>44173</v>
      </c>
      <c r="B725">
        <v>461.59907835008602</v>
      </c>
      <c r="C725">
        <v>465.21755763959806</v>
      </c>
      <c r="D725">
        <v>452.79740100866491</v>
      </c>
      <c r="E725">
        <v>454.80221557617188</v>
      </c>
      <c r="F725">
        <v>3064923</v>
      </c>
      <c r="G725">
        <v>0</v>
      </c>
      <c r="H725">
        <v>0</v>
      </c>
      <c r="N725">
        <v>465.05</v>
      </c>
    </row>
    <row r="726" spans="1:14" x14ac:dyDescent="0.25">
      <c r="A726" s="1">
        <v>44174</v>
      </c>
      <c r="B726">
        <v>458.17620452639682</v>
      </c>
      <c r="C726">
        <v>463.94618704554324</v>
      </c>
      <c r="D726">
        <v>453.18858138964066</v>
      </c>
      <c r="E726">
        <v>457.63833618164063</v>
      </c>
      <c r="F726">
        <v>3655392</v>
      </c>
      <c r="G726">
        <v>0</v>
      </c>
      <c r="H726">
        <v>0</v>
      </c>
      <c r="N726">
        <v>467.95</v>
      </c>
    </row>
    <row r="727" spans="1:14" x14ac:dyDescent="0.25">
      <c r="A727" s="1">
        <v>44175</v>
      </c>
      <c r="B727">
        <v>458.27401591064654</v>
      </c>
      <c r="C727">
        <v>464.97307644240652</v>
      </c>
      <c r="D727">
        <v>453.77537476080857</v>
      </c>
      <c r="E727">
        <v>459.20306396484375</v>
      </c>
      <c r="F727">
        <v>2907247</v>
      </c>
      <c r="G727">
        <v>0</v>
      </c>
      <c r="H727">
        <v>0</v>
      </c>
      <c r="N727">
        <v>469.55</v>
      </c>
    </row>
    <row r="728" spans="1:14" x14ac:dyDescent="0.25">
      <c r="A728" s="1">
        <v>44176</v>
      </c>
      <c r="B728">
        <v>460.57223771423298</v>
      </c>
      <c r="C728">
        <v>462.52816605387073</v>
      </c>
      <c r="D728">
        <v>450.8414822864961</v>
      </c>
      <c r="E728">
        <v>456.36697387695313</v>
      </c>
      <c r="F728">
        <v>1634404</v>
      </c>
      <c r="G728">
        <v>0</v>
      </c>
      <c r="H728">
        <v>0</v>
      </c>
      <c r="N728">
        <v>466.65</v>
      </c>
    </row>
    <row r="729" spans="1:14" x14ac:dyDescent="0.25">
      <c r="A729" s="1">
        <v>44179</v>
      </c>
      <c r="B729">
        <v>458.66518446782919</v>
      </c>
      <c r="C729">
        <v>463.26162789200629</v>
      </c>
      <c r="D729">
        <v>456.26916037212254</v>
      </c>
      <c r="E729">
        <v>459.4964599609375</v>
      </c>
      <c r="F729">
        <v>2084100</v>
      </c>
      <c r="G729">
        <v>0</v>
      </c>
      <c r="H729">
        <v>0</v>
      </c>
      <c r="N729">
        <v>469.85</v>
      </c>
    </row>
    <row r="730" spans="1:14" x14ac:dyDescent="0.25">
      <c r="A730" s="1">
        <v>44180</v>
      </c>
      <c r="B730">
        <v>462.57703447848934</v>
      </c>
      <c r="C730">
        <v>464.97305854014814</v>
      </c>
      <c r="D730">
        <v>454.75332142177069</v>
      </c>
      <c r="E730">
        <v>456.56256103515625</v>
      </c>
      <c r="F730">
        <v>2936032</v>
      </c>
      <c r="G730">
        <v>0</v>
      </c>
      <c r="H730">
        <v>0</v>
      </c>
      <c r="N730">
        <v>466.85</v>
      </c>
    </row>
    <row r="731" spans="1:14" x14ac:dyDescent="0.25">
      <c r="A731" s="1">
        <v>44181</v>
      </c>
      <c r="B731">
        <v>460.62108932527656</v>
      </c>
      <c r="C731">
        <v>462.43032887232488</v>
      </c>
      <c r="D731">
        <v>455.63346646547416</v>
      </c>
      <c r="E731">
        <v>458.6651611328125</v>
      </c>
      <c r="F731">
        <v>2630386</v>
      </c>
      <c r="G731">
        <v>0</v>
      </c>
      <c r="H731">
        <v>0</v>
      </c>
      <c r="N731">
        <v>469</v>
      </c>
    </row>
    <row r="732" spans="1:14" x14ac:dyDescent="0.25">
      <c r="A732" s="1">
        <v>44182</v>
      </c>
      <c r="B732">
        <v>458.66520722338657</v>
      </c>
      <c r="C732">
        <v>470.40077755746046</v>
      </c>
      <c r="D732">
        <v>457.78504541735077</v>
      </c>
      <c r="E732">
        <v>464.58187866210938</v>
      </c>
      <c r="F732">
        <v>4533593</v>
      </c>
      <c r="G732">
        <v>0</v>
      </c>
      <c r="H732">
        <v>0</v>
      </c>
      <c r="N732">
        <v>475.05</v>
      </c>
    </row>
    <row r="733" spans="1:14" x14ac:dyDescent="0.25">
      <c r="A733" s="1">
        <v>44183</v>
      </c>
      <c r="B733">
        <v>464.92414837359797</v>
      </c>
      <c r="C733">
        <v>468.88492106628439</v>
      </c>
      <c r="D733">
        <v>459.6431479617799</v>
      </c>
      <c r="E733">
        <v>466.09771728515625</v>
      </c>
      <c r="F733">
        <v>2439589</v>
      </c>
      <c r="G733">
        <v>0</v>
      </c>
      <c r="H733">
        <v>0</v>
      </c>
      <c r="N733">
        <v>476.6</v>
      </c>
    </row>
    <row r="734" spans="1:14" x14ac:dyDescent="0.25">
      <c r="A734" s="1">
        <v>44186</v>
      </c>
      <c r="B734">
        <v>466.09770762059452</v>
      </c>
      <c r="C734">
        <v>475.04607338911597</v>
      </c>
      <c r="D734">
        <v>419.49772306569952</v>
      </c>
      <c r="E734">
        <v>442.8221435546875</v>
      </c>
      <c r="F734">
        <v>7647410</v>
      </c>
      <c r="G734">
        <v>0</v>
      </c>
      <c r="H734">
        <v>0</v>
      </c>
      <c r="N734">
        <v>452.8</v>
      </c>
    </row>
    <row r="735" spans="1:14" x14ac:dyDescent="0.25">
      <c r="A735" s="1">
        <v>44187</v>
      </c>
      <c r="B735">
        <v>444.97366659227851</v>
      </c>
      <c r="C735">
        <v>460.47440358434739</v>
      </c>
      <c r="D735">
        <v>429.13063619535023</v>
      </c>
      <c r="E735">
        <v>458.71405029296875</v>
      </c>
      <c r="F735">
        <v>4489020</v>
      </c>
      <c r="G735">
        <v>0</v>
      </c>
      <c r="H735">
        <v>0</v>
      </c>
      <c r="N735">
        <v>469.05</v>
      </c>
    </row>
    <row r="736" spans="1:14" x14ac:dyDescent="0.25">
      <c r="A736" s="1">
        <v>44188</v>
      </c>
      <c r="B736">
        <v>456.95373702199834</v>
      </c>
      <c r="C736">
        <v>468.68930651212992</v>
      </c>
      <c r="D736">
        <v>454.80220401076895</v>
      </c>
      <c r="E736">
        <v>464.532958984375</v>
      </c>
      <c r="F736">
        <v>3377709</v>
      </c>
      <c r="G736">
        <v>0</v>
      </c>
      <c r="H736">
        <v>0</v>
      </c>
      <c r="N736">
        <v>475</v>
      </c>
    </row>
    <row r="737" spans="1:14" x14ac:dyDescent="0.25">
      <c r="A737" s="1">
        <v>44189</v>
      </c>
      <c r="B737">
        <v>467.27127751099579</v>
      </c>
      <c r="C737">
        <v>480.86500361256981</v>
      </c>
      <c r="D737">
        <v>459.64316877573577</v>
      </c>
      <c r="E737">
        <v>478.71347045898438</v>
      </c>
      <c r="F737">
        <v>5254900</v>
      </c>
      <c r="G737">
        <v>0</v>
      </c>
      <c r="H737">
        <v>0</v>
      </c>
      <c r="N737">
        <v>489.5</v>
      </c>
    </row>
    <row r="738" spans="1:14" x14ac:dyDescent="0.25">
      <c r="A738" s="1">
        <v>44193</v>
      </c>
      <c r="B738">
        <v>485.51034232569987</v>
      </c>
      <c r="C738">
        <v>488.24863016625915</v>
      </c>
      <c r="D738">
        <v>473.3346760149613</v>
      </c>
      <c r="E738">
        <v>476.95315551757813</v>
      </c>
      <c r="F738">
        <v>6453108</v>
      </c>
      <c r="G738">
        <v>0</v>
      </c>
      <c r="H738">
        <v>0</v>
      </c>
      <c r="N738">
        <v>487.7</v>
      </c>
    </row>
    <row r="739" spans="1:14" x14ac:dyDescent="0.25">
      <c r="A739" s="1">
        <v>44194</v>
      </c>
      <c r="B739">
        <v>477.24652415708044</v>
      </c>
      <c r="C739">
        <v>479.69143462919664</v>
      </c>
      <c r="D739">
        <v>466.58672046767356</v>
      </c>
      <c r="E739">
        <v>468.78713989257813</v>
      </c>
      <c r="F739">
        <v>3004757</v>
      </c>
      <c r="G739">
        <v>0</v>
      </c>
      <c r="H739">
        <v>0</v>
      </c>
      <c r="N739">
        <v>479.35</v>
      </c>
    </row>
    <row r="740" spans="1:14" x14ac:dyDescent="0.25">
      <c r="A740" s="1">
        <v>44195</v>
      </c>
      <c r="B740">
        <v>472.25890082494368</v>
      </c>
      <c r="C740">
        <v>472.25890082494368</v>
      </c>
      <c r="D740">
        <v>465.31534911511403</v>
      </c>
      <c r="E740">
        <v>468.78713989257813</v>
      </c>
      <c r="F740">
        <v>1839434</v>
      </c>
      <c r="G740">
        <v>0</v>
      </c>
      <c r="H740">
        <v>0</v>
      </c>
      <c r="N740">
        <v>479.35</v>
      </c>
    </row>
    <row r="741" spans="1:14" x14ac:dyDescent="0.25">
      <c r="A741" s="1">
        <v>44196</v>
      </c>
      <c r="B741">
        <v>469.42279881685891</v>
      </c>
      <c r="C741">
        <v>476.26854796627146</v>
      </c>
      <c r="D741">
        <v>463.99510964357813</v>
      </c>
      <c r="E741">
        <v>466.24441528320313</v>
      </c>
      <c r="F741">
        <v>3322247</v>
      </c>
      <c r="G741">
        <v>0</v>
      </c>
      <c r="H741">
        <v>0</v>
      </c>
      <c r="N741">
        <v>476.75</v>
      </c>
    </row>
    <row r="742" spans="1:14" x14ac:dyDescent="0.25">
      <c r="A742" s="1">
        <v>44197</v>
      </c>
      <c r="B742">
        <v>467.22239198936529</v>
      </c>
      <c r="C742">
        <v>472.21001532970001</v>
      </c>
      <c r="D742">
        <v>466.24442779891137</v>
      </c>
      <c r="E742">
        <v>467.85806274414063</v>
      </c>
      <c r="F742">
        <v>1774666</v>
      </c>
      <c r="G742">
        <v>0</v>
      </c>
      <c r="H742">
        <v>0</v>
      </c>
      <c r="N742">
        <v>478.4</v>
      </c>
    </row>
    <row r="743" spans="1:14" x14ac:dyDescent="0.25">
      <c r="A743" s="1">
        <v>44200</v>
      </c>
      <c r="B743">
        <v>483.11429629971224</v>
      </c>
      <c r="C743">
        <v>483.11429629971224</v>
      </c>
      <c r="D743">
        <v>468.54263624673638</v>
      </c>
      <c r="E743">
        <v>475.6817626953125</v>
      </c>
      <c r="F743">
        <v>6212355</v>
      </c>
      <c r="G743">
        <v>0</v>
      </c>
      <c r="H743">
        <v>0</v>
      </c>
      <c r="N743">
        <v>486.4</v>
      </c>
    </row>
    <row r="744" spans="1:14" x14ac:dyDescent="0.25">
      <c r="A744" s="1">
        <v>44201</v>
      </c>
      <c r="B744">
        <v>473.33465072621283</v>
      </c>
      <c r="C744">
        <v>478.71345357537433</v>
      </c>
      <c r="D744">
        <v>469.66728514723906</v>
      </c>
      <c r="E744">
        <v>475.14389038085938</v>
      </c>
      <c r="F744">
        <v>2211146</v>
      </c>
      <c r="G744">
        <v>0</v>
      </c>
      <c r="H744">
        <v>0</v>
      </c>
      <c r="N744">
        <v>485.85</v>
      </c>
    </row>
    <row r="745" spans="1:14" x14ac:dyDescent="0.25">
      <c r="A745" s="1">
        <v>44202</v>
      </c>
      <c r="B745">
        <v>475.2905543978041</v>
      </c>
      <c r="C745">
        <v>476.95310531213107</v>
      </c>
      <c r="D745">
        <v>464.87524266242696</v>
      </c>
      <c r="E745">
        <v>470.98751831054688</v>
      </c>
      <c r="F745">
        <v>1926225</v>
      </c>
      <c r="G745">
        <v>0</v>
      </c>
      <c r="H745">
        <v>0</v>
      </c>
      <c r="N745">
        <v>481.6</v>
      </c>
    </row>
    <row r="746" spans="1:14" x14ac:dyDescent="0.25">
      <c r="A746" s="1">
        <v>44203</v>
      </c>
      <c r="B746">
        <v>473.8236158392682</v>
      </c>
      <c r="C746">
        <v>475.24167575040673</v>
      </c>
      <c r="D746">
        <v>468.00471739092279</v>
      </c>
      <c r="E746">
        <v>471.57431030273438</v>
      </c>
      <c r="F746">
        <v>2064672</v>
      </c>
      <c r="G746">
        <v>0</v>
      </c>
      <c r="H746">
        <v>0</v>
      </c>
      <c r="N746">
        <v>482.2</v>
      </c>
    </row>
    <row r="747" spans="1:14" x14ac:dyDescent="0.25">
      <c r="A747" s="1">
        <v>44204</v>
      </c>
      <c r="B747">
        <v>474.31263140910823</v>
      </c>
      <c r="C747">
        <v>478.61566786936703</v>
      </c>
      <c r="D747">
        <v>472.84568512639964</v>
      </c>
      <c r="E747">
        <v>474.45932006835938</v>
      </c>
      <c r="F747">
        <v>2216314</v>
      </c>
      <c r="G747">
        <v>0</v>
      </c>
      <c r="H747">
        <v>0</v>
      </c>
      <c r="N747">
        <v>485.15</v>
      </c>
    </row>
    <row r="748" spans="1:14" x14ac:dyDescent="0.25">
      <c r="A748" s="1">
        <v>44207</v>
      </c>
      <c r="B748">
        <v>476.26852086859566</v>
      </c>
      <c r="C748">
        <v>485.0213115782438</v>
      </c>
      <c r="D748">
        <v>472.11217340721674</v>
      </c>
      <c r="E748">
        <v>482.82089233398438</v>
      </c>
      <c r="F748">
        <v>5043283</v>
      </c>
      <c r="G748">
        <v>0</v>
      </c>
      <c r="H748">
        <v>0</v>
      </c>
      <c r="N748">
        <v>493.7</v>
      </c>
    </row>
    <row r="749" spans="1:14" x14ac:dyDescent="0.25">
      <c r="A749" s="1">
        <v>44208</v>
      </c>
      <c r="B749">
        <v>485.07023038452894</v>
      </c>
      <c r="C749">
        <v>486.29268560223187</v>
      </c>
      <c r="D749">
        <v>478.66457698180471</v>
      </c>
      <c r="E749">
        <v>479.54473876953125</v>
      </c>
      <c r="F749">
        <v>2534905</v>
      </c>
      <c r="G749">
        <v>0</v>
      </c>
      <c r="H749">
        <v>0</v>
      </c>
      <c r="N749">
        <v>490.35</v>
      </c>
    </row>
    <row r="750" spans="1:14" x14ac:dyDescent="0.25">
      <c r="A750" s="1">
        <v>44209</v>
      </c>
      <c r="B750">
        <v>482.13631178971673</v>
      </c>
      <c r="C750">
        <v>483.60325797163273</v>
      </c>
      <c r="D750">
        <v>471.03641304419989</v>
      </c>
      <c r="E750">
        <v>476.31741333007813</v>
      </c>
      <c r="F750">
        <v>2727835</v>
      </c>
      <c r="G750">
        <v>0</v>
      </c>
      <c r="H750">
        <v>0</v>
      </c>
      <c r="N750">
        <v>487.05</v>
      </c>
    </row>
    <row r="751" spans="1:14" x14ac:dyDescent="0.25">
      <c r="A751" s="1">
        <v>44210</v>
      </c>
      <c r="B751">
        <v>476.26855637826156</v>
      </c>
      <c r="C751">
        <v>493.77410925764207</v>
      </c>
      <c r="D751">
        <v>472.35669965236207</v>
      </c>
      <c r="E751">
        <v>492.3560791015625</v>
      </c>
      <c r="F751">
        <v>4909904</v>
      </c>
      <c r="G751">
        <v>0</v>
      </c>
      <c r="H751">
        <v>0</v>
      </c>
      <c r="N751">
        <v>503.45</v>
      </c>
    </row>
    <row r="752" spans="1:14" x14ac:dyDescent="0.25">
      <c r="A752" s="1">
        <v>44211</v>
      </c>
      <c r="B752">
        <v>494.84983123991583</v>
      </c>
      <c r="C752">
        <v>497.97932827670456</v>
      </c>
      <c r="D752">
        <v>474.55707630270587</v>
      </c>
      <c r="E752">
        <v>477.05087280273438</v>
      </c>
      <c r="F752">
        <v>6378475</v>
      </c>
      <c r="G752">
        <v>0</v>
      </c>
      <c r="H752">
        <v>0</v>
      </c>
      <c r="N752">
        <v>487.8</v>
      </c>
    </row>
    <row r="753" spans="1:14" x14ac:dyDescent="0.25">
      <c r="A753" s="1">
        <v>44214</v>
      </c>
      <c r="B753">
        <v>474.31258912388091</v>
      </c>
      <c r="C753">
        <v>477.05087666944434</v>
      </c>
      <c r="D753">
        <v>457.05152870519595</v>
      </c>
      <c r="E753">
        <v>462.47921752929688</v>
      </c>
      <c r="F753">
        <v>3221146</v>
      </c>
      <c r="G753">
        <v>0</v>
      </c>
      <c r="H753">
        <v>0</v>
      </c>
      <c r="N753">
        <v>472.9</v>
      </c>
    </row>
    <row r="754" spans="1:14" x14ac:dyDescent="0.25">
      <c r="A754" s="1">
        <v>44215</v>
      </c>
      <c r="B754">
        <v>463.65280138413704</v>
      </c>
      <c r="C754">
        <v>476.26853272972437</v>
      </c>
      <c r="D754">
        <v>463.65280138413704</v>
      </c>
      <c r="E754">
        <v>474.50820922851563</v>
      </c>
      <c r="F754">
        <v>2112198</v>
      </c>
      <c r="G754">
        <v>0</v>
      </c>
      <c r="H754">
        <v>0</v>
      </c>
      <c r="N754">
        <v>485.2</v>
      </c>
    </row>
    <row r="755" spans="1:14" x14ac:dyDescent="0.25">
      <c r="A755" s="1">
        <v>44216</v>
      </c>
      <c r="B755">
        <v>472.8456604281173</v>
      </c>
      <c r="C755">
        <v>478.02885841824605</v>
      </c>
      <c r="D755">
        <v>471.4765166047905</v>
      </c>
      <c r="E755">
        <v>475.48617553710938</v>
      </c>
      <c r="F755">
        <v>1394499</v>
      </c>
      <c r="G755">
        <v>0</v>
      </c>
      <c r="H755">
        <v>0</v>
      </c>
      <c r="N755">
        <v>486.2</v>
      </c>
    </row>
    <row r="756" spans="1:14" x14ac:dyDescent="0.25">
      <c r="A756" s="1">
        <v>44217</v>
      </c>
      <c r="B756">
        <v>476.65972736389779</v>
      </c>
      <c r="C756">
        <v>479.00683538749001</v>
      </c>
      <c r="D756">
        <v>456.22028231392272</v>
      </c>
      <c r="E756">
        <v>459.1541748046875</v>
      </c>
      <c r="F756">
        <v>2522121</v>
      </c>
      <c r="G756">
        <v>0</v>
      </c>
      <c r="H756">
        <v>0</v>
      </c>
      <c r="N756">
        <v>469.5</v>
      </c>
    </row>
    <row r="757" spans="1:14" x14ac:dyDescent="0.25">
      <c r="A757" s="1">
        <v>44218</v>
      </c>
      <c r="B757">
        <v>459.69205460167944</v>
      </c>
      <c r="C757">
        <v>462.67486328194599</v>
      </c>
      <c r="D757">
        <v>445.26708282961084</v>
      </c>
      <c r="E757">
        <v>450.35250854492188</v>
      </c>
      <c r="F757">
        <v>3760715</v>
      </c>
      <c r="G757">
        <v>0</v>
      </c>
      <c r="H757">
        <v>0</v>
      </c>
      <c r="N757">
        <v>460.5</v>
      </c>
    </row>
    <row r="758" spans="1:14" x14ac:dyDescent="0.25">
      <c r="A758" s="1">
        <v>44221</v>
      </c>
      <c r="B758">
        <v>455.09561879940861</v>
      </c>
      <c r="C758">
        <v>463.21270922838869</v>
      </c>
      <c r="D758">
        <v>445.46266604543308</v>
      </c>
      <c r="E758">
        <v>457.10043334960938</v>
      </c>
      <c r="F758">
        <v>3542288</v>
      </c>
      <c r="G758">
        <v>0</v>
      </c>
      <c r="H758">
        <v>0</v>
      </c>
      <c r="N758">
        <v>467.4</v>
      </c>
    </row>
    <row r="759" spans="1:14" x14ac:dyDescent="0.25">
      <c r="A759" s="1">
        <v>44223</v>
      </c>
      <c r="B759">
        <v>457.54052654059541</v>
      </c>
      <c r="C759">
        <v>462.23474245067797</v>
      </c>
      <c r="D759">
        <v>448.98334035912421</v>
      </c>
      <c r="E759">
        <v>451.86831665039063</v>
      </c>
      <c r="F759">
        <v>2807794</v>
      </c>
      <c r="G759">
        <v>0</v>
      </c>
      <c r="H759">
        <v>0</v>
      </c>
      <c r="N759">
        <v>462.05</v>
      </c>
    </row>
    <row r="760" spans="1:14" x14ac:dyDescent="0.25">
      <c r="A760" s="1">
        <v>44224</v>
      </c>
      <c r="B760">
        <v>446.92962532757053</v>
      </c>
      <c r="C760">
        <v>456.31808732097676</v>
      </c>
      <c r="D760">
        <v>442.28429552383761</v>
      </c>
      <c r="E760">
        <v>452.11282348632813</v>
      </c>
      <c r="F760">
        <v>2584839</v>
      </c>
      <c r="G760">
        <v>0</v>
      </c>
      <c r="H760">
        <v>0</v>
      </c>
      <c r="N760">
        <v>462.3</v>
      </c>
    </row>
    <row r="761" spans="1:14" x14ac:dyDescent="0.25">
      <c r="A761" s="1">
        <v>44225</v>
      </c>
      <c r="B761">
        <v>452.1127813551513</v>
      </c>
      <c r="C761">
        <v>454.50880528446845</v>
      </c>
      <c r="D761">
        <v>440.08383513289039</v>
      </c>
      <c r="E761">
        <v>441.55078125</v>
      </c>
      <c r="F761">
        <v>2561802</v>
      </c>
      <c r="G761">
        <v>0</v>
      </c>
      <c r="H761">
        <v>0</v>
      </c>
      <c r="N761">
        <v>451.5</v>
      </c>
    </row>
    <row r="762" spans="1:14" x14ac:dyDescent="0.25">
      <c r="A762" s="1">
        <v>44228</v>
      </c>
      <c r="B762">
        <v>443.99571896885135</v>
      </c>
      <c r="C762">
        <v>447.907575523643</v>
      </c>
      <c r="D762">
        <v>432.30903557337251</v>
      </c>
      <c r="E762">
        <v>445.75604248046875</v>
      </c>
      <c r="F762">
        <v>3425170</v>
      </c>
      <c r="G762">
        <v>0</v>
      </c>
      <c r="H762">
        <v>0</v>
      </c>
      <c r="N762">
        <v>455.8</v>
      </c>
    </row>
    <row r="763" spans="1:14" x14ac:dyDescent="0.25">
      <c r="A763" s="1">
        <v>44229</v>
      </c>
      <c r="B763">
        <v>449.27670819193355</v>
      </c>
      <c r="C763">
        <v>460.52329550767354</v>
      </c>
      <c r="D763">
        <v>443.70233064684192</v>
      </c>
      <c r="E763">
        <v>456.90484619140625</v>
      </c>
      <c r="F763">
        <v>3939023</v>
      </c>
      <c r="G763">
        <v>0</v>
      </c>
      <c r="H763">
        <v>0</v>
      </c>
      <c r="N763">
        <v>467.2</v>
      </c>
    </row>
    <row r="764" spans="1:14" x14ac:dyDescent="0.25">
      <c r="A764" s="1">
        <v>44230</v>
      </c>
      <c r="B764">
        <v>461.06119621781892</v>
      </c>
      <c r="C764">
        <v>472.16106510147347</v>
      </c>
      <c r="D764">
        <v>458.07838774537061</v>
      </c>
      <c r="E764">
        <v>466.39108276367188</v>
      </c>
      <c r="F764">
        <v>6399214</v>
      </c>
      <c r="G764">
        <v>0</v>
      </c>
      <c r="H764">
        <v>0</v>
      </c>
      <c r="N764">
        <v>476.9</v>
      </c>
    </row>
    <row r="765" spans="1:14" x14ac:dyDescent="0.25">
      <c r="A765" s="1">
        <v>44231</v>
      </c>
      <c r="B765">
        <v>471.37872963069532</v>
      </c>
      <c r="C765">
        <v>471.76990932941902</v>
      </c>
      <c r="D765">
        <v>464.77747148752684</v>
      </c>
      <c r="E765">
        <v>468.64044189453125</v>
      </c>
      <c r="F765">
        <v>3872030</v>
      </c>
      <c r="G765">
        <v>0</v>
      </c>
      <c r="H765">
        <v>0</v>
      </c>
      <c r="N765">
        <v>479.2</v>
      </c>
    </row>
    <row r="766" spans="1:14" x14ac:dyDescent="0.25">
      <c r="A766" s="1">
        <v>44232</v>
      </c>
      <c r="B766">
        <v>471.86770596170601</v>
      </c>
      <c r="C766">
        <v>478.17558671519168</v>
      </c>
      <c r="D766">
        <v>461.4523936540578</v>
      </c>
      <c r="E766">
        <v>464.7774658203125</v>
      </c>
      <c r="F766">
        <v>8272131</v>
      </c>
      <c r="G766">
        <v>0</v>
      </c>
      <c r="H766">
        <v>0</v>
      </c>
      <c r="N766">
        <v>475.25</v>
      </c>
    </row>
    <row r="767" spans="1:14" x14ac:dyDescent="0.25">
      <c r="A767" s="1">
        <v>44235</v>
      </c>
      <c r="B767">
        <v>467.46687593987633</v>
      </c>
      <c r="C767">
        <v>469.32500190450889</v>
      </c>
      <c r="D767">
        <v>462.23476163136223</v>
      </c>
      <c r="E767">
        <v>463.01715087890625</v>
      </c>
      <c r="F767">
        <v>3717127</v>
      </c>
      <c r="G767">
        <v>0</v>
      </c>
      <c r="H767">
        <v>0</v>
      </c>
      <c r="N767">
        <v>473.45</v>
      </c>
    </row>
    <row r="768" spans="1:14" x14ac:dyDescent="0.25">
      <c r="A768" s="1">
        <v>44236</v>
      </c>
      <c r="B768">
        <v>464.53296133374477</v>
      </c>
      <c r="C768">
        <v>467.22236268883483</v>
      </c>
      <c r="D768">
        <v>455.8290865535634</v>
      </c>
      <c r="E768">
        <v>457.49160766601563</v>
      </c>
      <c r="F768">
        <v>3261845</v>
      </c>
      <c r="G768">
        <v>0</v>
      </c>
      <c r="H768">
        <v>0</v>
      </c>
      <c r="N768">
        <v>467.8</v>
      </c>
    </row>
    <row r="769" spans="1:14" x14ac:dyDescent="0.25">
      <c r="A769" s="1">
        <v>44237</v>
      </c>
      <c r="B769">
        <v>459.64315688648162</v>
      </c>
      <c r="C769">
        <v>460.86561209096692</v>
      </c>
      <c r="D769">
        <v>449.66791047984231</v>
      </c>
      <c r="E769">
        <v>459.1541748046875</v>
      </c>
      <c r="F769">
        <v>3481108</v>
      </c>
      <c r="G769">
        <v>0</v>
      </c>
      <c r="H769">
        <v>0</v>
      </c>
      <c r="N769">
        <v>469.5</v>
      </c>
    </row>
    <row r="770" spans="1:14" x14ac:dyDescent="0.25">
      <c r="A770" s="1">
        <v>44238</v>
      </c>
      <c r="B770">
        <v>457.68719213850085</v>
      </c>
      <c r="C770">
        <v>461.94134188060212</v>
      </c>
      <c r="D770">
        <v>453.8242220616869</v>
      </c>
      <c r="E770">
        <v>460.47439575195313</v>
      </c>
      <c r="F770">
        <v>2204483</v>
      </c>
      <c r="G770">
        <v>0</v>
      </c>
      <c r="H770">
        <v>0</v>
      </c>
      <c r="N770">
        <v>470.85</v>
      </c>
    </row>
    <row r="771" spans="1:14" x14ac:dyDescent="0.25">
      <c r="A771" s="1">
        <v>44239</v>
      </c>
      <c r="B771">
        <v>461.06118579258748</v>
      </c>
      <c r="C771">
        <v>468.44480279208625</v>
      </c>
      <c r="D771">
        <v>456.31805394978625</v>
      </c>
      <c r="E771">
        <v>457.736083984375</v>
      </c>
      <c r="F771">
        <v>3029750</v>
      </c>
      <c r="G771">
        <v>0</v>
      </c>
      <c r="H771">
        <v>0</v>
      </c>
      <c r="N771">
        <v>468.05</v>
      </c>
    </row>
    <row r="772" spans="1:14" x14ac:dyDescent="0.25">
      <c r="A772" s="1">
        <v>44242</v>
      </c>
      <c r="B772">
        <v>456.61145375869279</v>
      </c>
      <c r="C772">
        <v>461.84356790835744</v>
      </c>
      <c r="D772">
        <v>453.43307028446901</v>
      </c>
      <c r="E772">
        <v>456.66036987304688</v>
      </c>
      <c r="F772">
        <v>1809852</v>
      </c>
      <c r="G772">
        <v>0</v>
      </c>
      <c r="H772">
        <v>0</v>
      </c>
      <c r="N772">
        <v>466.95</v>
      </c>
    </row>
    <row r="773" spans="1:14" x14ac:dyDescent="0.25">
      <c r="A773" s="1">
        <v>44243</v>
      </c>
      <c r="B773">
        <v>455.73129275365335</v>
      </c>
      <c r="C773">
        <v>463.99510173840554</v>
      </c>
      <c r="D773">
        <v>453.13969373169175</v>
      </c>
      <c r="E773">
        <v>458.5673828125</v>
      </c>
      <c r="F773">
        <v>3392787</v>
      </c>
      <c r="G773">
        <v>0</v>
      </c>
      <c r="H773">
        <v>0</v>
      </c>
      <c r="N773">
        <v>468.9</v>
      </c>
    </row>
    <row r="774" spans="1:14" x14ac:dyDescent="0.25">
      <c r="A774" s="1">
        <v>44244</v>
      </c>
      <c r="B774">
        <v>459.64315692194862</v>
      </c>
      <c r="C774">
        <v>461.11010316744415</v>
      </c>
      <c r="D774">
        <v>450.54810213791512</v>
      </c>
      <c r="E774">
        <v>453.48199462890625</v>
      </c>
      <c r="F774">
        <v>2556360</v>
      </c>
      <c r="G774">
        <v>0</v>
      </c>
      <c r="H774">
        <v>0</v>
      </c>
      <c r="N774">
        <v>463.7</v>
      </c>
    </row>
    <row r="775" spans="1:14" x14ac:dyDescent="0.25">
      <c r="A775" s="1">
        <v>44245</v>
      </c>
      <c r="B775">
        <v>454.75334109242687</v>
      </c>
      <c r="C775">
        <v>461.01230583951809</v>
      </c>
      <c r="D775">
        <v>452.5040354293638</v>
      </c>
      <c r="E775">
        <v>457.34494018554688</v>
      </c>
      <c r="F775">
        <v>2556001</v>
      </c>
      <c r="G775">
        <v>0</v>
      </c>
      <c r="H775">
        <v>0</v>
      </c>
      <c r="N775">
        <v>467.65</v>
      </c>
    </row>
    <row r="776" spans="1:14" x14ac:dyDescent="0.25">
      <c r="A776" s="1">
        <v>44246</v>
      </c>
      <c r="B776">
        <v>456.02466476214755</v>
      </c>
      <c r="C776">
        <v>456.02466476214755</v>
      </c>
      <c r="D776">
        <v>437.19885514070518</v>
      </c>
      <c r="E776">
        <v>442.43096923828125</v>
      </c>
      <c r="F776">
        <v>3283243</v>
      </c>
      <c r="G776">
        <v>0</v>
      </c>
      <c r="H776">
        <v>0</v>
      </c>
      <c r="N776">
        <v>452.4</v>
      </c>
    </row>
    <row r="777" spans="1:14" x14ac:dyDescent="0.25">
      <c r="A777" s="1">
        <v>44249</v>
      </c>
      <c r="B777">
        <v>440.0838560786982</v>
      </c>
      <c r="C777">
        <v>441.06182020331755</v>
      </c>
      <c r="D777">
        <v>421.74702874208577</v>
      </c>
      <c r="E777">
        <v>424.87652587890625</v>
      </c>
      <c r="F777">
        <v>2515498</v>
      </c>
      <c r="G777">
        <v>0</v>
      </c>
      <c r="H777">
        <v>0</v>
      </c>
      <c r="N777">
        <v>434.45</v>
      </c>
    </row>
    <row r="778" spans="1:14" x14ac:dyDescent="0.25">
      <c r="A778" s="1">
        <v>44250</v>
      </c>
      <c r="B778">
        <v>429.13067109427232</v>
      </c>
      <c r="C778">
        <v>429.13067109427232</v>
      </c>
      <c r="D778">
        <v>411.72292059389974</v>
      </c>
      <c r="E778">
        <v>421.01358032226563</v>
      </c>
      <c r="F778">
        <v>3853845</v>
      </c>
      <c r="G778">
        <v>0</v>
      </c>
      <c r="H778">
        <v>0</v>
      </c>
      <c r="N778">
        <v>430.5</v>
      </c>
    </row>
    <row r="779" spans="1:14" x14ac:dyDescent="0.25">
      <c r="A779" s="1">
        <v>44251</v>
      </c>
      <c r="B779">
        <v>421.01355347951073</v>
      </c>
      <c r="C779">
        <v>427.7126136676581</v>
      </c>
      <c r="D779">
        <v>418.22634976968635</v>
      </c>
      <c r="E779">
        <v>423.8985595703125</v>
      </c>
      <c r="F779">
        <v>1688256</v>
      </c>
      <c r="G779">
        <v>0</v>
      </c>
      <c r="H779">
        <v>0</v>
      </c>
      <c r="N779">
        <v>433.45</v>
      </c>
    </row>
    <row r="780" spans="1:14" x14ac:dyDescent="0.25">
      <c r="A780" s="1">
        <v>44252</v>
      </c>
      <c r="B780">
        <v>431.28219247539124</v>
      </c>
      <c r="C780">
        <v>434.6072646342999</v>
      </c>
      <c r="D780">
        <v>426.53906035329771</v>
      </c>
      <c r="E780">
        <v>428.39718627929688</v>
      </c>
      <c r="F780">
        <v>3141003</v>
      </c>
      <c r="G780">
        <v>0</v>
      </c>
      <c r="H780">
        <v>0</v>
      </c>
      <c r="N780">
        <v>438.05</v>
      </c>
    </row>
    <row r="781" spans="1:14" x14ac:dyDescent="0.25">
      <c r="A781" s="1">
        <v>44253</v>
      </c>
      <c r="B781">
        <v>424.63205170569603</v>
      </c>
      <c r="C781">
        <v>434.0204837986862</v>
      </c>
      <c r="D781">
        <v>420.62239266655348</v>
      </c>
      <c r="E781">
        <v>425.61001586914063</v>
      </c>
      <c r="F781">
        <v>3239469</v>
      </c>
      <c r="G781">
        <v>0</v>
      </c>
      <c r="H781">
        <v>0</v>
      </c>
      <c r="N781">
        <v>435.2</v>
      </c>
    </row>
    <row r="782" spans="1:14" x14ac:dyDescent="0.25">
      <c r="A782" s="1">
        <v>44256</v>
      </c>
      <c r="B782">
        <v>427.37031459116048</v>
      </c>
      <c r="C782">
        <v>428.7394583714036</v>
      </c>
      <c r="D782">
        <v>420.91574551847617</v>
      </c>
      <c r="E782">
        <v>425.707763671875</v>
      </c>
      <c r="F782">
        <v>2015942</v>
      </c>
      <c r="G782">
        <v>0</v>
      </c>
      <c r="H782">
        <v>0</v>
      </c>
      <c r="N782">
        <v>435.3</v>
      </c>
    </row>
    <row r="783" spans="1:14" x14ac:dyDescent="0.25">
      <c r="A783" s="1">
        <v>44257</v>
      </c>
      <c r="B783">
        <v>427.71261535883241</v>
      </c>
      <c r="C783">
        <v>432.7491246255683</v>
      </c>
      <c r="D783">
        <v>425.31659131834715</v>
      </c>
      <c r="E783">
        <v>431.477783203125</v>
      </c>
      <c r="F783">
        <v>1306991</v>
      </c>
      <c r="G783">
        <v>0</v>
      </c>
      <c r="H783">
        <v>0</v>
      </c>
      <c r="N783">
        <v>441.2</v>
      </c>
    </row>
    <row r="784" spans="1:14" x14ac:dyDescent="0.25">
      <c r="A784" s="1">
        <v>44258</v>
      </c>
      <c r="B784">
        <v>431.77116384768306</v>
      </c>
      <c r="C784">
        <v>437.68783490234756</v>
      </c>
      <c r="D784">
        <v>429.52185828436347</v>
      </c>
      <c r="E784">
        <v>435.78082275390625</v>
      </c>
      <c r="F784">
        <v>1871926</v>
      </c>
      <c r="G784">
        <v>0</v>
      </c>
      <c r="H784">
        <v>0</v>
      </c>
      <c r="N784">
        <v>445.6</v>
      </c>
    </row>
    <row r="785" spans="1:14" x14ac:dyDescent="0.25">
      <c r="A785" s="1">
        <v>44259</v>
      </c>
      <c r="B785">
        <v>432.26014990686042</v>
      </c>
      <c r="C785">
        <v>443.50673751755926</v>
      </c>
      <c r="D785">
        <v>431.08658100074865</v>
      </c>
      <c r="E785">
        <v>439.15478515625</v>
      </c>
      <c r="F785">
        <v>2657329</v>
      </c>
      <c r="G785">
        <v>0</v>
      </c>
      <c r="H785">
        <v>0</v>
      </c>
      <c r="N785">
        <v>449.05</v>
      </c>
    </row>
    <row r="786" spans="1:14" x14ac:dyDescent="0.25">
      <c r="A786" s="1">
        <v>44260</v>
      </c>
      <c r="B786">
        <v>441.01293858378671</v>
      </c>
      <c r="C786">
        <v>442.03978898742224</v>
      </c>
      <c r="D786">
        <v>430.54871040201914</v>
      </c>
      <c r="E786">
        <v>432.504638671875</v>
      </c>
      <c r="F786">
        <v>1925235</v>
      </c>
      <c r="G786">
        <v>0</v>
      </c>
      <c r="H786">
        <v>0</v>
      </c>
      <c r="N786">
        <v>442.25</v>
      </c>
    </row>
    <row r="787" spans="1:14" x14ac:dyDescent="0.25">
      <c r="A787" s="1">
        <v>44263</v>
      </c>
      <c r="B787">
        <v>433.23811753466674</v>
      </c>
      <c r="C787">
        <v>441.5508127921039</v>
      </c>
      <c r="D787">
        <v>432.26015338673295</v>
      </c>
      <c r="E787">
        <v>436.36761474609375</v>
      </c>
      <c r="F787">
        <v>1596275</v>
      </c>
      <c r="G787">
        <v>0</v>
      </c>
      <c r="H787">
        <v>0</v>
      </c>
      <c r="N787">
        <v>446.2</v>
      </c>
    </row>
    <row r="788" spans="1:14" x14ac:dyDescent="0.25">
      <c r="A788" s="1">
        <v>44264</v>
      </c>
      <c r="B788">
        <v>443.01774326648939</v>
      </c>
      <c r="C788">
        <v>443.21334802716211</v>
      </c>
      <c r="D788">
        <v>431.82004223264227</v>
      </c>
      <c r="E788">
        <v>433.77597045898438</v>
      </c>
      <c r="F788">
        <v>1955646</v>
      </c>
      <c r="G788">
        <v>0</v>
      </c>
      <c r="H788">
        <v>0</v>
      </c>
      <c r="N788">
        <v>443.55</v>
      </c>
    </row>
    <row r="789" spans="1:14" x14ac:dyDescent="0.25">
      <c r="A789" s="1">
        <v>44265</v>
      </c>
      <c r="B789">
        <v>435.19403197580698</v>
      </c>
      <c r="C789">
        <v>439.98605017910563</v>
      </c>
      <c r="D789">
        <v>433.6292834199084</v>
      </c>
      <c r="E789">
        <v>438.51910400390625</v>
      </c>
      <c r="F789">
        <v>1153308</v>
      </c>
      <c r="G789">
        <v>0</v>
      </c>
      <c r="H789">
        <v>0</v>
      </c>
      <c r="N789">
        <v>448.4</v>
      </c>
    </row>
    <row r="790" spans="1:14" x14ac:dyDescent="0.25">
      <c r="A790" s="1">
        <v>44267</v>
      </c>
      <c r="B790">
        <v>438.12791754943504</v>
      </c>
      <c r="C790">
        <v>441.0129235874083</v>
      </c>
      <c r="D790">
        <v>431.82003715560683</v>
      </c>
      <c r="E790">
        <v>432.74911499023438</v>
      </c>
      <c r="F790">
        <v>1488897</v>
      </c>
      <c r="G790">
        <v>0</v>
      </c>
      <c r="H790">
        <v>0</v>
      </c>
      <c r="N790">
        <v>442.5</v>
      </c>
    </row>
    <row r="791" spans="1:14" x14ac:dyDescent="0.25">
      <c r="A791" s="1">
        <v>44270</v>
      </c>
      <c r="B791">
        <v>432.26015514957322</v>
      </c>
      <c r="C791">
        <v>432.7491372255343</v>
      </c>
      <c r="D791">
        <v>421.11136978668065</v>
      </c>
      <c r="E791">
        <v>430.25534057617188</v>
      </c>
      <c r="F791">
        <v>1485949</v>
      </c>
      <c r="G791">
        <v>0</v>
      </c>
      <c r="H791">
        <v>0</v>
      </c>
      <c r="N791">
        <v>439.95</v>
      </c>
    </row>
    <row r="792" spans="1:14" x14ac:dyDescent="0.25">
      <c r="A792" s="1">
        <v>44271</v>
      </c>
      <c r="B792">
        <v>431.03769995967059</v>
      </c>
      <c r="C792">
        <v>433.0914306477265</v>
      </c>
      <c r="D792">
        <v>425.21880131769507</v>
      </c>
      <c r="E792">
        <v>430.25534057617188</v>
      </c>
      <c r="F792">
        <v>1230143</v>
      </c>
      <c r="G792">
        <v>0</v>
      </c>
      <c r="H792">
        <v>0</v>
      </c>
      <c r="N792">
        <v>439.95</v>
      </c>
    </row>
    <row r="793" spans="1:14" x14ac:dyDescent="0.25">
      <c r="A793" s="1">
        <v>44272</v>
      </c>
      <c r="B793">
        <v>429.17953108449183</v>
      </c>
      <c r="C793">
        <v>433.18918967507489</v>
      </c>
      <c r="D793">
        <v>417.39504632625267</v>
      </c>
      <c r="E793">
        <v>419.69326782226563</v>
      </c>
      <c r="F793">
        <v>1359127</v>
      </c>
      <c r="G793">
        <v>0</v>
      </c>
      <c r="H793">
        <v>0</v>
      </c>
      <c r="N793">
        <v>429.15</v>
      </c>
    </row>
    <row r="794" spans="1:14" x14ac:dyDescent="0.25">
      <c r="A794" s="1">
        <v>44273</v>
      </c>
      <c r="B794">
        <v>421.30694983584976</v>
      </c>
      <c r="C794">
        <v>423.45848293429407</v>
      </c>
      <c r="D794">
        <v>408.78902047698591</v>
      </c>
      <c r="E794">
        <v>410.50045776367188</v>
      </c>
      <c r="F794">
        <v>1719710</v>
      </c>
      <c r="G794">
        <v>0</v>
      </c>
      <c r="H794">
        <v>0</v>
      </c>
      <c r="N794">
        <v>419.75</v>
      </c>
    </row>
    <row r="795" spans="1:14" x14ac:dyDescent="0.25">
      <c r="A795" s="1">
        <v>44274</v>
      </c>
      <c r="B795">
        <v>409.76697540307561</v>
      </c>
      <c r="C795">
        <v>418.37304791264313</v>
      </c>
      <c r="D795">
        <v>399.35166326220781</v>
      </c>
      <c r="E795">
        <v>416.02593994140625</v>
      </c>
      <c r="F795">
        <v>1723181</v>
      </c>
      <c r="G795">
        <v>0</v>
      </c>
      <c r="H795">
        <v>0</v>
      </c>
      <c r="N795">
        <v>425.4</v>
      </c>
    </row>
    <row r="796" spans="1:14" x14ac:dyDescent="0.25">
      <c r="A796" s="1">
        <v>44277</v>
      </c>
      <c r="B796">
        <v>418.12855517733846</v>
      </c>
      <c r="C796">
        <v>428.3482923553625</v>
      </c>
      <c r="D796">
        <v>416.36823166734149</v>
      </c>
      <c r="E796">
        <v>422.13821411132813</v>
      </c>
      <c r="F796">
        <v>2032262</v>
      </c>
      <c r="G796">
        <v>0</v>
      </c>
      <c r="H796">
        <v>0</v>
      </c>
      <c r="N796">
        <v>431.65</v>
      </c>
    </row>
    <row r="797" spans="1:14" x14ac:dyDescent="0.25">
      <c r="A797" s="1">
        <v>44278</v>
      </c>
      <c r="B797">
        <v>423.84965026141163</v>
      </c>
      <c r="C797">
        <v>425.9033809145194</v>
      </c>
      <c r="D797">
        <v>419.10651823628336</v>
      </c>
      <c r="E797">
        <v>421.64923095703125</v>
      </c>
      <c r="F797">
        <v>1140604</v>
      </c>
      <c r="G797">
        <v>0</v>
      </c>
      <c r="H797">
        <v>0</v>
      </c>
      <c r="N797">
        <v>431.15</v>
      </c>
    </row>
    <row r="798" spans="1:14" x14ac:dyDescent="0.25">
      <c r="A798" s="1">
        <v>44279</v>
      </c>
      <c r="B798">
        <v>420.52456595925185</v>
      </c>
      <c r="C798">
        <v>426.83244638667901</v>
      </c>
      <c r="D798">
        <v>416.61270953172391</v>
      </c>
      <c r="E798">
        <v>421.45364379882813</v>
      </c>
      <c r="F798">
        <v>2148471</v>
      </c>
      <c r="G798">
        <v>0</v>
      </c>
      <c r="H798">
        <v>0</v>
      </c>
      <c r="N798">
        <v>430.95</v>
      </c>
    </row>
    <row r="799" spans="1:14" x14ac:dyDescent="0.25">
      <c r="A799" s="1">
        <v>44280</v>
      </c>
      <c r="B799">
        <v>420.52458858282387</v>
      </c>
      <c r="C799">
        <v>422.08933720703527</v>
      </c>
      <c r="D799">
        <v>408.39783897410615</v>
      </c>
      <c r="E799">
        <v>410.9405517578125</v>
      </c>
      <c r="F799">
        <v>2100000</v>
      </c>
      <c r="G799">
        <v>0</v>
      </c>
      <c r="H799">
        <v>0</v>
      </c>
      <c r="N799">
        <v>420.2</v>
      </c>
    </row>
    <row r="800" spans="1:14" x14ac:dyDescent="0.25">
      <c r="A800" s="1">
        <v>44281</v>
      </c>
      <c r="B800">
        <v>413.67883946635931</v>
      </c>
      <c r="C800">
        <v>415.29247436050639</v>
      </c>
      <c r="D800">
        <v>406.05073096033783</v>
      </c>
      <c r="E800">
        <v>410.9405517578125</v>
      </c>
      <c r="F800">
        <v>2221380</v>
      </c>
      <c r="G800">
        <v>0</v>
      </c>
      <c r="H800">
        <v>0</v>
      </c>
      <c r="N800">
        <v>420.2</v>
      </c>
    </row>
    <row r="801" spans="1:14" x14ac:dyDescent="0.25">
      <c r="A801" s="1">
        <v>44285</v>
      </c>
      <c r="B801">
        <v>414.65679448210147</v>
      </c>
      <c r="C801">
        <v>426.68574144059539</v>
      </c>
      <c r="D801">
        <v>412.94535724072489</v>
      </c>
      <c r="E801">
        <v>424.97430419921875</v>
      </c>
      <c r="F801">
        <v>1997389</v>
      </c>
      <c r="G801">
        <v>0</v>
      </c>
      <c r="H801">
        <v>0</v>
      </c>
      <c r="N801">
        <v>434.55</v>
      </c>
    </row>
    <row r="802" spans="1:14" x14ac:dyDescent="0.25">
      <c r="A802" s="1">
        <v>44286</v>
      </c>
      <c r="B802">
        <v>425.51220708242306</v>
      </c>
      <c r="C802">
        <v>437.34557925110283</v>
      </c>
      <c r="D802">
        <v>423.3117877477755</v>
      </c>
      <c r="E802">
        <v>431.18438720703125</v>
      </c>
      <c r="F802">
        <v>2732398</v>
      </c>
      <c r="G802">
        <v>0</v>
      </c>
      <c r="H802">
        <v>0</v>
      </c>
      <c r="N802">
        <v>440.9</v>
      </c>
    </row>
    <row r="803" spans="1:14" x14ac:dyDescent="0.25">
      <c r="A803" s="1">
        <v>44287</v>
      </c>
      <c r="B803">
        <v>435.19404186061354</v>
      </c>
      <c r="C803">
        <v>437.29665879047127</v>
      </c>
      <c r="D803">
        <v>430.74431696614494</v>
      </c>
      <c r="E803">
        <v>432.06454467773438</v>
      </c>
      <c r="F803">
        <v>1269615</v>
      </c>
      <c r="G803">
        <v>0</v>
      </c>
      <c r="H803">
        <v>0</v>
      </c>
      <c r="N803">
        <v>441.8</v>
      </c>
    </row>
    <row r="804" spans="1:14" x14ac:dyDescent="0.25">
      <c r="A804" s="1">
        <v>44291</v>
      </c>
      <c r="B804">
        <v>434.99844283691618</v>
      </c>
      <c r="C804">
        <v>439.105904213028</v>
      </c>
      <c r="D804">
        <v>424.87653774060027</v>
      </c>
      <c r="E804">
        <v>430.25534057617188</v>
      </c>
      <c r="F804">
        <v>2940040</v>
      </c>
      <c r="G804">
        <v>0</v>
      </c>
      <c r="H804">
        <v>0</v>
      </c>
      <c r="N804">
        <v>439.95</v>
      </c>
    </row>
    <row r="805" spans="1:14" x14ac:dyDescent="0.25">
      <c r="A805" s="1">
        <v>44292</v>
      </c>
      <c r="B805">
        <v>433.09143836787104</v>
      </c>
      <c r="C805">
        <v>449.61902686095056</v>
      </c>
      <c r="D805">
        <v>431.0865939136346</v>
      </c>
      <c r="E805">
        <v>446.44064331054688</v>
      </c>
      <c r="F805">
        <v>3678053</v>
      </c>
      <c r="G805">
        <v>0</v>
      </c>
      <c r="H805">
        <v>0</v>
      </c>
      <c r="N805">
        <v>456.5</v>
      </c>
    </row>
    <row r="806" spans="1:14" x14ac:dyDescent="0.25">
      <c r="A806" s="1">
        <v>44293</v>
      </c>
      <c r="B806">
        <v>449.9613133957036</v>
      </c>
      <c r="C806">
        <v>454.45995447483557</v>
      </c>
      <c r="D806">
        <v>444.14241473914956</v>
      </c>
      <c r="E806">
        <v>451.52606201171875</v>
      </c>
      <c r="F806">
        <v>3271918</v>
      </c>
      <c r="G806">
        <v>0</v>
      </c>
      <c r="H806">
        <v>0</v>
      </c>
      <c r="N806">
        <v>461.7</v>
      </c>
    </row>
    <row r="807" spans="1:14" x14ac:dyDescent="0.25">
      <c r="A807" s="1">
        <v>44294</v>
      </c>
      <c r="B807">
        <v>454.70443451980111</v>
      </c>
      <c r="C807">
        <v>465.31532146211737</v>
      </c>
      <c r="D807">
        <v>452.30841046147998</v>
      </c>
      <c r="E807">
        <v>460.32772827148438</v>
      </c>
      <c r="F807">
        <v>3483861</v>
      </c>
      <c r="G807">
        <v>0</v>
      </c>
      <c r="H807">
        <v>0</v>
      </c>
      <c r="N807">
        <v>470.7</v>
      </c>
    </row>
    <row r="808" spans="1:14" x14ac:dyDescent="0.25">
      <c r="A808" s="1">
        <v>44295</v>
      </c>
      <c r="B808">
        <v>461.55020085397439</v>
      </c>
      <c r="C808">
        <v>506.34094779367615</v>
      </c>
      <c r="D808">
        <v>461.40348235275064</v>
      </c>
      <c r="E808">
        <v>503.11367797851563</v>
      </c>
      <c r="F808">
        <v>22861929</v>
      </c>
      <c r="G808">
        <v>0</v>
      </c>
      <c r="H808">
        <v>0</v>
      </c>
      <c r="N808">
        <v>514.45000000000005</v>
      </c>
    </row>
    <row r="809" spans="1:14" x14ac:dyDescent="0.25">
      <c r="A809" s="1">
        <v>44298</v>
      </c>
      <c r="B809">
        <v>506.34093088382497</v>
      </c>
      <c r="C809">
        <v>520.27691980723296</v>
      </c>
      <c r="D809">
        <v>483.45657609440593</v>
      </c>
      <c r="E809">
        <v>488.68869018554688</v>
      </c>
      <c r="F809">
        <v>26881035</v>
      </c>
      <c r="G809">
        <v>0</v>
      </c>
      <c r="H809">
        <v>0</v>
      </c>
      <c r="N809">
        <v>499.7</v>
      </c>
    </row>
    <row r="810" spans="1:14" x14ac:dyDescent="0.25">
      <c r="A810" s="1">
        <v>44299</v>
      </c>
      <c r="B810">
        <v>500.71763090667258</v>
      </c>
      <c r="C810">
        <v>501.98897232835793</v>
      </c>
      <c r="D810">
        <v>468.00471905881329</v>
      </c>
      <c r="E810">
        <v>479.15353393554688</v>
      </c>
      <c r="F810">
        <v>9426405</v>
      </c>
      <c r="G810">
        <v>0</v>
      </c>
      <c r="H810">
        <v>0</v>
      </c>
      <c r="N810">
        <v>489.95</v>
      </c>
    </row>
    <row r="811" spans="1:14" x14ac:dyDescent="0.25">
      <c r="A811" s="1">
        <v>44301</v>
      </c>
      <c r="B811">
        <v>484.0433412745183</v>
      </c>
      <c r="C811">
        <v>501.69558127005604</v>
      </c>
      <c r="D811">
        <v>475.48615543414212</v>
      </c>
      <c r="E811">
        <v>493.5784912109375</v>
      </c>
      <c r="F811">
        <v>12921095</v>
      </c>
      <c r="G811">
        <v>0</v>
      </c>
      <c r="H811">
        <v>0</v>
      </c>
      <c r="N811">
        <v>504.7</v>
      </c>
    </row>
    <row r="812" spans="1:14" x14ac:dyDescent="0.25">
      <c r="A812" s="1">
        <v>44302</v>
      </c>
      <c r="B812">
        <v>496.7568862153376</v>
      </c>
      <c r="C812">
        <v>518.32098310260551</v>
      </c>
      <c r="D812">
        <v>489.3243529414508</v>
      </c>
      <c r="E812">
        <v>515.48486328125</v>
      </c>
      <c r="F812">
        <v>15428933</v>
      </c>
      <c r="G812">
        <v>0</v>
      </c>
      <c r="H812">
        <v>0</v>
      </c>
      <c r="N812">
        <v>527.1</v>
      </c>
    </row>
    <row r="813" spans="1:14" x14ac:dyDescent="0.25">
      <c r="A813" s="1">
        <v>44305</v>
      </c>
      <c r="B813">
        <v>523.21086994226812</v>
      </c>
      <c r="C813">
        <v>524.97119364141702</v>
      </c>
      <c r="D813">
        <v>502.08686617208105</v>
      </c>
      <c r="E813">
        <v>515.53387451171875</v>
      </c>
      <c r="F813">
        <v>15721350</v>
      </c>
      <c r="G813">
        <v>0</v>
      </c>
      <c r="H813">
        <v>0</v>
      </c>
      <c r="N813">
        <v>527.15</v>
      </c>
    </row>
    <row r="814" spans="1:14" x14ac:dyDescent="0.25">
      <c r="A814" s="1">
        <v>44306</v>
      </c>
      <c r="B814">
        <v>530.05656469452242</v>
      </c>
      <c r="C814">
        <v>556.36382397702573</v>
      </c>
      <c r="D814">
        <v>520.91262384754884</v>
      </c>
      <c r="E814">
        <v>543.9925537109375</v>
      </c>
      <c r="F814">
        <v>28048180</v>
      </c>
      <c r="G814">
        <v>0</v>
      </c>
      <c r="H814">
        <v>0</v>
      </c>
      <c r="N814">
        <v>556.25</v>
      </c>
    </row>
    <row r="815" spans="1:14" x14ac:dyDescent="0.25">
      <c r="A815" s="1">
        <v>44308</v>
      </c>
      <c r="B815">
        <v>551.47401349872052</v>
      </c>
      <c r="C815">
        <v>560.37346347539301</v>
      </c>
      <c r="D815">
        <v>529.66536498652715</v>
      </c>
      <c r="E815">
        <v>540.37408447265625</v>
      </c>
      <c r="F815">
        <v>19216028</v>
      </c>
      <c r="G815">
        <v>0</v>
      </c>
      <c r="H815">
        <v>0</v>
      </c>
      <c r="N815">
        <v>552.54999999999995</v>
      </c>
    </row>
    <row r="816" spans="1:14" x14ac:dyDescent="0.25">
      <c r="A816" s="1">
        <v>44309</v>
      </c>
      <c r="B816">
        <v>542.72116355346475</v>
      </c>
      <c r="C816">
        <v>564.62752254282134</v>
      </c>
      <c r="D816">
        <v>528.10058901221839</v>
      </c>
      <c r="E816">
        <v>558.3197021484375</v>
      </c>
      <c r="F816">
        <v>27225111</v>
      </c>
      <c r="G816">
        <v>0</v>
      </c>
      <c r="H816">
        <v>0</v>
      </c>
      <c r="N816">
        <v>570.9</v>
      </c>
    </row>
    <row r="817" spans="1:14" x14ac:dyDescent="0.25">
      <c r="A817" s="1">
        <v>44312</v>
      </c>
      <c r="B817">
        <v>591.66829055585549</v>
      </c>
      <c r="C817">
        <v>591.66829055585549</v>
      </c>
      <c r="D817">
        <v>552.64749842659069</v>
      </c>
      <c r="E817">
        <v>556.99945068359375</v>
      </c>
      <c r="F817">
        <v>32282135</v>
      </c>
      <c r="G817">
        <v>0</v>
      </c>
      <c r="H817">
        <v>0</v>
      </c>
      <c r="N817">
        <v>569.54999999999995</v>
      </c>
    </row>
    <row r="818" spans="1:14" x14ac:dyDescent="0.25">
      <c r="A818" s="1">
        <v>44313</v>
      </c>
      <c r="B818">
        <v>554.50565459067786</v>
      </c>
      <c r="C818">
        <v>560.66681659253572</v>
      </c>
      <c r="D818">
        <v>543.25906724007325</v>
      </c>
      <c r="E818">
        <v>550.398193359375</v>
      </c>
      <c r="F818">
        <v>15090074</v>
      </c>
      <c r="G818">
        <v>0</v>
      </c>
      <c r="H818">
        <v>0</v>
      </c>
      <c r="N818">
        <v>562.79999999999995</v>
      </c>
    </row>
    <row r="819" spans="1:14" x14ac:dyDescent="0.25">
      <c r="A819" s="1">
        <v>44314</v>
      </c>
      <c r="B819">
        <v>552.94097050988694</v>
      </c>
      <c r="C819">
        <v>561.35143857058017</v>
      </c>
      <c r="D819">
        <v>545.70401171146989</v>
      </c>
      <c r="E819">
        <v>550.93609619140625</v>
      </c>
      <c r="F819">
        <v>9739916</v>
      </c>
      <c r="G819">
        <v>0</v>
      </c>
      <c r="H819">
        <v>0</v>
      </c>
      <c r="N819">
        <v>563.35</v>
      </c>
    </row>
    <row r="820" spans="1:14" x14ac:dyDescent="0.25">
      <c r="A820" s="1">
        <v>44315</v>
      </c>
      <c r="B820">
        <v>551.08282046772388</v>
      </c>
      <c r="C820">
        <v>557.34181515301907</v>
      </c>
      <c r="D820">
        <v>546.19299952302356</v>
      </c>
      <c r="E820">
        <v>549.12689208984375</v>
      </c>
      <c r="F820">
        <v>8442909</v>
      </c>
      <c r="G820">
        <v>0</v>
      </c>
      <c r="H820">
        <v>0</v>
      </c>
      <c r="N820">
        <v>561.5</v>
      </c>
    </row>
    <row r="821" spans="1:14" x14ac:dyDescent="0.25">
      <c r="A821" s="1">
        <v>44316</v>
      </c>
      <c r="B821">
        <v>547.46434066828931</v>
      </c>
      <c r="C821">
        <v>566.09454651722842</v>
      </c>
      <c r="D821">
        <v>545.80178961015213</v>
      </c>
      <c r="E821">
        <v>558.56427001953125</v>
      </c>
      <c r="F821">
        <v>9769446</v>
      </c>
      <c r="G821">
        <v>0</v>
      </c>
      <c r="H821">
        <v>0</v>
      </c>
      <c r="N821">
        <v>571.15</v>
      </c>
    </row>
    <row r="822" spans="1:14" x14ac:dyDescent="0.25">
      <c r="A822" s="1">
        <v>44319</v>
      </c>
      <c r="B822">
        <v>562.28045988544193</v>
      </c>
      <c r="C822">
        <v>571.62000491391871</v>
      </c>
      <c r="D822">
        <v>557.87962152425689</v>
      </c>
      <c r="E822">
        <v>568.00152587890625</v>
      </c>
      <c r="F822">
        <v>8625355</v>
      </c>
      <c r="G822">
        <v>0</v>
      </c>
      <c r="H822">
        <v>0</v>
      </c>
      <c r="N822">
        <v>580.79999999999995</v>
      </c>
    </row>
    <row r="823" spans="1:14" x14ac:dyDescent="0.25">
      <c r="A823" s="1">
        <v>44320</v>
      </c>
      <c r="B823">
        <v>574.06497415429612</v>
      </c>
      <c r="C823">
        <v>574.99405206413542</v>
      </c>
      <c r="D823">
        <v>553.57661262761542</v>
      </c>
      <c r="E823">
        <v>556.60833740234375</v>
      </c>
      <c r="F823">
        <v>6576325</v>
      </c>
      <c r="G823">
        <v>0</v>
      </c>
      <c r="H823">
        <v>0</v>
      </c>
      <c r="N823">
        <v>569.15</v>
      </c>
    </row>
    <row r="824" spans="1:14" x14ac:dyDescent="0.25">
      <c r="A824" s="1">
        <v>44321</v>
      </c>
      <c r="B824">
        <v>558.4664150140793</v>
      </c>
      <c r="C824">
        <v>594.3577111989315</v>
      </c>
      <c r="D824">
        <v>553.03872592841753</v>
      </c>
      <c r="E824">
        <v>588.4410400390625</v>
      </c>
      <c r="F824">
        <v>23454643</v>
      </c>
      <c r="G824">
        <v>0</v>
      </c>
      <c r="H824">
        <v>0</v>
      </c>
      <c r="N824">
        <v>601.70000000000005</v>
      </c>
    </row>
    <row r="825" spans="1:14" x14ac:dyDescent="0.25">
      <c r="A825" s="1">
        <v>44322</v>
      </c>
      <c r="B825">
        <v>594.55325722319242</v>
      </c>
      <c r="C825">
        <v>597.38931715926742</v>
      </c>
      <c r="D825">
        <v>579.59041916885758</v>
      </c>
      <c r="E825">
        <v>588.4898681640625</v>
      </c>
      <c r="F825">
        <v>11485502</v>
      </c>
      <c r="G825">
        <v>0</v>
      </c>
      <c r="H825">
        <v>0</v>
      </c>
      <c r="N825">
        <v>601.75</v>
      </c>
    </row>
    <row r="826" spans="1:14" x14ac:dyDescent="0.25">
      <c r="A826" s="1">
        <v>44323</v>
      </c>
      <c r="B826">
        <v>590.54359983733571</v>
      </c>
      <c r="C826">
        <v>598.41625862019703</v>
      </c>
      <c r="D826">
        <v>585.80049781292382</v>
      </c>
      <c r="E826">
        <v>589.907958984375</v>
      </c>
      <c r="F826">
        <v>8001812</v>
      </c>
      <c r="G826">
        <v>0</v>
      </c>
      <c r="H826">
        <v>0</v>
      </c>
      <c r="N826">
        <v>603.20000000000005</v>
      </c>
    </row>
    <row r="827" spans="1:14" x14ac:dyDescent="0.25">
      <c r="A827" s="1">
        <v>44326</v>
      </c>
      <c r="B827">
        <v>596.02020763494193</v>
      </c>
      <c r="C827">
        <v>616.1173571073092</v>
      </c>
      <c r="D827">
        <v>592.64621969369739</v>
      </c>
      <c r="E827">
        <v>610.24957275390625</v>
      </c>
      <c r="F827">
        <v>17654195</v>
      </c>
      <c r="G827">
        <v>0</v>
      </c>
      <c r="H827">
        <v>0</v>
      </c>
      <c r="N827">
        <v>624</v>
      </c>
    </row>
    <row r="828" spans="1:14" x14ac:dyDescent="0.25">
      <c r="A828" s="1">
        <v>44327</v>
      </c>
      <c r="B828">
        <v>612.84126556096442</v>
      </c>
      <c r="C828">
        <v>619.05131410920455</v>
      </c>
      <c r="D828">
        <v>608.78269041544991</v>
      </c>
      <c r="E828">
        <v>615.970703125</v>
      </c>
      <c r="F828">
        <v>13702473</v>
      </c>
      <c r="G828">
        <v>0</v>
      </c>
      <c r="H828">
        <v>0</v>
      </c>
      <c r="N828">
        <v>629.85</v>
      </c>
    </row>
    <row r="829" spans="1:14" x14ac:dyDescent="0.25">
      <c r="A829" s="1">
        <v>44328</v>
      </c>
      <c r="B829">
        <v>620.95834191616802</v>
      </c>
      <c r="C829">
        <v>658.85445229754055</v>
      </c>
      <c r="D829">
        <v>618.56231783788758</v>
      </c>
      <c r="E829">
        <v>632.7427978515625</v>
      </c>
      <c r="F829">
        <v>29773435</v>
      </c>
      <c r="G829">
        <v>0</v>
      </c>
      <c r="H829">
        <v>0</v>
      </c>
      <c r="N829">
        <v>647</v>
      </c>
    </row>
    <row r="830" spans="1:14" x14ac:dyDescent="0.25">
      <c r="A830" s="1">
        <v>44330</v>
      </c>
      <c r="B830">
        <v>642.5224455875782</v>
      </c>
      <c r="C830">
        <v>648.04796690287947</v>
      </c>
      <c r="D830">
        <v>601.44795134910282</v>
      </c>
      <c r="E830">
        <v>603.55059814453125</v>
      </c>
      <c r="F830">
        <v>15933829</v>
      </c>
      <c r="G830">
        <v>0</v>
      </c>
      <c r="H830">
        <v>0</v>
      </c>
      <c r="N830">
        <v>617.15</v>
      </c>
    </row>
    <row r="831" spans="1:14" x14ac:dyDescent="0.25">
      <c r="A831" s="1">
        <v>44333</v>
      </c>
      <c r="B831">
        <v>610.98310469775015</v>
      </c>
      <c r="C831">
        <v>614.55269773292662</v>
      </c>
      <c r="D831">
        <v>596.55813343837951</v>
      </c>
      <c r="E831">
        <v>597.92730712890625</v>
      </c>
      <c r="F831">
        <v>5761782</v>
      </c>
      <c r="G831">
        <v>0</v>
      </c>
      <c r="H831">
        <v>0</v>
      </c>
      <c r="N831">
        <v>611.4</v>
      </c>
    </row>
    <row r="832" spans="1:14" x14ac:dyDescent="0.25">
      <c r="A832" s="1">
        <v>44334</v>
      </c>
      <c r="B832">
        <v>600.86118425089217</v>
      </c>
      <c r="C832">
        <v>604.87081330049307</v>
      </c>
      <c r="D832">
        <v>588.19653685247943</v>
      </c>
      <c r="E832">
        <v>591.08154296875</v>
      </c>
      <c r="F832">
        <v>5451390</v>
      </c>
      <c r="G832">
        <v>0</v>
      </c>
      <c r="H832">
        <v>0</v>
      </c>
      <c r="N832">
        <v>604.4</v>
      </c>
    </row>
    <row r="833" spans="1:14" x14ac:dyDescent="0.25">
      <c r="A833" s="1">
        <v>44335</v>
      </c>
      <c r="B833">
        <v>593.62422115539312</v>
      </c>
      <c r="C833">
        <v>605.94654519786286</v>
      </c>
      <c r="D833">
        <v>592.7440295708484</v>
      </c>
      <c r="E833">
        <v>601.3990478515625</v>
      </c>
      <c r="F833">
        <v>4512828</v>
      </c>
      <c r="G833">
        <v>0</v>
      </c>
      <c r="H833">
        <v>0</v>
      </c>
      <c r="N833">
        <v>614.95000000000005</v>
      </c>
    </row>
    <row r="834" spans="1:14" x14ac:dyDescent="0.25">
      <c r="A834" s="1">
        <v>44336</v>
      </c>
      <c r="B834">
        <v>603.40385161325116</v>
      </c>
      <c r="C834">
        <v>612.2055285411592</v>
      </c>
      <c r="D834">
        <v>597.04708494309534</v>
      </c>
      <c r="E834">
        <v>602.181396484375</v>
      </c>
      <c r="F834">
        <v>5620552</v>
      </c>
      <c r="G834">
        <v>0</v>
      </c>
      <c r="H834">
        <v>0</v>
      </c>
      <c r="N834">
        <v>615.75</v>
      </c>
    </row>
    <row r="835" spans="1:14" x14ac:dyDescent="0.25">
      <c r="A835" s="1">
        <v>44337</v>
      </c>
      <c r="B835">
        <v>605.35979922057368</v>
      </c>
      <c r="C835">
        <v>608.00031432161006</v>
      </c>
      <c r="D835">
        <v>594.50442120432751</v>
      </c>
      <c r="E835">
        <v>599.63873291015625</v>
      </c>
      <c r="F835">
        <v>4137273</v>
      </c>
      <c r="G835">
        <v>0</v>
      </c>
      <c r="H835">
        <v>0</v>
      </c>
      <c r="N835">
        <v>613.15</v>
      </c>
    </row>
    <row r="836" spans="1:14" x14ac:dyDescent="0.25">
      <c r="A836" s="1">
        <v>44340</v>
      </c>
      <c r="B836">
        <v>606.82670760893484</v>
      </c>
      <c r="C836">
        <v>625.84812077661638</v>
      </c>
      <c r="D836">
        <v>603.89281538842431</v>
      </c>
      <c r="E836">
        <v>607.5601806640625</v>
      </c>
      <c r="F836">
        <v>12458519</v>
      </c>
      <c r="G836">
        <v>0</v>
      </c>
      <c r="H836">
        <v>0</v>
      </c>
      <c r="N836">
        <v>621.25</v>
      </c>
    </row>
    <row r="837" spans="1:14" x14ac:dyDescent="0.25">
      <c r="A837" s="1">
        <v>44341</v>
      </c>
      <c r="B837">
        <v>612.10775854182077</v>
      </c>
      <c r="C837">
        <v>614.01474079861134</v>
      </c>
      <c r="D837">
        <v>605.35978232640275</v>
      </c>
      <c r="E837">
        <v>608.83154296875</v>
      </c>
      <c r="F837">
        <v>3222676</v>
      </c>
      <c r="G837">
        <v>0</v>
      </c>
      <c r="H837">
        <v>0</v>
      </c>
      <c r="N837">
        <v>622.54999999999995</v>
      </c>
    </row>
    <row r="838" spans="1:14" x14ac:dyDescent="0.25">
      <c r="A838" s="1">
        <v>44342</v>
      </c>
      <c r="B838">
        <v>611.03194677455826</v>
      </c>
      <c r="C838">
        <v>619.05126418865802</v>
      </c>
      <c r="D838">
        <v>606.0932400962414</v>
      </c>
      <c r="E838">
        <v>614.25921630859375</v>
      </c>
      <c r="F838">
        <v>7089800</v>
      </c>
      <c r="G838">
        <v>0</v>
      </c>
      <c r="H838">
        <v>0</v>
      </c>
      <c r="N838">
        <v>628.1</v>
      </c>
    </row>
    <row r="839" spans="1:14" x14ac:dyDescent="0.25">
      <c r="A839" s="1">
        <v>44343</v>
      </c>
      <c r="B839">
        <v>618.46455298960996</v>
      </c>
      <c r="C839">
        <v>623.94112835931924</v>
      </c>
      <c r="D839">
        <v>607.60911509902223</v>
      </c>
      <c r="E839">
        <v>613.03680419921875</v>
      </c>
      <c r="F839">
        <v>12760888</v>
      </c>
      <c r="G839">
        <v>0</v>
      </c>
      <c r="H839">
        <v>0</v>
      </c>
      <c r="N839">
        <v>626.85</v>
      </c>
    </row>
    <row r="840" spans="1:14" x14ac:dyDescent="0.25">
      <c r="A840" s="1">
        <v>44344</v>
      </c>
      <c r="B840">
        <v>613.03682010035664</v>
      </c>
      <c r="C840">
        <v>614.11261650851452</v>
      </c>
      <c r="D840">
        <v>599.00305804509298</v>
      </c>
      <c r="E840">
        <v>607.609130859375</v>
      </c>
      <c r="F840">
        <v>6438083</v>
      </c>
      <c r="G840">
        <v>0</v>
      </c>
      <c r="H840">
        <v>0</v>
      </c>
      <c r="N840">
        <v>621.29999999999995</v>
      </c>
    </row>
    <row r="841" spans="1:14" x14ac:dyDescent="0.25">
      <c r="A841" s="1">
        <v>44347</v>
      </c>
      <c r="B841">
        <v>606.33778295392597</v>
      </c>
      <c r="C841">
        <v>606.33778295392597</v>
      </c>
      <c r="D841">
        <v>598.07397381272438</v>
      </c>
      <c r="E841">
        <v>604.67523193359375</v>
      </c>
      <c r="F841">
        <v>4405464</v>
      </c>
      <c r="G841">
        <v>0</v>
      </c>
      <c r="H841">
        <v>0</v>
      </c>
      <c r="N841">
        <v>618.29999999999995</v>
      </c>
    </row>
    <row r="842" spans="1:14" x14ac:dyDescent="0.25">
      <c r="A842" s="1">
        <v>44348</v>
      </c>
      <c r="B842">
        <v>605.16422616104137</v>
      </c>
      <c r="C842">
        <v>613.81924501843173</v>
      </c>
      <c r="D842">
        <v>602.91492047201564</v>
      </c>
      <c r="E842">
        <v>605.7999267578125</v>
      </c>
      <c r="F842">
        <v>3540399</v>
      </c>
      <c r="G842">
        <v>0</v>
      </c>
      <c r="H842">
        <v>0</v>
      </c>
      <c r="N842">
        <v>619.45000000000005</v>
      </c>
    </row>
    <row r="843" spans="1:14" x14ac:dyDescent="0.25">
      <c r="A843" s="1">
        <v>44349</v>
      </c>
      <c r="B843">
        <v>605.06640732870721</v>
      </c>
      <c r="C843">
        <v>621.44730618565518</v>
      </c>
      <c r="D843">
        <v>602.86598807926646</v>
      </c>
      <c r="E843">
        <v>613.57470703125</v>
      </c>
      <c r="F843">
        <v>5561507</v>
      </c>
      <c r="G843">
        <v>0</v>
      </c>
      <c r="H843">
        <v>0</v>
      </c>
      <c r="N843">
        <v>627.4</v>
      </c>
    </row>
    <row r="844" spans="1:14" x14ac:dyDescent="0.25">
      <c r="A844" s="1">
        <v>44350</v>
      </c>
      <c r="B844">
        <v>615.04166844828785</v>
      </c>
      <c r="C844">
        <v>627.31510640591011</v>
      </c>
      <c r="D844">
        <v>614.21036311932608</v>
      </c>
      <c r="E844">
        <v>620.42047119140625</v>
      </c>
      <c r="F844">
        <v>4524635</v>
      </c>
      <c r="G844">
        <v>0</v>
      </c>
      <c r="H844">
        <v>0</v>
      </c>
      <c r="N844">
        <v>634.4</v>
      </c>
    </row>
    <row r="845" spans="1:14" x14ac:dyDescent="0.25">
      <c r="A845" s="1">
        <v>44351</v>
      </c>
      <c r="B845">
        <v>620.32264905860711</v>
      </c>
      <c r="C845">
        <v>630.59127264439428</v>
      </c>
      <c r="D845">
        <v>618.41560702606489</v>
      </c>
      <c r="E845">
        <v>622.47418212890625</v>
      </c>
      <c r="F845">
        <v>5495252</v>
      </c>
      <c r="G845">
        <v>0</v>
      </c>
      <c r="H845">
        <v>0</v>
      </c>
      <c r="N845">
        <v>636.5</v>
      </c>
    </row>
    <row r="846" spans="1:14" x14ac:dyDescent="0.25">
      <c r="A846" s="1">
        <v>44354</v>
      </c>
      <c r="B846">
        <v>625.84814867961813</v>
      </c>
      <c r="C846">
        <v>627.36398112309291</v>
      </c>
      <c r="D846">
        <v>620.22485500626226</v>
      </c>
      <c r="E846">
        <v>622.13189697265625</v>
      </c>
      <c r="F846">
        <v>3255819</v>
      </c>
      <c r="G846">
        <v>0</v>
      </c>
      <c r="H846">
        <v>0</v>
      </c>
      <c r="N846">
        <v>636.15</v>
      </c>
    </row>
    <row r="847" spans="1:14" x14ac:dyDescent="0.25">
      <c r="A847" s="1">
        <v>44355</v>
      </c>
      <c r="B847">
        <v>621.00719993422842</v>
      </c>
      <c r="C847">
        <v>625.31026582559718</v>
      </c>
      <c r="D847">
        <v>597.04707962180544</v>
      </c>
      <c r="E847">
        <v>620.02923583984375</v>
      </c>
      <c r="F847">
        <v>6667982</v>
      </c>
      <c r="G847">
        <v>0</v>
      </c>
      <c r="H847">
        <v>0</v>
      </c>
      <c r="N847">
        <v>634</v>
      </c>
    </row>
    <row r="848" spans="1:14" x14ac:dyDescent="0.25">
      <c r="A848" s="1">
        <v>44356</v>
      </c>
      <c r="B848">
        <v>621.39842966177844</v>
      </c>
      <c r="C848">
        <v>635.62779575990908</v>
      </c>
      <c r="D848">
        <v>616.11739950423623</v>
      </c>
      <c r="E848">
        <v>622.22967529296875</v>
      </c>
      <c r="F848">
        <v>6835756</v>
      </c>
      <c r="G848">
        <v>0</v>
      </c>
      <c r="H848">
        <v>0</v>
      </c>
      <c r="N848">
        <v>636.25</v>
      </c>
    </row>
    <row r="849" spans="1:14" x14ac:dyDescent="0.25">
      <c r="A849" s="1">
        <v>44357</v>
      </c>
      <c r="B849">
        <v>622.96320358340563</v>
      </c>
      <c r="C849">
        <v>643.20707472737399</v>
      </c>
      <c r="D849">
        <v>622.08301191576413</v>
      </c>
      <c r="E849">
        <v>636.31243896484375</v>
      </c>
      <c r="F849">
        <v>8601713</v>
      </c>
      <c r="G849">
        <v>0</v>
      </c>
      <c r="H849">
        <v>0</v>
      </c>
      <c r="N849">
        <v>650.65</v>
      </c>
    </row>
    <row r="850" spans="1:14" x14ac:dyDescent="0.25">
      <c r="A850" s="1">
        <v>44358</v>
      </c>
      <c r="B850">
        <v>640.56654658512002</v>
      </c>
      <c r="C850">
        <v>654.16027274750911</v>
      </c>
      <c r="D850">
        <v>636.6058035404576</v>
      </c>
      <c r="E850">
        <v>650.29730224609375</v>
      </c>
      <c r="F850">
        <v>8814574</v>
      </c>
      <c r="G850">
        <v>0</v>
      </c>
      <c r="H850">
        <v>0</v>
      </c>
      <c r="N850">
        <v>664.95</v>
      </c>
    </row>
    <row r="851" spans="1:14" x14ac:dyDescent="0.25">
      <c r="A851" s="1">
        <v>44361</v>
      </c>
      <c r="B851">
        <v>653.76900862296156</v>
      </c>
      <c r="C851">
        <v>653.81789489050448</v>
      </c>
      <c r="D851">
        <v>625.06578582277245</v>
      </c>
      <c r="E851">
        <v>640.95770263671875</v>
      </c>
      <c r="F851">
        <v>4142058</v>
      </c>
      <c r="G851">
        <v>0</v>
      </c>
      <c r="H851">
        <v>0</v>
      </c>
      <c r="N851">
        <v>655.4</v>
      </c>
    </row>
    <row r="852" spans="1:14" x14ac:dyDescent="0.25">
      <c r="A852" s="1">
        <v>44362</v>
      </c>
      <c r="B852">
        <v>640.6642813000816</v>
      </c>
      <c r="C852">
        <v>643.40262863167993</v>
      </c>
      <c r="D852">
        <v>629.80890327193788</v>
      </c>
      <c r="E852">
        <v>631.76483154296875</v>
      </c>
      <c r="F852">
        <v>2926557</v>
      </c>
      <c r="G852">
        <v>0</v>
      </c>
      <c r="H852">
        <v>0</v>
      </c>
      <c r="N852">
        <v>646</v>
      </c>
    </row>
    <row r="853" spans="1:14" x14ac:dyDescent="0.25">
      <c r="A853" s="1">
        <v>44363</v>
      </c>
      <c r="B853">
        <v>630.39569499434606</v>
      </c>
      <c r="C853">
        <v>633.62302458372449</v>
      </c>
      <c r="D853">
        <v>614.25928580824302</v>
      </c>
      <c r="E853">
        <v>616.26416015625</v>
      </c>
      <c r="F853">
        <v>5460433</v>
      </c>
      <c r="G853">
        <v>0</v>
      </c>
      <c r="H853">
        <v>0</v>
      </c>
      <c r="N853">
        <v>630.15</v>
      </c>
    </row>
    <row r="854" spans="1:14" x14ac:dyDescent="0.25">
      <c r="A854" s="1">
        <v>44364</v>
      </c>
      <c r="B854">
        <v>610.24964102176546</v>
      </c>
      <c r="C854">
        <v>619.63807316140651</v>
      </c>
      <c r="D854">
        <v>603.50166438438873</v>
      </c>
      <c r="E854">
        <v>606.582275390625</v>
      </c>
      <c r="F854">
        <v>6531958</v>
      </c>
      <c r="G854">
        <v>0</v>
      </c>
      <c r="H854">
        <v>0</v>
      </c>
      <c r="N854">
        <v>620.25</v>
      </c>
    </row>
    <row r="855" spans="1:14" x14ac:dyDescent="0.25">
      <c r="A855" s="1">
        <v>44365</v>
      </c>
      <c r="B855">
        <v>610.05404631924762</v>
      </c>
      <c r="C855">
        <v>612.40118423799629</v>
      </c>
      <c r="D855">
        <v>590.29915785540322</v>
      </c>
      <c r="E855">
        <v>606.72900390625</v>
      </c>
      <c r="F855">
        <v>5218888</v>
      </c>
      <c r="G855">
        <v>0</v>
      </c>
      <c r="H855">
        <v>0</v>
      </c>
      <c r="N855">
        <v>620.4</v>
      </c>
    </row>
    <row r="856" spans="1:14" x14ac:dyDescent="0.25">
      <c r="A856" s="1">
        <v>44368</v>
      </c>
      <c r="B856">
        <v>606.33770150060877</v>
      </c>
      <c r="C856">
        <v>617.09530588207122</v>
      </c>
      <c r="D856">
        <v>599.78533053022602</v>
      </c>
      <c r="E856">
        <v>615.67724609375</v>
      </c>
      <c r="F856">
        <v>3526369</v>
      </c>
      <c r="G856">
        <v>0</v>
      </c>
      <c r="H856">
        <v>0</v>
      </c>
      <c r="N856">
        <v>629.54999999999995</v>
      </c>
    </row>
    <row r="857" spans="1:14" x14ac:dyDescent="0.25">
      <c r="A857" s="1">
        <v>44369</v>
      </c>
      <c r="B857">
        <v>621.00725543869703</v>
      </c>
      <c r="C857">
        <v>621.4962375295936</v>
      </c>
      <c r="D857">
        <v>612.69455989345465</v>
      </c>
      <c r="E857">
        <v>616.16632080078125</v>
      </c>
      <c r="F857">
        <v>2873459</v>
      </c>
      <c r="G857">
        <v>0</v>
      </c>
      <c r="H857">
        <v>0</v>
      </c>
      <c r="N857">
        <v>630.04999999999995</v>
      </c>
    </row>
    <row r="858" spans="1:14" x14ac:dyDescent="0.25">
      <c r="A858" s="1">
        <v>44370</v>
      </c>
      <c r="B858">
        <v>618.7579666969466</v>
      </c>
      <c r="C858">
        <v>619.246948801229</v>
      </c>
      <c r="D858">
        <v>607.70698307820476</v>
      </c>
      <c r="E858">
        <v>609.8095703125</v>
      </c>
      <c r="F858">
        <v>3043828</v>
      </c>
      <c r="G858">
        <v>0</v>
      </c>
      <c r="H858">
        <v>0</v>
      </c>
      <c r="N858">
        <v>623.54999999999995</v>
      </c>
    </row>
    <row r="859" spans="1:14" x14ac:dyDescent="0.25">
      <c r="A859" s="1">
        <v>44371</v>
      </c>
      <c r="B859">
        <v>610.05407759520108</v>
      </c>
      <c r="C859">
        <v>610.64089195007114</v>
      </c>
      <c r="D859">
        <v>601.54577681628393</v>
      </c>
      <c r="E859">
        <v>604.38189697265625</v>
      </c>
      <c r="F859">
        <v>2679523</v>
      </c>
      <c r="G859">
        <v>0</v>
      </c>
      <c r="H859">
        <v>0</v>
      </c>
      <c r="N859">
        <v>618</v>
      </c>
    </row>
    <row r="860" spans="1:14" x14ac:dyDescent="0.25">
      <c r="A860" s="1">
        <v>44372</v>
      </c>
      <c r="B860">
        <v>604.3329021355961</v>
      </c>
      <c r="C860">
        <v>619.05124928401062</v>
      </c>
      <c r="D860">
        <v>602.91484231215259</v>
      </c>
      <c r="E860">
        <v>610.24957275390625</v>
      </c>
      <c r="F860">
        <v>3101549</v>
      </c>
      <c r="G860">
        <v>0</v>
      </c>
      <c r="H860">
        <v>0</v>
      </c>
      <c r="N860">
        <v>624</v>
      </c>
    </row>
    <row r="861" spans="1:14" x14ac:dyDescent="0.25">
      <c r="A861" s="1">
        <v>44375</v>
      </c>
      <c r="B861">
        <v>618.02446991260297</v>
      </c>
      <c r="C861">
        <v>630.05341728002645</v>
      </c>
      <c r="D861">
        <v>612.79232578269477</v>
      </c>
      <c r="E861">
        <v>628.34197998046875</v>
      </c>
      <c r="F861">
        <v>4967635</v>
      </c>
      <c r="G861">
        <v>0</v>
      </c>
      <c r="H861">
        <v>0</v>
      </c>
      <c r="N861">
        <v>642.5</v>
      </c>
    </row>
    <row r="862" spans="1:14" x14ac:dyDescent="0.25">
      <c r="A862" s="1">
        <v>44376</v>
      </c>
      <c r="B862">
        <v>630.73794847062402</v>
      </c>
      <c r="C862">
        <v>634.60091854387224</v>
      </c>
      <c r="D862">
        <v>619.34464300589036</v>
      </c>
      <c r="E862">
        <v>626.53271484375</v>
      </c>
      <c r="F862">
        <v>5896727</v>
      </c>
      <c r="G862">
        <v>0</v>
      </c>
      <c r="H862">
        <v>0</v>
      </c>
      <c r="N862">
        <v>640.65</v>
      </c>
    </row>
    <row r="863" spans="1:14" x14ac:dyDescent="0.25">
      <c r="A863" s="1">
        <v>44377</v>
      </c>
      <c r="B863">
        <v>629.22215937431145</v>
      </c>
      <c r="C863">
        <v>635.67669890247396</v>
      </c>
      <c r="D863">
        <v>624.91909322873983</v>
      </c>
      <c r="E863">
        <v>630.98248291015625</v>
      </c>
      <c r="F863">
        <v>2908630</v>
      </c>
      <c r="G863">
        <v>0</v>
      </c>
      <c r="H863">
        <v>0</v>
      </c>
      <c r="N863">
        <v>645.20000000000005</v>
      </c>
    </row>
    <row r="864" spans="1:14" x14ac:dyDescent="0.25">
      <c r="A864" s="1">
        <v>44378</v>
      </c>
      <c r="B864">
        <v>634.79649415044366</v>
      </c>
      <c r="C864">
        <v>634.79649415044366</v>
      </c>
      <c r="D864">
        <v>619.19801399854214</v>
      </c>
      <c r="E864">
        <v>625.11468505859375</v>
      </c>
      <c r="F864">
        <v>5465599</v>
      </c>
      <c r="G864">
        <v>0</v>
      </c>
      <c r="H864">
        <v>0</v>
      </c>
      <c r="N864">
        <v>639.20000000000005</v>
      </c>
    </row>
    <row r="865" spans="1:14" x14ac:dyDescent="0.25">
      <c r="A865" s="1">
        <v>44379</v>
      </c>
      <c r="B865">
        <v>629.56441865526949</v>
      </c>
      <c r="C865">
        <v>630.10228699724678</v>
      </c>
      <c r="D865">
        <v>622.76755590611742</v>
      </c>
      <c r="E865">
        <v>625.2613525390625</v>
      </c>
      <c r="F865">
        <v>3041858</v>
      </c>
      <c r="G865">
        <v>0</v>
      </c>
      <c r="H865">
        <v>0</v>
      </c>
      <c r="N865">
        <v>639.35</v>
      </c>
    </row>
    <row r="866" spans="1:14" x14ac:dyDescent="0.25">
      <c r="A866" s="1">
        <v>44382</v>
      </c>
      <c r="B866">
        <v>628.83093190952411</v>
      </c>
      <c r="C866">
        <v>631.9604290452462</v>
      </c>
      <c r="D866">
        <v>624.33232081393135</v>
      </c>
      <c r="E866">
        <v>629.760009765625</v>
      </c>
      <c r="F866">
        <v>2474384</v>
      </c>
      <c r="G866">
        <v>0</v>
      </c>
      <c r="H866">
        <v>0</v>
      </c>
      <c r="N866">
        <v>643.95000000000005</v>
      </c>
    </row>
    <row r="867" spans="1:14" x14ac:dyDescent="0.25">
      <c r="A867" s="1">
        <v>44383</v>
      </c>
      <c r="B867">
        <v>631.52034978328663</v>
      </c>
      <c r="C867">
        <v>632.64503243172351</v>
      </c>
      <c r="D867">
        <v>621.00723517210531</v>
      </c>
      <c r="E867">
        <v>623.40325927734375</v>
      </c>
      <c r="F867">
        <v>1887653</v>
      </c>
      <c r="G867">
        <v>0</v>
      </c>
      <c r="H867">
        <v>0</v>
      </c>
      <c r="N867">
        <v>637.45000000000005</v>
      </c>
    </row>
    <row r="868" spans="1:14" x14ac:dyDescent="0.25">
      <c r="A868" s="1">
        <v>44384</v>
      </c>
      <c r="B868">
        <v>622.96320367148337</v>
      </c>
      <c r="C868">
        <v>625.45700047655555</v>
      </c>
      <c r="D868">
        <v>616.65532255969003</v>
      </c>
      <c r="E868">
        <v>624.0389404296875</v>
      </c>
      <c r="F868">
        <v>1943209</v>
      </c>
      <c r="G868">
        <v>0</v>
      </c>
      <c r="H868">
        <v>0</v>
      </c>
      <c r="N868">
        <v>638.1</v>
      </c>
    </row>
    <row r="869" spans="1:14" x14ac:dyDescent="0.25">
      <c r="A869" s="1">
        <v>44385</v>
      </c>
      <c r="B869">
        <v>623.94112975380062</v>
      </c>
      <c r="C869">
        <v>626.87502221345801</v>
      </c>
      <c r="D869">
        <v>614.35709299029224</v>
      </c>
      <c r="E869">
        <v>618.70904541015625</v>
      </c>
      <c r="F869">
        <v>2454480</v>
      </c>
      <c r="G869">
        <v>0</v>
      </c>
      <c r="H869">
        <v>0</v>
      </c>
      <c r="N869">
        <v>632.65</v>
      </c>
    </row>
    <row r="870" spans="1:14" x14ac:dyDescent="0.25">
      <c r="A870" s="1">
        <v>44386</v>
      </c>
      <c r="B870">
        <v>616.16630990620035</v>
      </c>
      <c r="C870">
        <v>628.97767627528879</v>
      </c>
      <c r="D870">
        <v>615.28617797226616</v>
      </c>
      <c r="E870">
        <v>626.38604736328125</v>
      </c>
      <c r="F870">
        <v>1980608</v>
      </c>
      <c r="G870">
        <v>0</v>
      </c>
      <c r="H870">
        <v>0</v>
      </c>
      <c r="N870">
        <v>640.5</v>
      </c>
    </row>
    <row r="871" spans="1:14" x14ac:dyDescent="0.25">
      <c r="A871" s="1">
        <v>44389</v>
      </c>
      <c r="B871">
        <v>628.34196066387631</v>
      </c>
      <c r="C871">
        <v>633.62299090195381</v>
      </c>
      <c r="D871">
        <v>624.5278766374654</v>
      </c>
      <c r="E871">
        <v>630.8846435546875</v>
      </c>
      <c r="F871">
        <v>3102840</v>
      </c>
      <c r="G871">
        <v>0</v>
      </c>
      <c r="H871">
        <v>0</v>
      </c>
      <c r="N871">
        <v>645.1</v>
      </c>
    </row>
    <row r="872" spans="1:14" x14ac:dyDescent="0.25">
      <c r="A872" s="1">
        <v>44390</v>
      </c>
      <c r="B872">
        <v>634.4542069683697</v>
      </c>
      <c r="C872">
        <v>637.53481774533316</v>
      </c>
      <c r="D872">
        <v>626.87498522809244</v>
      </c>
      <c r="E872">
        <v>631.37359619140625</v>
      </c>
      <c r="F872">
        <v>2985700</v>
      </c>
      <c r="G872">
        <v>0</v>
      </c>
      <c r="H872">
        <v>0</v>
      </c>
      <c r="N872">
        <v>645.6</v>
      </c>
    </row>
    <row r="873" spans="1:14" x14ac:dyDescent="0.25">
      <c r="A873" s="1">
        <v>44391</v>
      </c>
      <c r="B873">
        <v>630.78688675749652</v>
      </c>
      <c r="C873">
        <v>635.97008489668951</v>
      </c>
      <c r="D873">
        <v>627.85299426095003</v>
      </c>
      <c r="E873">
        <v>629.22216796875</v>
      </c>
      <c r="F873">
        <v>2614515</v>
      </c>
      <c r="G873">
        <v>0</v>
      </c>
      <c r="H873">
        <v>0</v>
      </c>
      <c r="N873">
        <v>643.4</v>
      </c>
    </row>
    <row r="874" spans="1:14" x14ac:dyDescent="0.25">
      <c r="A874" s="1">
        <v>44392</v>
      </c>
      <c r="B874">
        <v>629.2220871979988</v>
      </c>
      <c r="C874">
        <v>631.27578780587771</v>
      </c>
      <c r="D874">
        <v>621.98512942608556</v>
      </c>
      <c r="E874">
        <v>626.09259033203125</v>
      </c>
      <c r="F874">
        <v>1989641</v>
      </c>
      <c r="G874">
        <v>0</v>
      </c>
      <c r="H874">
        <v>0</v>
      </c>
      <c r="N874">
        <v>640.20000000000005</v>
      </c>
    </row>
    <row r="875" spans="1:14" x14ac:dyDescent="0.25">
      <c r="A875" s="1">
        <v>44393</v>
      </c>
      <c r="B875">
        <v>625.70148834094834</v>
      </c>
      <c r="C875">
        <v>631.66710582387293</v>
      </c>
      <c r="D875">
        <v>624.67463786058704</v>
      </c>
      <c r="E875">
        <v>629.6622314453125</v>
      </c>
      <c r="F875">
        <v>1968433</v>
      </c>
      <c r="G875">
        <v>0</v>
      </c>
      <c r="H875">
        <v>0</v>
      </c>
      <c r="N875">
        <v>643.85</v>
      </c>
    </row>
    <row r="876" spans="1:14" x14ac:dyDescent="0.25">
      <c r="A876" s="1">
        <v>44396</v>
      </c>
      <c r="B876">
        <v>629.66226272993345</v>
      </c>
      <c r="C876">
        <v>636.55695849105985</v>
      </c>
      <c r="D876">
        <v>622.96323144836663</v>
      </c>
      <c r="E876">
        <v>625.40814208984375</v>
      </c>
      <c r="F876">
        <v>3666811</v>
      </c>
      <c r="G876">
        <v>0</v>
      </c>
      <c r="H876">
        <v>0</v>
      </c>
      <c r="N876">
        <v>639.5</v>
      </c>
    </row>
    <row r="877" spans="1:14" x14ac:dyDescent="0.25">
      <c r="A877" s="1">
        <v>44397</v>
      </c>
      <c r="B877">
        <v>624.82128896573226</v>
      </c>
      <c r="C877">
        <v>624.82128896573226</v>
      </c>
      <c r="D877">
        <v>601.44792303981558</v>
      </c>
      <c r="E877">
        <v>608.78265380859375</v>
      </c>
      <c r="F877">
        <v>3628333</v>
      </c>
      <c r="G877">
        <v>0</v>
      </c>
      <c r="H877">
        <v>0</v>
      </c>
      <c r="N877">
        <v>622.5</v>
      </c>
    </row>
    <row r="878" spans="1:14" x14ac:dyDescent="0.25">
      <c r="A878" s="1">
        <v>44399</v>
      </c>
      <c r="B878">
        <v>611.96107540065759</v>
      </c>
      <c r="C878">
        <v>616.94866875916728</v>
      </c>
      <c r="D878">
        <v>602.76818838631937</v>
      </c>
      <c r="E878">
        <v>606.53338623046875</v>
      </c>
      <c r="F878">
        <v>2706726</v>
      </c>
      <c r="G878">
        <v>0</v>
      </c>
      <c r="H878">
        <v>0</v>
      </c>
      <c r="N878">
        <v>620.20000000000005</v>
      </c>
    </row>
    <row r="879" spans="1:14" x14ac:dyDescent="0.25">
      <c r="A879" s="1">
        <v>44400</v>
      </c>
      <c r="B879">
        <v>607.70694725183341</v>
      </c>
      <c r="C879">
        <v>608.782683941757</v>
      </c>
      <c r="D879">
        <v>598.51406035719731</v>
      </c>
      <c r="E879">
        <v>601.69244384765625</v>
      </c>
      <c r="F879">
        <v>2175134</v>
      </c>
      <c r="G879">
        <v>0</v>
      </c>
      <c r="H879">
        <v>0</v>
      </c>
      <c r="N879">
        <v>615.25</v>
      </c>
    </row>
    <row r="880" spans="1:14" x14ac:dyDescent="0.25">
      <c r="A880" s="1">
        <v>44403</v>
      </c>
      <c r="B880">
        <v>602.23030925576063</v>
      </c>
      <c r="C880">
        <v>602.23030925576063</v>
      </c>
      <c r="D880">
        <v>590.20136219626181</v>
      </c>
      <c r="E880">
        <v>592.2061767578125</v>
      </c>
      <c r="F880">
        <v>3376653</v>
      </c>
      <c r="G880">
        <v>0</v>
      </c>
      <c r="H880">
        <v>0</v>
      </c>
      <c r="N880">
        <v>605.54999999999995</v>
      </c>
    </row>
    <row r="881" spans="1:14" x14ac:dyDescent="0.25">
      <c r="A881" s="1">
        <v>44404</v>
      </c>
      <c r="B881">
        <v>601.44794758774799</v>
      </c>
      <c r="C881">
        <v>608.2936965846817</v>
      </c>
      <c r="D881">
        <v>577.97680816968943</v>
      </c>
      <c r="E881">
        <v>585.5560302734375</v>
      </c>
      <c r="F881">
        <v>6212666</v>
      </c>
      <c r="G881">
        <v>0</v>
      </c>
      <c r="H881">
        <v>0</v>
      </c>
      <c r="N881">
        <v>598.75</v>
      </c>
    </row>
    <row r="882" spans="1:14" x14ac:dyDescent="0.25">
      <c r="A882" s="1">
        <v>44405</v>
      </c>
      <c r="B882">
        <v>585.31009370458833</v>
      </c>
      <c r="C882">
        <v>587.91696099553678</v>
      </c>
      <c r="D882">
        <v>563.52079477122049</v>
      </c>
      <c r="E882">
        <v>567.947509765625</v>
      </c>
      <c r="F882">
        <v>4685224</v>
      </c>
      <c r="G882">
        <v>3.5</v>
      </c>
      <c r="H882">
        <v>0</v>
      </c>
      <c r="N882">
        <v>577.35</v>
      </c>
    </row>
    <row r="883" spans="1:14" x14ac:dyDescent="0.25">
      <c r="A883" s="1">
        <v>44406</v>
      </c>
      <c r="B883">
        <v>569.47234642977173</v>
      </c>
      <c r="C883">
        <v>573.30879694404462</v>
      </c>
      <c r="D883">
        <v>561.15994692042841</v>
      </c>
      <c r="E883">
        <v>562.6846923828125</v>
      </c>
      <c r="F883">
        <v>2448180</v>
      </c>
      <c r="G883">
        <v>0</v>
      </c>
      <c r="H883">
        <v>0</v>
      </c>
      <c r="N883">
        <v>572</v>
      </c>
    </row>
    <row r="884" spans="1:14" x14ac:dyDescent="0.25">
      <c r="A884" s="1">
        <v>44407</v>
      </c>
      <c r="B884">
        <v>563.66835789909089</v>
      </c>
      <c r="C884">
        <v>584.81821775045296</v>
      </c>
      <c r="D884">
        <v>563.1765006932452</v>
      </c>
      <c r="E884">
        <v>576.55499267578125</v>
      </c>
      <c r="F884">
        <v>3187410</v>
      </c>
      <c r="G884">
        <v>0</v>
      </c>
      <c r="H884">
        <v>0</v>
      </c>
      <c r="N884">
        <v>586.1</v>
      </c>
    </row>
    <row r="885" spans="1:14" x14ac:dyDescent="0.25">
      <c r="A885" s="1">
        <v>44410</v>
      </c>
      <c r="B885">
        <v>580.39151705653478</v>
      </c>
      <c r="C885">
        <v>584.08044619036866</v>
      </c>
      <c r="D885">
        <v>575.22701626916728</v>
      </c>
      <c r="E885">
        <v>582.21136474609375</v>
      </c>
      <c r="F885">
        <v>1308091</v>
      </c>
      <c r="G885">
        <v>0</v>
      </c>
      <c r="H885">
        <v>0</v>
      </c>
      <c r="N885">
        <v>591.85</v>
      </c>
    </row>
    <row r="886" spans="1:14" x14ac:dyDescent="0.25">
      <c r="A886" s="1">
        <v>44411</v>
      </c>
      <c r="B886">
        <v>582.35898817024349</v>
      </c>
      <c r="C886">
        <v>587.08080579582247</v>
      </c>
      <c r="D886">
        <v>579.40784464911042</v>
      </c>
      <c r="E886">
        <v>582.309814453125</v>
      </c>
      <c r="F886">
        <v>2099327</v>
      </c>
      <c r="G886">
        <v>0</v>
      </c>
      <c r="H886">
        <v>0</v>
      </c>
      <c r="N886">
        <v>591.95000000000005</v>
      </c>
    </row>
    <row r="887" spans="1:14" x14ac:dyDescent="0.25">
      <c r="A887" s="1">
        <v>44412</v>
      </c>
      <c r="B887">
        <v>580.39151910922214</v>
      </c>
      <c r="C887">
        <v>586.98241785988182</v>
      </c>
      <c r="D887">
        <v>575.81722295062434</v>
      </c>
      <c r="E887">
        <v>578.17816162109375</v>
      </c>
      <c r="F887">
        <v>1549289</v>
      </c>
      <c r="G887">
        <v>0</v>
      </c>
      <c r="H887">
        <v>0</v>
      </c>
      <c r="N887">
        <v>587.75</v>
      </c>
    </row>
    <row r="888" spans="1:14" x14ac:dyDescent="0.25">
      <c r="A888" s="1">
        <v>44413</v>
      </c>
      <c r="B888">
        <v>578.12895736328551</v>
      </c>
      <c r="C888">
        <v>580.39148844560384</v>
      </c>
      <c r="D888">
        <v>572.8168756559628</v>
      </c>
      <c r="E888">
        <v>575.07940673828125</v>
      </c>
      <c r="F888">
        <v>1446903</v>
      </c>
      <c r="G888">
        <v>0</v>
      </c>
      <c r="H888">
        <v>0</v>
      </c>
      <c r="N888">
        <v>584.6</v>
      </c>
    </row>
    <row r="889" spans="1:14" x14ac:dyDescent="0.25">
      <c r="A889" s="1">
        <v>44414</v>
      </c>
      <c r="B889">
        <v>574.48921377069018</v>
      </c>
      <c r="C889">
        <v>582.35892902782291</v>
      </c>
      <c r="D889">
        <v>573.25957076176314</v>
      </c>
      <c r="E889">
        <v>576.2598876953125</v>
      </c>
      <c r="F889">
        <v>1268081</v>
      </c>
      <c r="G889">
        <v>0</v>
      </c>
      <c r="H889">
        <v>0</v>
      </c>
      <c r="N889">
        <v>585.79999999999995</v>
      </c>
    </row>
    <row r="890" spans="1:14" x14ac:dyDescent="0.25">
      <c r="A890" s="1">
        <v>44417</v>
      </c>
      <c r="B890">
        <v>575.47297035456222</v>
      </c>
      <c r="C890">
        <v>580.63747137056475</v>
      </c>
      <c r="D890">
        <v>570.65274538982646</v>
      </c>
      <c r="E890">
        <v>576.35833740234375</v>
      </c>
      <c r="F890">
        <v>1416854</v>
      </c>
      <c r="G890">
        <v>0</v>
      </c>
      <c r="H890">
        <v>0</v>
      </c>
      <c r="N890">
        <v>585.9</v>
      </c>
    </row>
    <row r="891" spans="1:14" x14ac:dyDescent="0.25">
      <c r="A891" s="1">
        <v>44418</v>
      </c>
      <c r="B891">
        <v>579.1126965841213</v>
      </c>
      <c r="C891">
        <v>580.1947584399735</v>
      </c>
      <c r="D891">
        <v>563.6683680346257</v>
      </c>
      <c r="E891">
        <v>567.06219482421875</v>
      </c>
      <c r="F891">
        <v>1767304</v>
      </c>
      <c r="G891">
        <v>0</v>
      </c>
      <c r="H891">
        <v>0</v>
      </c>
      <c r="N891">
        <v>576.45000000000005</v>
      </c>
    </row>
    <row r="892" spans="1:14" x14ac:dyDescent="0.25">
      <c r="A892" s="1">
        <v>44419</v>
      </c>
      <c r="B892">
        <v>567.4064300995841</v>
      </c>
      <c r="C892">
        <v>567.99669473950985</v>
      </c>
      <c r="D892">
        <v>548.22400010460763</v>
      </c>
      <c r="E892">
        <v>554.5689697265625</v>
      </c>
      <c r="F892">
        <v>5778620</v>
      </c>
      <c r="G892">
        <v>0</v>
      </c>
      <c r="H892">
        <v>0</v>
      </c>
      <c r="N892">
        <v>563.75</v>
      </c>
    </row>
    <row r="893" spans="1:14" x14ac:dyDescent="0.25">
      <c r="A893" s="1">
        <v>44420</v>
      </c>
      <c r="B893">
        <v>551.81459582027264</v>
      </c>
      <c r="C893">
        <v>551.81459582027264</v>
      </c>
      <c r="D893">
        <v>533.27154365357228</v>
      </c>
      <c r="E893">
        <v>535.140625</v>
      </c>
      <c r="F893">
        <v>4953491</v>
      </c>
      <c r="G893">
        <v>0</v>
      </c>
      <c r="H893">
        <v>0</v>
      </c>
      <c r="N893">
        <v>544</v>
      </c>
    </row>
    <row r="894" spans="1:14" x14ac:dyDescent="0.25">
      <c r="A894" s="1">
        <v>44421</v>
      </c>
      <c r="B894">
        <v>536.1243753172937</v>
      </c>
      <c r="C894">
        <v>556.92995995387128</v>
      </c>
      <c r="D894">
        <v>527.71362877697106</v>
      </c>
      <c r="E894">
        <v>549.3553466796875</v>
      </c>
      <c r="F894">
        <v>6662740</v>
      </c>
      <c r="G894">
        <v>0</v>
      </c>
      <c r="H894">
        <v>0</v>
      </c>
      <c r="N894">
        <v>558.45000000000005</v>
      </c>
    </row>
    <row r="895" spans="1:14" x14ac:dyDescent="0.25">
      <c r="A895" s="1">
        <v>44424</v>
      </c>
      <c r="B895">
        <v>548.8143504935183</v>
      </c>
      <c r="C895">
        <v>548.91269792829235</v>
      </c>
      <c r="D895">
        <v>515.46640450613836</v>
      </c>
      <c r="E895">
        <v>523.33612060546875</v>
      </c>
      <c r="F895">
        <v>7122205</v>
      </c>
      <c r="G895">
        <v>0</v>
      </c>
      <c r="H895">
        <v>0</v>
      </c>
      <c r="N895">
        <v>532</v>
      </c>
    </row>
    <row r="896" spans="1:14" x14ac:dyDescent="0.25">
      <c r="A896" s="1">
        <v>44425</v>
      </c>
      <c r="B896">
        <v>523.33608305247833</v>
      </c>
      <c r="C896">
        <v>531.00904369050363</v>
      </c>
      <c r="D896">
        <v>518.02400105014146</v>
      </c>
      <c r="E896">
        <v>521.5162353515625</v>
      </c>
      <c r="F896">
        <v>3385586</v>
      </c>
      <c r="G896">
        <v>0</v>
      </c>
      <c r="H896">
        <v>0</v>
      </c>
      <c r="N896">
        <v>530.15</v>
      </c>
    </row>
    <row r="897" spans="1:14" x14ac:dyDescent="0.25">
      <c r="A897" s="1">
        <v>44426</v>
      </c>
      <c r="B897">
        <v>528.25467313075615</v>
      </c>
      <c r="C897">
        <v>536.71459360018241</v>
      </c>
      <c r="D897">
        <v>522.45073371117689</v>
      </c>
      <c r="E897">
        <v>533.960205078125</v>
      </c>
      <c r="F897">
        <v>3185524</v>
      </c>
      <c r="G897">
        <v>0</v>
      </c>
      <c r="H897">
        <v>0</v>
      </c>
      <c r="N897">
        <v>542.79999999999995</v>
      </c>
    </row>
    <row r="898" spans="1:14" x14ac:dyDescent="0.25">
      <c r="A898" s="1">
        <v>44428</v>
      </c>
      <c r="B898">
        <v>531.205740237741</v>
      </c>
      <c r="C898">
        <v>539.07545490792972</v>
      </c>
      <c r="D898">
        <v>513.05619877138656</v>
      </c>
      <c r="E898">
        <v>526.13958740234375</v>
      </c>
      <c r="F898">
        <v>5112841</v>
      </c>
      <c r="G898">
        <v>0</v>
      </c>
      <c r="H898">
        <v>0</v>
      </c>
      <c r="N898">
        <v>534.85</v>
      </c>
    </row>
    <row r="899" spans="1:14" x14ac:dyDescent="0.25">
      <c r="A899" s="1">
        <v>44431</v>
      </c>
      <c r="B899">
        <v>552.84755579345369</v>
      </c>
      <c r="C899">
        <v>567.60327347477369</v>
      </c>
      <c r="D899">
        <v>533.17326555169382</v>
      </c>
      <c r="E899">
        <v>538.190185546875</v>
      </c>
      <c r="F899">
        <v>20664509</v>
      </c>
      <c r="G899">
        <v>0</v>
      </c>
      <c r="H899">
        <v>0</v>
      </c>
      <c r="N899">
        <v>547.1</v>
      </c>
    </row>
    <row r="900" spans="1:14" x14ac:dyDescent="0.25">
      <c r="A900" s="1">
        <v>44432</v>
      </c>
      <c r="B900">
        <v>541.92830533148026</v>
      </c>
      <c r="C900">
        <v>543.94490791154976</v>
      </c>
      <c r="D900">
        <v>525.79536460859561</v>
      </c>
      <c r="E900">
        <v>539.96087646484375</v>
      </c>
      <c r="F900">
        <v>5043450</v>
      </c>
      <c r="G900">
        <v>0</v>
      </c>
      <c r="H900">
        <v>0</v>
      </c>
      <c r="N900">
        <v>548.9</v>
      </c>
    </row>
    <row r="901" spans="1:14" x14ac:dyDescent="0.25">
      <c r="A901" s="1">
        <v>44433</v>
      </c>
      <c r="B901">
        <v>541.73159620662534</v>
      </c>
      <c r="C901">
        <v>542.27262718242832</v>
      </c>
      <c r="D901">
        <v>531.69769613079825</v>
      </c>
      <c r="E901">
        <v>534.156982421875</v>
      </c>
      <c r="F901">
        <v>2463069</v>
      </c>
      <c r="G901">
        <v>0</v>
      </c>
      <c r="H901">
        <v>0</v>
      </c>
      <c r="N901">
        <v>543</v>
      </c>
    </row>
    <row r="902" spans="1:14" x14ac:dyDescent="0.25">
      <c r="A902" s="1">
        <v>44434</v>
      </c>
      <c r="B902">
        <v>534.94385743568876</v>
      </c>
      <c r="C902">
        <v>538.09175539872126</v>
      </c>
      <c r="D902">
        <v>529.87776450187744</v>
      </c>
      <c r="E902">
        <v>531.79595947265625</v>
      </c>
      <c r="F902">
        <v>2809344</v>
      </c>
      <c r="G902">
        <v>0</v>
      </c>
      <c r="H902">
        <v>0</v>
      </c>
      <c r="N902">
        <v>540.6</v>
      </c>
    </row>
    <row r="903" spans="1:14" x14ac:dyDescent="0.25">
      <c r="A903" s="1">
        <v>44435</v>
      </c>
      <c r="B903">
        <v>533.61592125913648</v>
      </c>
      <c r="C903">
        <v>542.71528002136495</v>
      </c>
      <c r="D903">
        <v>530.41884926159673</v>
      </c>
      <c r="E903">
        <v>541.583984375</v>
      </c>
      <c r="F903">
        <v>2224269</v>
      </c>
      <c r="G903">
        <v>0</v>
      </c>
      <c r="H903">
        <v>0</v>
      </c>
      <c r="N903">
        <v>550.54999999999995</v>
      </c>
    </row>
    <row r="904" spans="1:14" x14ac:dyDescent="0.25">
      <c r="A904" s="1">
        <v>44438</v>
      </c>
      <c r="B904">
        <v>543.9940580350858</v>
      </c>
      <c r="C904">
        <v>548.37159908175602</v>
      </c>
      <c r="D904">
        <v>539.91161929738143</v>
      </c>
      <c r="E904">
        <v>545.96148681640625</v>
      </c>
      <c r="F904">
        <v>2248028</v>
      </c>
      <c r="G904">
        <v>0</v>
      </c>
      <c r="H904">
        <v>0</v>
      </c>
      <c r="N904">
        <v>555</v>
      </c>
    </row>
    <row r="905" spans="1:14" x14ac:dyDescent="0.25">
      <c r="A905" s="1">
        <v>44439</v>
      </c>
      <c r="B905">
        <v>545.96149944587592</v>
      </c>
      <c r="C905">
        <v>548.76506150764635</v>
      </c>
      <c r="D905">
        <v>540.55107017208798</v>
      </c>
      <c r="E905">
        <v>545.1253662109375</v>
      </c>
      <c r="F905">
        <v>2015528</v>
      </c>
      <c r="G905">
        <v>0</v>
      </c>
      <c r="H905">
        <v>0</v>
      </c>
      <c r="N905">
        <v>554.15</v>
      </c>
    </row>
    <row r="906" spans="1:14" x14ac:dyDescent="0.25">
      <c r="A906" s="1">
        <v>44440</v>
      </c>
      <c r="B906">
        <v>545.96154271157218</v>
      </c>
      <c r="C906">
        <v>548.37165522366763</v>
      </c>
      <c r="D906">
        <v>539.07554127196681</v>
      </c>
      <c r="E906">
        <v>543.35467529296875</v>
      </c>
      <c r="F906">
        <v>2170037</v>
      </c>
      <c r="G906">
        <v>0</v>
      </c>
      <c r="H906">
        <v>0</v>
      </c>
      <c r="N906">
        <v>552.35</v>
      </c>
    </row>
    <row r="907" spans="1:14" x14ac:dyDescent="0.25">
      <c r="A907" s="1">
        <v>44441</v>
      </c>
      <c r="B907">
        <v>544.97778671278365</v>
      </c>
      <c r="C907">
        <v>551.86378762792708</v>
      </c>
      <c r="D907">
        <v>543.99407229633448</v>
      </c>
      <c r="E907">
        <v>547.43707275390625</v>
      </c>
      <c r="F907">
        <v>1669885</v>
      </c>
      <c r="G907">
        <v>0</v>
      </c>
      <c r="H907">
        <v>0</v>
      </c>
      <c r="N907">
        <v>556.5</v>
      </c>
    </row>
    <row r="908" spans="1:14" x14ac:dyDescent="0.25">
      <c r="A908" s="1">
        <v>44442</v>
      </c>
      <c r="B908">
        <v>550.14230011303005</v>
      </c>
      <c r="C908">
        <v>550.6833310463478</v>
      </c>
      <c r="D908">
        <v>543.99408486813707</v>
      </c>
      <c r="E908">
        <v>546.6009521484375</v>
      </c>
      <c r="F908">
        <v>1433692</v>
      </c>
      <c r="G908">
        <v>0</v>
      </c>
      <c r="H908">
        <v>0</v>
      </c>
      <c r="N908">
        <v>555.65</v>
      </c>
    </row>
    <row r="909" spans="1:14" x14ac:dyDescent="0.25">
      <c r="A909" s="1">
        <v>44445</v>
      </c>
      <c r="B909">
        <v>546.99443409418575</v>
      </c>
      <c r="C909">
        <v>548.71593446407917</v>
      </c>
      <c r="D909">
        <v>542.51854514069646</v>
      </c>
      <c r="E909">
        <v>547.83062744140625</v>
      </c>
      <c r="F909">
        <v>1242605</v>
      </c>
      <c r="G909">
        <v>0</v>
      </c>
      <c r="H909">
        <v>0</v>
      </c>
      <c r="N909">
        <v>556.9</v>
      </c>
    </row>
    <row r="910" spans="1:14" x14ac:dyDescent="0.25">
      <c r="A910" s="1">
        <v>44446</v>
      </c>
      <c r="B910">
        <v>547.8305771690134</v>
      </c>
      <c r="C910">
        <v>549.40449620344452</v>
      </c>
      <c r="D910">
        <v>541.0429237455586</v>
      </c>
      <c r="E910">
        <v>544.8302001953125</v>
      </c>
      <c r="F910">
        <v>2121937</v>
      </c>
      <c r="G910">
        <v>0</v>
      </c>
      <c r="H910">
        <v>0</v>
      </c>
      <c r="N910">
        <v>553.85</v>
      </c>
    </row>
    <row r="911" spans="1:14" x14ac:dyDescent="0.25">
      <c r="A911" s="1">
        <v>44447</v>
      </c>
      <c r="B911">
        <v>544.97779566525628</v>
      </c>
      <c r="C911">
        <v>549.20775571724118</v>
      </c>
      <c r="D911">
        <v>542.0758260808276</v>
      </c>
      <c r="E911">
        <v>546.3057861328125</v>
      </c>
      <c r="F911">
        <v>1434803</v>
      </c>
      <c r="G911">
        <v>0</v>
      </c>
      <c r="H911">
        <v>0</v>
      </c>
      <c r="N911">
        <v>555.35</v>
      </c>
    </row>
    <row r="912" spans="1:14" x14ac:dyDescent="0.25">
      <c r="A912" s="1">
        <v>44448</v>
      </c>
      <c r="B912">
        <v>542.02663805746113</v>
      </c>
      <c r="C912">
        <v>553.04425142003777</v>
      </c>
      <c r="D912">
        <v>541.92829063326235</v>
      </c>
      <c r="E912">
        <v>549.010986328125</v>
      </c>
      <c r="F912">
        <v>1877624</v>
      </c>
      <c r="G912">
        <v>0</v>
      </c>
      <c r="H912">
        <v>0</v>
      </c>
      <c r="N912">
        <v>558.1</v>
      </c>
    </row>
    <row r="913" spans="1:14" x14ac:dyDescent="0.25">
      <c r="A913" s="1">
        <v>44452</v>
      </c>
      <c r="B913">
        <v>551.8638193627404</v>
      </c>
      <c r="C913">
        <v>551.8638193627404</v>
      </c>
      <c r="D913">
        <v>545.22374666987321</v>
      </c>
      <c r="E913">
        <v>546.5025634765625</v>
      </c>
      <c r="F913">
        <v>1053538</v>
      </c>
      <c r="G913">
        <v>0</v>
      </c>
      <c r="H913">
        <v>0</v>
      </c>
      <c r="N913">
        <v>555.54999999999995</v>
      </c>
    </row>
    <row r="914" spans="1:14" x14ac:dyDescent="0.25">
      <c r="A914" s="1">
        <v>44453</v>
      </c>
      <c r="B914">
        <v>546.94519579243195</v>
      </c>
      <c r="C914">
        <v>554.22470622771641</v>
      </c>
      <c r="D914">
        <v>544.48590984012776</v>
      </c>
      <c r="E914">
        <v>551.7161865234375</v>
      </c>
      <c r="F914">
        <v>1244191</v>
      </c>
      <c r="G914">
        <v>0</v>
      </c>
      <c r="H914">
        <v>0</v>
      </c>
      <c r="N914">
        <v>560.85</v>
      </c>
    </row>
    <row r="915" spans="1:14" x14ac:dyDescent="0.25">
      <c r="A915" s="1">
        <v>44454</v>
      </c>
      <c r="B915">
        <v>553.09348207842299</v>
      </c>
      <c r="C915">
        <v>561.11077933444426</v>
      </c>
      <c r="D915">
        <v>550.19151227182306</v>
      </c>
      <c r="E915">
        <v>556.92999267578125</v>
      </c>
      <c r="F915">
        <v>2406716</v>
      </c>
      <c r="G915">
        <v>0</v>
      </c>
      <c r="H915">
        <v>0</v>
      </c>
      <c r="N915">
        <v>566.15</v>
      </c>
    </row>
    <row r="916" spans="1:14" x14ac:dyDescent="0.25">
      <c r="A916" s="1">
        <v>44455</v>
      </c>
      <c r="B916">
        <v>557.76610992945223</v>
      </c>
      <c r="C916">
        <v>559.34002908033483</v>
      </c>
      <c r="D916">
        <v>551.96217048338451</v>
      </c>
      <c r="E916">
        <v>555.30682373046875</v>
      </c>
      <c r="F916">
        <v>1253117</v>
      </c>
      <c r="G916">
        <v>0</v>
      </c>
      <c r="H916">
        <v>0</v>
      </c>
      <c r="N916">
        <v>564.5</v>
      </c>
    </row>
    <row r="917" spans="1:14" x14ac:dyDescent="0.25">
      <c r="A917" s="1">
        <v>44456</v>
      </c>
      <c r="B917">
        <v>553.83126452419253</v>
      </c>
      <c r="C917">
        <v>555.30683627692122</v>
      </c>
      <c r="D917">
        <v>542.42020031955747</v>
      </c>
      <c r="E917">
        <v>548.125732421875</v>
      </c>
      <c r="F917">
        <v>2139408</v>
      </c>
      <c r="G917">
        <v>0</v>
      </c>
      <c r="H917">
        <v>0</v>
      </c>
      <c r="N917">
        <v>557.20000000000005</v>
      </c>
    </row>
    <row r="918" spans="1:14" x14ac:dyDescent="0.25">
      <c r="A918" s="1">
        <v>44459</v>
      </c>
      <c r="B918">
        <v>547.28951387026859</v>
      </c>
      <c r="C918">
        <v>550.7817482238587</v>
      </c>
      <c r="D918">
        <v>532.68137820736388</v>
      </c>
      <c r="E918">
        <v>537.10809326171875</v>
      </c>
      <c r="F918">
        <v>2010263</v>
      </c>
      <c r="G918">
        <v>0</v>
      </c>
      <c r="H918">
        <v>0</v>
      </c>
      <c r="N918">
        <v>546</v>
      </c>
    </row>
    <row r="919" spans="1:14" x14ac:dyDescent="0.25">
      <c r="A919" s="1">
        <v>44460</v>
      </c>
      <c r="B919">
        <v>537.10807777262016</v>
      </c>
      <c r="C919">
        <v>543.84649758901617</v>
      </c>
      <c r="D919">
        <v>524.86082113385783</v>
      </c>
      <c r="E919">
        <v>541.82989501953125</v>
      </c>
      <c r="F919">
        <v>1946973</v>
      </c>
      <c r="G919">
        <v>0</v>
      </c>
      <c r="H919">
        <v>0</v>
      </c>
      <c r="N919">
        <v>550.79999999999995</v>
      </c>
    </row>
    <row r="920" spans="1:14" x14ac:dyDescent="0.25">
      <c r="A920" s="1">
        <v>44461</v>
      </c>
      <c r="B920">
        <v>542.12497491217084</v>
      </c>
      <c r="C920">
        <v>554.37223104426721</v>
      </c>
      <c r="D920">
        <v>542.12497491217084</v>
      </c>
      <c r="E920">
        <v>552.0113525390625</v>
      </c>
      <c r="F920">
        <v>1468830</v>
      </c>
      <c r="G920">
        <v>0</v>
      </c>
      <c r="H920">
        <v>0</v>
      </c>
      <c r="N920">
        <v>561.15</v>
      </c>
    </row>
    <row r="921" spans="1:14" x14ac:dyDescent="0.25">
      <c r="A921" s="1">
        <v>44462</v>
      </c>
      <c r="B921">
        <v>556.29046278474823</v>
      </c>
      <c r="C921">
        <v>561.60254427077439</v>
      </c>
      <c r="D921">
        <v>554.3230340923177</v>
      </c>
      <c r="E921">
        <v>558.011962890625</v>
      </c>
      <c r="F921">
        <v>1799045</v>
      </c>
      <c r="G921">
        <v>0</v>
      </c>
      <c r="H921">
        <v>0</v>
      </c>
      <c r="N921">
        <v>567.25</v>
      </c>
    </row>
    <row r="922" spans="1:14" x14ac:dyDescent="0.25">
      <c r="A922" s="1">
        <v>44463</v>
      </c>
      <c r="B922">
        <v>557.81521779744128</v>
      </c>
      <c r="C922">
        <v>560.32367741605788</v>
      </c>
      <c r="D922">
        <v>549.20771711707869</v>
      </c>
      <c r="E922">
        <v>554.86407470703125</v>
      </c>
      <c r="F922">
        <v>1734174</v>
      </c>
      <c r="G922">
        <v>0</v>
      </c>
      <c r="H922">
        <v>0</v>
      </c>
      <c r="N922">
        <v>564.04999999999995</v>
      </c>
    </row>
    <row r="923" spans="1:14" x14ac:dyDescent="0.25">
      <c r="A923" s="1">
        <v>44466</v>
      </c>
      <c r="B923">
        <v>555.40518638239041</v>
      </c>
      <c r="C923">
        <v>555.45442014065293</v>
      </c>
      <c r="D923">
        <v>544.68273428568261</v>
      </c>
      <c r="E923">
        <v>548.42083740234375</v>
      </c>
      <c r="F923">
        <v>1186563</v>
      </c>
      <c r="G923">
        <v>0</v>
      </c>
      <c r="H923">
        <v>0</v>
      </c>
      <c r="N923">
        <v>557.5</v>
      </c>
    </row>
    <row r="924" spans="1:14" x14ac:dyDescent="0.25">
      <c r="A924" s="1">
        <v>44467</v>
      </c>
      <c r="B924">
        <v>545.96150698033216</v>
      </c>
      <c r="C924">
        <v>545.96150698033216</v>
      </c>
      <c r="D924">
        <v>530.32042357470038</v>
      </c>
      <c r="E924">
        <v>535.48492431640625</v>
      </c>
      <c r="F924">
        <v>2642505</v>
      </c>
      <c r="G924">
        <v>0</v>
      </c>
      <c r="H924">
        <v>0</v>
      </c>
      <c r="N924">
        <v>544.35</v>
      </c>
    </row>
    <row r="925" spans="1:14" x14ac:dyDescent="0.25">
      <c r="A925" s="1">
        <v>44468</v>
      </c>
      <c r="B925">
        <v>526.28716919690612</v>
      </c>
      <c r="C925">
        <v>547.14192510602459</v>
      </c>
      <c r="D925">
        <v>526.28716919690612</v>
      </c>
      <c r="E925">
        <v>538.68194580078125</v>
      </c>
      <c r="F925">
        <v>2403708</v>
      </c>
      <c r="G925">
        <v>0</v>
      </c>
      <c r="H925">
        <v>0</v>
      </c>
      <c r="N925">
        <v>547.6</v>
      </c>
    </row>
    <row r="926" spans="1:14" x14ac:dyDescent="0.25">
      <c r="A926" s="1">
        <v>44469</v>
      </c>
      <c r="B926">
        <v>535.14065858468337</v>
      </c>
      <c r="C926">
        <v>546.45337471285222</v>
      </c>
      <c r="D926">
        <v>535.14065858468337</v>
      </c>
      <c r="E926">
        <v>542.86279296875</v>
      </c>
      <c r="F926">
        <v>2255845</v>
      </c>
      <c r="G926">
        <v>0</v>
      </c>
      <c r="H926">
        <v>0</v>
      </c>
      <c r="N926">
        <v>551.85</v>
      </c>
    </row>
    <row r="927" spans="1:14" x14ac:dyDescent="0.25">
      <c r="A927" s="1">
        <v>44470</v>
      </c>
      <c r="B927">
        <v>543.01033028509028</v>
      </c>
      <c r="C927">
        <v>550.83087150666734</v>
      </c>
      <c r="D927">
        <v>535.38654394503692</v>
      </c>
      <c r="E927">
        <v>546.65008544921875</v>
      </c>
      <c r="F927">
        <v>1445476</v>
      </c>
      <c r="G927">
        <v>0</v>
      </c>
      <c r="H927">
        <v>0</v>
      </c>
      <c r="N927">
        <v>555.70000000000005</v>
      </c>
    </row>
    <row r="928" spans="1:14" x14ac:dyDescent="0.25">
      <c r="A928" s="1">
        <v>44473</v>
      </c>
      <c r="B928">
        <v>550.88010704576834</v>
      </c>
      <c r="C928">
        <v>563.86515014865188</v>
      </c>
      <c r="D928">
        <v>548.17489223438281</v>
      </c>
      <c r="E928">
        <v>552.9951171875</v>
      </c>
      <c r="F928">
        <v>2672672</v>
      </c>
      <c r="G928">
        <v>0</v>
      </c>
      <c r="H928">
        <v>0</v>
      </c>
      <c r="N928">
        <v>562.15</v>
      </c>
    </row>
    <row r="929" spans="1:14" x14ac:dyDescent="0.25">
      <c r="A929" s="1">
        <v>44474</v>
      </c>
      <c r="B929">
        <v>552.84749198490829</v>
      </c>
      <c r="C929">
        <v>557.81523768935165</v>
      </c>
      <c r="D929">
        <v>546.55169581772566</v>
      </c>
      <c r="E929">
        <v>554.7657470703125</v>
      </c>
      <c r="F929">
        <v>1434639</v>
      </c>
      <c r="G929">
        <v>0</v>
      </c>
      <c r="H929">
        <v>0</v>
      </c>
      <c r="N929">
        <v>563.95000000000005</v>
      </c>
    </row>
    <row r="930" spans="1:14" x14ac:dyDescent="0.25">
      <c r="A930" s="1">
        <v>44475</v>
      </c>
      <c r="B930">
        <v>557.02829032573607</v>
      </c>
      <c r="C930">
        <v>557.02829032573607</v>
      </c>
      <c r="D930">
        <v>538.58364495071169</v>
      </c>
      <c r="E930">
        <v>541.38720703125</v>
      </c>
      <c r="F930">
        <v>1962074</v>
      </c>
      <c r="G930">
        <v>0</v>
      </c>
      <c r="H930">
        <v>0</v>
      </c>
      <c r="N930">
        <v>550.35</v>
      </c>
    </row>
    <row r="931" spans="1:14" x14ac:dyDescent="0.25">
      <c r="A931" s="1">
        <v>44476</v>
      </c>
      <c r="B931">
        <v>545.9614977244629</v>
      </c>
      <c r="C931">
        <v>548.66671235282729</v>
      </c>
      <c r="D931">
        <v>539.96086383801037</v>
      </c>
      <c r="E931">
        <v>540.7969970703125</v>
      </c>
      <c r="F931">
        <v>1852570</v>
      </c>
      <c r="G931">
        <v>0</v>
      </c>
      <c r="H931">
        <v>0</v>
      </c>
      <c r="N931">
        <v>549.75</v>
      </c>
    </row>
    <row r="932" spans="1:14" x14ac:dyDescent="0.25">
      <c r="A932" s="1">
        <v>44477</v>
      </c>
      <c r="B932">
        <v>544.78104919755219</v>
      </c>
      <c r="C932">
        <v>544.78104919755219</v>
      </c>
      <c r="D932">
        <v>540.0592318562226</v>
      </c>
      <c r="E932">
        <v>540.84619140625</v>
      </c>
      <c r="F932">
        <v>1129279</v>
      </c>
      <c r="G932">
        <v>0</v>
      </c>
      <c r="H932">
        <v>0</v>
      </c>
      <c r="N932">
        <v>549.79999999999995</v>
      </c>
    </row>
    <row r="933" spans="1:14" x14ac:dyDescent="0.25">
      <c r="A933" s="1">
        <v>44480</v>
      </c>
      <c r="B933">
        <v>544.97779152785972</v>
      </c>
      <c r="C933">
        <v>545.17454642112057</v>
      </c>
      <c r="D933">
        <v>537.55075962628143</v>
      </c>
      <c r="E933">
        <v>539.5181884765625</v>
      </c>
      <c r="F933">
        <v>1227493</v>
      </c>
      <c r="G933">
        <v>0</v>
      </c>
      <c r="H933">
        <v>0</v>
      </c>
      <c r="N933">
        <v>548.45000000000005</v>
      </c>
    </row>
    <row r="934" spans="1:14" x14ac:dyDescent="0.25">
      <c r="A934" s="1">
        <v>44481</v>
      </c>
      <c r="B934">
        <v>539.81328473970098</v>
      </c>
      <c r="C934">
        <v>547.92892865606098</v>
      </c>
      <c r="D934">
        <v>526.33638525824028</v>
      </c>
      <c r="E934">
        <v>532.5830078125</v>
      </c>
      <c r="F934">
        <v>1909589</v>
      </c>
      <c r="G934">
        <v>0</v>
      </c>
      <c r="H934">
        <v>0</v>
      </c>
      <c r="N934">
        <v>541.4</v>
      </c>
    </row>
    <row r="935" spans="1:14" x14ac:dyDescent="0.25">
      <c r="A935" s="1">
        <v>44482</v>
      </c>
      <c r="B935">
        <v>533.66506952515294</v>
      </c>
      <c r="C935">
        <v>538.38688670350234</v>
      </c>
      <c r="D935">
        <v>529.48428326620012</v>
      </c>
      <c r="E935">
        <v>536.7637939453125</v>
      </c>
      <c r="F935">
        <v>1223053</v>
      </c>
      <c r="G935">
        <v>0</v>
      </c>
      <c r="H935">
        <v>0</v>
      </c>
      <c r="N935">
        <v>545.65</v>
      </c>
    </row>
    <row r="936" spans="1:14" x14ac:dyDescent="0.25">
      <c r="A936" s="1">
        <v>44483</v>
      </c>
      <c r="B936">
        <v>539.96082953921996</v>
      </c>
      <c r="C936">
        <v>543.01032000102305</v>
      </c>
      <c r="D936">
        <v>534.1568908705716</v>
      </c>
      <c r="E936">
        <v>535.23895263671875</v>
      </c>
      <c r="F936">
        <v>1557711</v>
      </c>
      <c r="G936">
        <v>0</v>
      </c>
      <c r="H936">
        <v>0</v>
      </c>
      <c r="N936">
        <v>544.1</v>
      </c>
    </row>
    <row r="937" spans="1:14" x14ac:dyDescent="0.25">
      <c r="A937" s="1">
        <v>44487</v>
      </c>
      <c r="B937">
        <v>535.23902267445783</v>
      </c>
      <c r="C937">
        <v>537.10810419636982</v>
      </c>
      <c r="D937">
        <v>522.35238704811786</v>
      </c>
      <c r="E937">
        <v>525.5986328125</v>
      </c>
      <c r="F937">
        <v>1547343</v>
      </c>
      <c r="G937">
        <v>0</v>
      </c>
      <c r="H937">
        <v>0</v>
      </c>
      <c r="N937">
        <v>534.29999999999995</v>
      </c>
    </row>
    <row r="938" spans="1:14" x14ac:dyDescent="0.25">
      <c r="A938" s="1">
        <v>44488</v>
      </c>
      <c r="B938">
        <v>525.59862527849407</v>
      </c>
      <c r="C938">
        <v>527.27095187289126</v>
      </c>
      <c r="D938">
        <v>515.46637832349813</v>
      </c>
      <c r="E938">
        <v>518.515869140625</v>
      </c>
      <c r="F938">
        <v>1285363</v>
      </c>
      <c r="G938">
        <v>0</v>
      </c>
      <c r="H938">
        <v>0</v>
      </c>
      <c r="N938">
        <v>527.1</v>
      </c>
    </row>
    <row r="939" spans="1:14" x14ac:dyDescent="0.25">
      <c r="A939" s="1">
        <v>44489</v>
      </c>
      <c r="B939">
        <v>517.53212174332077</v>
      </c>
      <c r="C939">
        <v>519.30285569597606</v>
      </c>
      <c r="D939">
        <v>506.61291592147802</v>
      </c>
      <c r="E939">
        <v>508.777099609375</v>
      </c>
      <c r="F939">
        <v>1159491</v>
      </c>
      <c r="G939">
        <v>0</v>
      </c>
      <c r="H939">
        <v>0</v>
      </c>
      <c r="N939">
        <v>517.20000000000005</v>
      </c>
    </row>
    <row r="940" spans="1:14" x14ac:dyDescent="0.25">
      <c r="A940" s="1">
        <v>44490</v>
      </c>
      <c r="B940">
        <v>509.90833296161611</v>
      </c>
      <c r="C940">
        <v>513.99077171997158</v>
      </c>
      <c r="D940">
        <v>496.82494350788556</v>
      </c>
      <c r="E940">
        <v>502.28457641601563</v>
      </c>
      <c r="F940">
        <v>1131700</v>
      </c>
      <c r="G940">
        <v>0</v>
      </c>
      <c r="H940">
        <v>0</v>
      </c>
      <c r="N940">
        <v>510.6</v>
      </c>
    </row>
    <row r="941" spans="1:14" x14ac:dyDescent="0.25">
      <c r="A941" s="1">
        <v>44491</v>
      </c>
      <c r="B941">
        <v>502.67809002479129</v>
      </c>
      <c r="C941">
        <v>509.56409125800758</v>
      </c>
      <c r="D941">
        <v>492.84094540591082</v>
      </c>
      <c r="E941">
        <v>494.2181396484375</v>
      </c>
      <c r="F941">
        <v>1113599</v>
      </c>
      <c r="G941">
        <v>0</v>
      </c>
      <c r="H941">
        <v>0</v>
      </c>
      <c r="N941">
        <v>502.4</v>
      </c>
    </row>
    <row r="942" spans="1:14" x14ac:dyDescent="0.25">
      <c r="A942" s="1">
        <v>44494</v>
      </c>
      <c r="B942">
        <v>494.80838184347829</v>
      </c>
      <c r="C942">
        <v>496.677433345331</v>
      </c>
      <c r="D942">
        <v>482.02009364474026</v>
      </c>
      <c r="E942">
        <v>490.775146484375</v>
      </c>
      <c r="F942">
        <v>1578920</v>
      </c>
      <c r="G942">
        <v>0</v>
      </c>
      <c r="H942">
        <v>0</v>
      </c>
      <c r="N942">
        <v>498.9</v>
      </c>
    </row>
    <row r="943" spans="1:14" x14ac:dyDescent="0.25">
      <c r="A943" s="1">
        <v>44495</v>
      </c>
      <c r="B943">
        <v>493.82463944212333</v>
      </c>
      <c r="C943">
        <v>501.69435481171894</v>
      </c>
      <c r="D943">
        <v>489.84060804449825</v>
      </c>
      <c r="E943">
        <v>500.51388549804688</v>
      </c>
      <c r="F943">
        <v>1921489</v>
      </c>
      <c r="G943">
        <v>0</v>
      </c>
      <c r="H943">
        <v>0</v>
      </c>
      <c r="N943">
        <v>508.8</v>
      </c>
    </row>
    <row r="944" spans="1:14" x14ac:dyDescent="0.25">
      <c r="A944" s="1">
        <v>44496</v>
      </c>
      <c r="B944">
        <v>503.61262440395518</v>
      </c>
      <c r="C944">
        <v>506.41618656842047</v>
      </c>
      <c r="D944">
        <v>499.33346054473287</v>
      </c>
      <c r="E944">
        <v>500.90740966796875</v>
      </c>
      <c r="F944">
        <v>1506321</v>
      </c>
      <c r="G944">
        <v>0</v>
      </c>
      <c r="H944">
        <v>0</v>
      </c>
      <c r="N944">
        <v>509.2</v>
      </c>
    </row>
    <row r="945" spans="1:14" x14ac:dyDescent="0.25">
      <c r="A945" s="1">
        <v>44497</v>
      </c>
      <c r="B945">
        <v>502.67809045243592</v>
      </c>
      <c r="C945">
        <v>502.67809045243592</v>
      </c>
      <c r="D945">
        <v>481.62660695423915</v>
      </c>
      <c r="E945">
        <v>483.69241333007813</v>
      </c>
      <c r="F945">
        <v>1987837</v>
      </c>
      <c r="G945">
        <v>0</v>
      </c>
      <c r="H945">
        <v>0</v>
      </c>
      <c r="N945">
        <v>491.7</v>
      </c>
    </row>
    <row r="946" spans="1:14" x14ac:dyDescent="0.25">
      <c r="A946" s="1">
        <v>44498</v>
      </c>
      <c r="B946">
        <v>484.47935617498445</v>
      </c>
      <c r="C946">
        <v>503.66178753622751</v>
      </c>
      <c r="D946">
        <v>481.47903917543306</v>
      </c>
      <c r="E946">
        <v>494.61160278320313</v>
      </c>
      <c r="F946">
        <v>3356396</v>
      </c>
      <c r="G946">
        <v>0</v>
      </c>
      <c r="H946">
        <v>0</v>
      </c>
      <c r="N946">
        <v>502.8</v>
      </c>
    </row>
    <row r="947" spans="1:14" x14ac:dyDescent="0.25">
      <c r="A947" s="1">
        <v>44501</v>
      </c>
      <c r="B947">
        <v>497.75948838311552</v>
      </c>
      <c r="C947">
        <v>500.80900903938129</v>
      </c>
      <c r="D947">
        <v>492.00475311607198</v>
      </c>
      <c r="E947">
        <v>493.28359985351563</v>
      </c>
      <c r="F947">
        <v>1553580</v>
      </c>
      <c r="G947">
        <v>0</v>
      </c>
      <c r="H947">
        <v>0</v>
      </c>
      <c r="N947">
        <v>501.45</v>
      </c>
    </row>
    <row r="948" spans="1:14" x14ac:dyDescent="0.25">
      <c r="A948" s="1">
        <v>44502</v>
      </c>
      <c r="B948">
        <v>494.80836987230782</v>
      </c>
      <c r="C948">
        <v>495.98883922417264</v>
      </c>
      <c r="D948">
        <v>482.02008198296386</v>
      </c>
      <c r="E948">
        <v>487.43051147460938</v>
      </c>
      <c r="F948">
        <v>2044900</v>
      </c>
      <c r="G948">
        <v>0</v>
      </c>
      <c r="H948">
        <v>0</v>
      </c>
      <c r="N948">
        <v>495.5</v>
      </c>
    </row>
    <row r="949" spans="1:14" x14ac:dyDescent="0.25">
      <c r="A949" s="1">
        <v>44503</v>
      </c>
      <c r="B949">
        <v>489.15197389935133</v>
      </c>
      <c r="C949">
        <v>490.33244315982927</v>
      </c>
      <c r="D949">
        <v>478.13436087015845</v>
      </c>
      <c r="E949">
        <v>482.51190185546875</v>
      </c>
      <c r="F949">
        <v>1684324</v>
      </c>
      <c r="G949">
        <v>0</v>
      </c>
      <c r="H949">
        <v>0</v>
      </c>
      <c r="N949">
        <v>490.5</v>
      </c>
    </row>
    <row r="950" spans="1:14" x14ac:dyDescent="0.25">
      <c r="A950" s="1">
        <v>44504</v>
      </c>
      <c r="B950">
        <v>482.51190185546875</v>
      </c>
      <c r="C950">
        <v>482.51190185546875</v>
      </c>
      <c r="D950">
        <v>482.51190185546875</v>
      </c>
      <c r="E950">
        <v>482.51190185546875</v>
      </c>
      <c r="F950">
        <v>0</v>
      </c>
      <c r="G950">
        <v>0</v>
      </c>
      <c r="H950">
        <v>0</v>
      </c>
      <c r="N950">
        <v>491.75</v>
      </c>
    </row>
    <row r="951" spans="1:14" x14ac:dyDescent="0.25">
      <c r="A951" s="1">
        <v>44508</v>
      </c>
      <c r="B951">
        <v>489.79140034462614</v>
      </c>
      <c r="C951">
        <v>489.79140034462614</v>
      </c>
      <c r="D951">
        <v>478.72461319575416</v>
      </c>
      <c r="E951">
        <v>486.44677734375</v>
      </c>
      <c r="F951">
        <v>1310748</v>
      </c>
      <c r="G951">
        <v>0</v>
      </c>
      <c r="H951">
        <v>0</v>
      </c>
      <c r="N951">
        <v>494.5</v>
      </c>
    </row>
    <row r="952" spans="1:14" x14ac:dyDescent="0.25">
      <c r="A952" s="1">
        <v>44509</v>
      </c>
      <c r="B952">
        <v>501.64518379850324</v>
      </c>
      <c r="C952">
        <v>501.64518379850324</v>
      </c>
      <c r="D952">
        <v>485.95492668770197</v>
      </c>
      <c r="E952">
        <v>490.28326416015625</v>
      </c>
      <c r="F952">
        <v>4841426</v>
      </c>
      <c r="G952">
        <v>0</v>
      </c>
      <c r="H952">
        <v>0</v>
      </c>
      <c r="N952">
        <v>498.4</v>
      </c>
    </row>
    <row r="953" spans="1:14" x14ac:dyDescent="0.25">
      <c r="A953" s="1">
        <v>44510</v>
      </c>
      <c r="B953">
        <v>490.38163565104838</v>
      </c>
      <c r="C953">
        <v>496.67740190002479</v>
      </c>
      <c r="D953">
        <v>487.03701264570918</v>
      </c>
      <c r="E953">
        <v>493.87380981445313</v>
      </c>
      <c r="F953">
        <v>1443402</v>
      </c>
      <c r="G953">
        <v>0</v>
      </c>
      <c r="H953">
        <v>0</v>
      </c>
      <c r="N953">
        <v>502.05</v>
      </c>
    </row>
    <row r="954" spans="1:14" x14ac:dyDescent="0.25">
      <c r="A954" s="1">
        <v>44511</v>
      </c>
      <c r="B954">
        <v>493.8246419496312</v>
      </c>
      <c r="C954">
        <v>493.8246419496312</v>
      </c>
      <c r="D954">
        <v>483.00378326149189</v>
      </c>
      <c r="E954">
        <v>483.93832397460938</v>
      </c>
      <c r="F954">
        <v>1483860</v>
      </c>
      <c r="G954">
        <v>0</v>
      </c>
      <c r="H954">
        <v>0</v>
      </c>
      <c r="N954">
        <v>491.95</v>
      </c>
    </row>
    <row r="955" spans="1:14" x14ac:dyDescent="0.25">
      <c r="A955" s="1">
        <v>44512</v>
      </c>
      <c r="B955">
        <v>484.47935082557609</v>
      </c>
      <c r="C955">
        <v>487.08618802894762</v>
      </c>
      <c r="D955">
        <v>479.31485013149631</v>
      </c>
      <c r="E955">
        <v>484.57772827148438</v>
      </c>
      <c r="F955">
        <v>1229164</v>
      </c>
      <c r="G955">
        <v>0</v>
      </c>
      <c r="H955">
        <v>0</v>
      </c>
      <c r="N955">
        <v>492.6</v>
      </c>
    </row>
    <row r="956" spans="1:14" x14ac:dyDescent="0.25">
      <c r="A956" s="1">
        <v>44515</v>
      </c>
      <c r="B956">
        <v>483.98751012561269</v>
      </c>
      <c r="C956">
        <v>489.88979683446161</v>
      </c>
      <c r="D956">
        <v>480.20020348331809</v>
      </c>
      <c r="E956">
        <v>485.26632690429688</v>
      </c>
      <c r="F956">
        <v>1410869</v>
      </c>
      <c r="G956">
        <v>0</v>
      </c>
      <c r="H956">
        <v>0</v>
      </c>
      <c r="N956">
        <v>493.3</v>
      </c>
    </row>
    <row r="957" spans="1:14" x14ac:dyDescent="0.25">
      <c r="A957" s="1">
        <v>44516</v>
      </c>
      <c r="B957">
        <v>487.33212445236899</v>
      </c>
      <c r="C957">
        <v>489.10282844538369</v>
      </c>
      <c r="D957">
        <v>470.70735652690405</v>
      </c>
      <c r="E957">
        <v>472.77316284179688</v>
      </c>
      <c r="F957">
        <v>1960972</v>
      </c>
      <c r="G957">
        <v>0</v>
      </c>
      <c r="H957">
        <v>0</v>
      </c>
      <c r="N957">
        <v>480.6</v>
      </c>
    </row>
    <row r="958" spans="1:14" x14ac:dyDescent="0.25">
      <c r="A958" s="1">
        <v>44517</v>
      </c>
      <c r="B958">
        <v>472.13375489185501</v>
      </c>
      <c r="C958">
        <v>474.69138840533498</v>
      </c>
      <c r="D958">
        <v>463.32949869400153</v>
      </c>
      <c r="E958">
        <v>464.41159057617188</v>
      </c>
      <c r="F958">
        <v>2006705</v>
      </c>
      <c r="G958">
        <v>0</v>
      </c>
      <c r="H958">
        <v>0</v>
      </c>
      <c r="N958">
        <v>472.1</v>
      </c>
    </row>
    <row r="959" spans="1:14" x14ac:dyDescent="0.25">
      <c r="A959" s="1">
        <v>44518</v>
      </c>
      <c r="B959">
        <v>465.29692894809835</v>
      </c>
      <c r="C959">
        <v>467.26435782314314</v>
      </c>
      <c r="D959">
        <v>453.73828430721005</v>
      </c>
      <c r="E959">
        <v>455.115478515625</v>
      </c>
      <c r="F959">
        <v>1781303</v>
      </c>
      <c r="G959">
        <v>0</v>
      </c>
      <c r="H959">
        <v>0</v>
      </c>
      <c r="N959">
        <v>462.65</v>
      </c>
    </row>
    <row r="960" spans="1:14" x14ac:dyDescent="0.25">
      <c r="A960" s="1">
        <v>44522</v>
      </c>
      <c r="B960">
        <v>455.85324416820146</v>
      </c>
      <c r="C960">
        <v>459.39462199066105</v>
      </c>
      <c r="D960">
        <v>445.42586558785189</v>
      </c>
      <c r="E960">
        <v>448.86886596679688</v>
      </c>
      <c r="F960">
        <v>1875917</v>
      </c>
      <c r="G960">
        <v>0</v>
      </c>
      <c r="H960">
        <v>0</v>
      </c>
      <c r="N960">
        <v>456.3</v>
      </c>
    </row>
    <row r="961" spans="1:14" x14ac:dyDescent="0.25">
      <c r="A961" s="1">
        <v>44523</v>
      </c>
      <c r="B961">
        <v>447.59006685617919</v>
      </c>
      <c r="C961">
        <v>458.36175190193984</v>
      </c>
      <c r="D961">
        <v>443.99951518111965</v>
      </c>
      <c r="E961">
        <v>455.9024658203125</v>
      </c>
      <c r="F961">
        <v>1116135</v>
      </c>
      <c r="G961">
        <v>0</v>
      </c>
      <c r="H961">
        <v>0</v>
      </c>
      <c r="N961">
        <v>463.45</v>
      </c>
    </row>
    <row r="962" spans="1:14" x14ac:dyDescent="0.25">
      <c r="A962" s="1">
        <v>44524</v>
      </c>
      <c r="B962">
        <v>456.83697807126873</v>
      </c>
      <c r="C962">
        <v>459.39464160896824</v>
      </c>
      <c r="D962">
        <v>450.09852818059676</v>
      </c>
      <c r="E962">
        <v>451.86923217773438</v>
      </c>
      <c r="F962">
        <v>1234699</v>
      </c>
      <c r="G962">
        <v>0</v>
      </c>
      <c r="H962">
        <v>0</v>
      </c>
      <c r="N962">
        <v>459.35</v>
      </c>
    </row>
    <row r="963" spans="1:14" x14ac:dyDescent="0.25">
      <c r="A963" s="1">
        <v>44525</v>
      </c>
      <c r="B963">
        <v>451.86921776037741</v>
      </c>
      <c r="C963">
        <v>457.23044325313731</v>
      </c>
      <c r="D963">
        <v>449.31155430428282</v>
      </c>
      <c r="E963">
        <v>454.57443237304688</v>
      </c>
      <c r="F963">
        <v>1291879</v>
      </c>
      <c r="G963">
        <v>0</v>
      </c>
      <c r="H963">
        <v>0</v>
      </c>
      <c r="N963">
        <v>462.1</v>
      </c>
    </row>
    <row r="964" spans="1:14" x14ac:dyDescent="0.25">
      <c r="A964" s="1">
        <v>44526</v>
      </c>
      <c r="B964">
        <v>452.50864030520671</v>
      </c>
      <c r="C964">
        <v>472.18292901412877</v>
      </c>
      <c r="D964">
        <v>450.59038514785397</v>
      </c>
      <c r="E964">
        <v>465.49368286132813</v>
      </c>
      <c r="F964">
        <v>7102460</v>
      </c>
      <c r="G964">
        <v>0</v>
      </c>
      <c r="H964">
        <v>0</v>
      </c>
      <c r="N964">
        <v>473.2</v>
      </c>
    </row>
    <row r="965" spans="1:14" x14ac:dyDescent="0.25">
      <c r="A965" s="1">
        <v>44529</v>
      </c>
      <c r="B965">
        <v>473.06825649053269</v>
      </c>
      <c r="C965">
        <v>474.78975671795138</v>
      </c>
      <c r="D965">
        <v>447.59005912885277</v>
      </c>
      <c r="E965">
        <v>448.8197021484375</v>
      </c>
      <c r="F965">
        <v>4300056</v>
      </c>
      <c r="G965">
        <v>0</v>
      </c>
      <c r="H965">
        <v>0</v>
      </c>
      <c r="N965">
        <v>456.25</v>
      </c>
    </row>
    <row r="966" spans="1:14" x14ac:dyDescent="0.25">
      <c r="A966" s="1">
        <v>44530</v>
      </c>
      <c r="B966">
        <v>447.59005358499718</v>
      </c>
      <c r="C966">
        <v>465.19853540323578</v>
      </c>
      <c r="D966">
        <v>443.65519597106311</v>
      </c>
      <c r="E966">
        <v>457.67312622070313</v>
      </c>
      <c r="F966">
        <v>3945304</v>
      </c>
      <c r="G966">
        <v>0</v>
      </c>
      <c r="H966">
        <v>0</v>
      </c>
      <c r="N966">
        <v>465.25</v>
      </c>
    </row>
    <row r="967" spans="1:14" x14ac:dyDescent="0.25">
      <c r="A967" s="1">
        <v>44531</v>
      </c>
      <c r="B967">
        <v>460.32917383107934</v>
      </c>
      <c r="C967">
        <v>460.32917383107934</v>
      </c>
      <c r="D967">
        <v>445.42587638451232</v>
      </c>
      <c r="E967">
        <v>446.8031005859375</v>
      </c>
      <c r="F967">
        <v>1512855</v>
      </c>
      <c r="G967">
        <v>0</v>
      </c>
      <c r="H967">
        <v>0</v>
      </c>
      <c r="N967">
        <v>454.2</v>
      </c>
    </row>
    <row r="968" spans="1:14" x14ac:dyDescent="0.25">
      <c r="A968" s="1">
        <v>44532</v>
      </c>
      <c r="B968">
        <v>448.57379383170519</v>
      </c>
      <c r="C968">
        <v>456.05002973301686</v>
      </c>
      <c r="D968">
        <v>448.37703893144055</v>
      </c>
      <c r="E968">
        <v>453.0496826171875</v>
      </c>
      <c r="F968">
        <v>2063038</v>
      </c>
      <c r="G968">
        <v>0</v>
      </c>
      <c r="H968">
        <v>0</v>
      </c>
      <c r="N968">
        <v>460.55</v>
      </c>
    </row>
    <row r="969" spans="1:14" x14ac:dyDescent="0.25">
      <c r="A969" s="1">
        <v>44533</v>
      </c>
      <c r="B969">
        <v>454.37769238399613</v>
      </c>
      <c r="C969">
        <v>457.72231546522193</v>
      </c>
      <c r="D969">
        <v>449.60667136108265</v>
      </c>
      <c r="E969">
        <v>452.95132446289063</v>
      </c>
      <c r="F969">
        <v>1503042</v>
      </c>
      <c r="G969">
        <v>0</v>
      </c>
      <c r="H969">
        <v>0</v>
      </c>
      <c r="N969">
        <v>460.45</v>
      </c>
    </row>
    <row r="970" spans="1:14" x14ac:dyDescent="0.25">
      <c r="A970" s="1">
        <v>44536</v>
      </c>
      <c r="B970">
        <v>454.52522837249199</v>
      </c>
      <c r="C970">
        <v>457.23044298356655</v>
      </c>
      <c r="D970">
        <v>444.44215573121414</v>
      </c>
      <c r="E970">
        <v>445.13076782226563</v>
      </c>
      <c r="F970">
        <v>1946311</v>
      </c>
      <c r="G970">
        <v>0</v>
      </c>
      <c r="H970">
        <v>0</v>
      </c>
      <c r="N970">
        <v>452.5</v>
      </c>
    </row>
    <row r="971" spans="1:14" x14ac:dyDescent="0.25">
      <c r="A971" s="1">
        <v>44537</v>
      </c>
      <c r="B971">
        <v>446.60633860678701</v>
      </c>
      <c r="C971">
        <v>448.13108392199183</v>
      </c>
      <c r="D971">
        <v>439.76951150314233</v>
      </c>
      <c r="E971">
        <v>441.884521484375</v>
      </c>
      <c r="F971">
        <v>1900775</v>
      </c>
      <c r="G971">
        <v>0</v>
      </c>
      <c r="H971">
        <v>0</v>
      </c>
      <c r="N971">
        <v>449.2</v>
      </c>
    </row>
    <row r="972" spans="1:14" x14ac:dyDescent="0.25">
      <c r="A972" s="1">
        <v>44538</v>
      </c>
      <c r="B972">
        <v>444.44216387992032</v>
      </c>
      <c r="C972">
        <v>456.83697160203297</v>
      </c>
      <c r="D972">
        <v>443.36010203211617</v>
      </c>
      <c r="E972">
        <v>454.377685546875</v>
      </c>
      <c r="F972">
        <v>3599225</v>
      </c>
      <c r="G972">
        <v>0</v>
      </c>
      <c r="H972">
        <v>0</v>
      </c>
      <c r="N972">
        <v>461.9</v>
      </c>
    </row>
    <row r="973" spans="1:14" x14ac:dyDescent="0.25">
      <c r="A973" s="1">
        <v>44539</v>
      </c>
      <c r="B973">
        <v>456.78779246198042</v>
      </c>
      <c r="C973">
        <v>459.14870104276537</v>
      </c>
      <c r="D973">
        <v>451.57408807464145</v>
      </c>
      <c r="E973">
        <v>454.86953735351563</v>
      </c>
      <c r="F973">
        <v>1804977</v>
      </c>
      <c r="G973">
        <v>0</v>
      </c>
      <c r="H973">
        <v>0</v>
      </c>
      <c r="N973">
        <v>462.4</v>
      </c>
    </row>
    <row r="974" spans="1:14" x14ac:dyDescent="0.25">
      <c r="A974" s="1">
        <v>44540</v>
      </c>
      <c r="B974">
        <v>454.37769820580786</v>
      </c>
      <c r="C974">
        <v>463.32950570009609</v>
      </c>
      <c r="D974">
        <v>454.37769820580786</v>
      </c>
      <c r="E974">
        <v>459.88650512695313</v>
      </c>
      <c r="F974">
        <v>1551111</v>
      </c>
      <c r="G974">
        <v>0</v>
      </c>
      <c r="H974">
        <v>0</v>
      </c>
      <c r="N974">
        <v>467.5</v>
      </c>
    </row>
    <row r="975" spans="1:14" x14ac:dyDescent="0.25">
      <c r="A975" s="1">
        <v>44543</v>
      </c>
      <c r="B975">
        <v>464.21485746493374</v>
      </c>
      <c r="C975">
        <v>464.21485746493374</v>
      </c>
      <c r="D975">
        <v>454.96794734993819</v>
      </c>
      <c r="E975">
        <v>457.18130493164063</v>
      </c>
      <c r="F975">
        <v>1081844</v>
      </c>
      <c r="G975">
        <v>0</v>
      </c>
      <c r="H975">
        <v>0</v>
      </c>
      <c r="N975">
        <v>464.75</v>
      </c>
    </row>
    <row r="976" spans="1:14" x14ac:dyDescent="0.25">
      <c r="A976" s="1">
        <v>44544</v>
      </c>
      <c r="B976">
        <v>459.88648583631311</v>
      </c>
      <c r="C976">
        <v>466.67410924881841</v>
      </c>
      <c r="D976">
        <v>451.42653592162515</v>
      </c>
      <c r="E976">
        <v>459.98486328125</v>
      </c>
      <c r="F976">
        <v>3446381</v>
      </c>
      <c r="G976">
        <v>0</v>
      </c>
      <c r="H976">
        <v>0</v>
      </c>
      <c r="N976">
        <v>467.6</v>
      </c>
    </row>
    <row r="977" spans="1:14" x14ac:dyDescent="0.25">
      <c r="A977" s="1">
        <v>44545</v>
      </c>
      <c r="B977">
        <v>459.8373225304577</v>
      </c>
      <c r="C977">
        <v>462.24740487275488</v>
      </c>
      <c r="D977">
        <v>456.9353529523446</v>
      </c>
      <c r="E977">
        <v>457.9190673828125</v>
      </c>
      <c r="F977">
        <v>1048175</v>
      </c>
      <c r="G977">
        <v>0</v>
      </c>
      <c r="H977">
        <v>0</v>
      </c>
      <c r="N977">
        <v>465.5</v>
      </c>
    </row>
    <row r="978" spans="1:14" x14ac:dyDescent="0.25">
      <c r="A978" s="1">
        <v>44546</v>
      </c>
      <c r="B978">
        <v>460.72265507519666</v>
      </c>
      <c r="C978">
        <v>461.06696112665981</v>
      </c>
      <c r="D978">
        <v>451.52491923481557</v>
      </c>
      <c r="E978">
        <v>456.39431762695313</v>
      </c>
      <c r="F978">
        <v>1188653</v>
      </c>
      <c r="G978">
        <v>0</v>
      </c>
      <c r="H978">
        <v>0</v>
      </c>
      <c r="N978">
        <v>463.95</v>
      </c>
    </row>
    <row r="979" spans="1:14" x14ac:dyDescent="0.25">
      <c r="A979" s="1">
        <v>44547</v>
      </c>
      <c r="B979">
        <v>458.41092852072563</v>
      </c>
      <c r="C979">
        <v>458.41092852072563</v>
      </c>
      <c r="D979">
        <v>445.17995730948036</v>
      </c>
      <c r="E979">
        <v>452.01678466796875</v>
      </c>
      <c r="F979">
        <v>1693403</v>
      </c>
      <c r="G979">
        <v>0</v>
      </c>
      <c r="H979">
        <v>0</v>
      </c>
      <c r="N979">
        <v>459.5</v>
      </c>
    </row>
    <row r="980" spans="1:14" x14ac:dyDescent="0.25">
      <c r="A980" s="1">
        <v>44550</v>
      </c>
      <c r="B980">
        <v>450.54120921718572</v>
      </c>
      <c r="C980">
        <v>450.54120921718572</v>
      </c>
      <c r="D980">
        <v>429.19459406481991</v>
      </c>
      <c r="E980">
        <v>437.94967651367188</v>
      </c>
      <c r="F980">
        <v>2283948</v>
      </c>
      <c r="G980">
        <v>0</v>
      </c>
      <c r="H980">
        <v>0</v>
      </c>
      <c r="N980">
        <v>445.2</v>
      </c>
    </row>
    <row r="981" spans="1:14" x14ac:dyDescent="0.25">
      <c r="A981" s="1">
        <v>44551</v>
      </c>
      <c r="B981">
        <v>441.93371058741343</v>
      </c>
      <c r="C981">
        <v>450.00018097475993</v>
      </c>
      <c r="D981">
        <v>438.73663866886233</v>
      </c>
      <c r="E981">
        <v>447.68844604492188</v>
      </c>
      <c r="F981">
        <v>1921538</v>
      </c>
      <c r="G981">
        <v>0</v>
      </c>
      <c r="H981">
        <v>0</v>
      </c>
      <c r="N981">
        <v>455.1</v>
      </c>
    </row>
    <row r="982" spans="1:14" x14ac:dyDescent="0.25">
      <c r="A982" s="1">
        <v>44552</v>
      </c>
      <c r="B982">
        <v>444.83569912642855</v>
      </c>
      <c r="C982">
        <v>462.1982536655143</v>
      </c>
      <c r="D982">
        <v>444.83569912642855</v>
      </c>
      <c r="E982">
        <v>459.19790649414063</v>
      </c>
      <c r="F982">
        <v>2421201</v>
      </c>
      <c r="G982">
        <v>0</v>
      </c>
      <c r="H982">
        <v>0</v>
      </c>
      <c r="N982">
        <v>466.8</v>
      </c>
    </row>
    <row r="983" spans="1:14" x14ac:dyDescent="0.25">
      <c r="A983" s="1">
        <v>44553</v>
      </c>
      <c r="B983">
        <v>461.75555311729232</v>
      </c>
      <c r="C983">
        <v>464.31321667086695</v>
      </c>
      <c r="D983">
        <v>454.9187557570516</v>
      </c>
      <c r="E983">
        <v>457.42721557617188</v>
      </c>
      <c r="F983">
        <v>2625082</v>
      </c>
      <c r="G983">
        <v>0</v>
      </c>
      <c r="H983">
        <v>0</v>
      </c>
      <c r="N983">
        <v>465</v>
      </c>
    </row>
    <row r="984" spans="1:14" x14ac:dyDescent="0.25">
      <c r="A984" s="1">
        <v>44554</v>
      </c>
      <c r="B984">
        <v>459.05031782691515</v>
      </c>
      <c r="C984">
        <v>459.59137875816884</v>
      </c>
      <c r="D984">
        <v>445.03238765528283</v>
      </c>
      <c r="E984">
        <v>445.917724609375</v>
      </c>
      <c r="F984">
        <v>2143620</v>
      </c>
      <c r="G984">
        <v>0</v>
      </c>
      <c r="H984">
        <v>0</v>
      </c>
      <c r="N984">
        <v>453.3</v>
      </c>
    </row>
    <row r="985" spans="1:14" x14ac:dyDescent="0.25">
      <c r="A985" s="1">
        <v>44557</v>
      </c>
      <c r="B985">
        <v>449.01646591759959</v>
      </c>
      <c r="C985">
        <v>452.36108899288251</v>
      </c>
      <c r="D985">
        <v>446.60635354332891</v>
      </c>
      <c r="E985">
        <v>450.78713989257813</v>
      </c>
      <c r="F985">
        <v>2454563</v>
      </c>
      <c r="G985">
        <v>0</v>
      </c>
      <c r="H985">
        <v>0</v>
      </c>
      <c r="N985">
        <v>458.25</v>
      </c>
    </row>
    <row r="986" spans="1:14" x14ac:dyDescent="0.25">
      <c r="A986" s="1">
        <v>44558</v>
      </c>
      <c r="B986">
        <v>449.55747628027632</v>
      </c>
      <c r="C986">
        <v>456.34509956791925</v>
      </c>
      <c r="D986">
        <v>448.18028213823845</v>
      </c>
      <c r="E986">
        <v>450.73794555664063</v>
      </c>
      <c r="F986">
        <v>1528184</v>
      </c>
      <c r="G986">
        <v>0</v>
      </c>
      <c r="H986">
        <v>0</v>
      </c>
      <c r="N986">
        <v>458.2</v>
      </c>
    </row>
    <row r="987" spans="1:14" x14ac:dyDescent="0.25">
      <c r="A987" s="1">
        <v>44559</v>
      </c>
      <c r="B987">
        <v>451.52492868284247</v>
      </c>
      <c r="C987">
        <v>462.83764476095291</v>
      </c>
      <c r="D987">
        <v>450.54121424126765</v>
      </c>
      <c r="E987">
        <v>461.60800170898438</v>
      </c>
      <c r="F987">
        <v>1911834</v>
      </c>
      <c r="G987">
        <v>0</v>
      </c>
      <c r="H987">
        <v>0</v>
      </c>
      <c r="N987">
        <v>469.25</v>
      </c>
    </row>
    <row r="988" spans="1:14" x14ac:dyDescent="0.25">
      <c r="A988" s="1">
        <v>44560</v>
      </c>
      <c r="B988">
        <v>465.29690639795325</v>
      </c>
      <c r="C988">
        <v>474.98649914206908</v>
      </c>
      <c r="D988">
        <v>460.4767118918158</v>
      </c>
      <c r="E988">
        <v>471.64187622070313</v>
      </c>
      <c r="F988">
        <v>5966009</v>
      </c>
      <c r="G988">
        <v>0</v>
      </c>
      <c r="H988">
        <v>0</v>
      </c>
      <c r="N988">
        <v>479.45</v>
      </c>
    </row>
    <row r="989" spans="1:14" x14ac:dyDescent="0.25">
      <c r="A989" s="1">
        <v>44561</v>
      </c>
      <c r="B989">
        <v>473.90442202649734</v>
      </c>
      <c r="C989">
        <v>478.62623923617269</v>
      </c>
      <c r="D989">
        <v>468.29723782199892</v>
      </c>
      <c r="E989">
        <v>475.2816162109375</v>
      </c>
      <c r="F989">
        <v>2299412</v>
      </c>
      <c r="G989">
        <v>0</v>
      </c>
      <c r="H989">
        <v>0</v>
      </c>
      <c r="N989">
        <v>483.15</v>
      </c>
    </row>
    <row r="990" spans="1:14" x14ac:dyDescent="0.25">
      <c r="A990" s="1">
        <v>44564</v>
      </c>
      <c r="B990">
        <v>477.39661149750862</v>
      </c>
      <c r="C990">
        <v>478.92138691029896</v>
      </c>
      <c r="D990">
        <v>468.24807910309715</v>
      </c>
      <c r="E990">
        <v>469.47772216796875</v>
      </c>
      <c r="F990">
        <v>1322739</v>
      </c>
      <c r="G990">
        <v>0</v>
      </c>
      <c r="H990">
        <v>0</v>
      </c>
      <c r="N990">
        <v>477.25</v>
      </c>
    </row>
    <row r="991" spans="1:14" x14ac:dyDescent="0.25">
      <c r="A991" s="1">
        <v>44565</v>
      </c>
      <c r="B991">
        <v>471.00246981668192</v>
      </c>
      <c r="C991">
        <v>471.59270449476458</v>
      </c>
      <c r="D991">
        <v>456.49268158168297</v>
      </c>
      <c r="E991">
        <v>457.08291625976563</v>
      </c>
      <c r="F991">
        <v>2379973</v>
      </c>
      <c r="G991">
        <v>0</v>
      </c>
      <c r="H991">
        <v>0</v>
      </c>
      <c r="N991">
        <v>464.65</v>
      </c>
    </row>
    <row r="992" spans="1:14" x14ac:dyDescent="0.25">
      <c r="A992" s="1">
        <v>44566</v>
      </c>
      <c r="B992">
        <v>457.8206866101973</v>
      </c>
      <c r="C992">
        <v>461.75554430348751</v>
      </c>
      <c r="D992">
        <v>450.54120588172685</v>
      </c>
      <c r="E992">
        <v>451.27899169921875</v>
      </c>
      <c r="F992">
        <v>3684924</v>
      </c>
      <c r="G992">
        <v>0</v>
      </c>
      <c r="H992">
        <v>0</v>
      </c>
      <c r="N992">
        <v>458.75</v>
      </c>
    </row>
    <row r="993" spans="1:14" x14ac:dyDescent="0.25">
      <c r="A993" s="1">
        <v>44567</v>
      </c>
      <c r="B993">
        <v>450.54122079524228</v>
      </c>
      <c r="C993">
        <v>453.78746649142903</v>
      </c>
      <c r="D993">
        <v>448.57379188347267</v>
      </c>
      <c r="E993">
        <v>449.6558837890625</v>
      </c>
      <c r="F993">
        <v>1450122</v>
      </c>
      <c r="G993">
        <v>0</v>
      </c>
      <c r="H993">
        <v>0</v>
      </c>
      <c r="N993">
        <v>457.1</v>
      </c>
    </row>
    <row r="994" spans="1:14" x14ac:dyDescent="0.25">
      <c r="A994" s="1">
        <v>44568</v>
      </c>
      <c r="B994">
        <v>451.91841321378803</v>
      </c>
      <c r="C994">
        <v>452.21354556171747</v>
      </c>
      <c r="D994">
        <v>442.17964614377036</v>
      </c>
      <c r="E994">
        <v>443.16336059570313</v>
      </c>
      <c r="F994">
        <v>1884605</v>
      </c>
      <c r="G994">
        <v>0</v>
      </c>
      <c r="H994">
        <v>0</v>
      </c>
      <c r="N994">
        <v>450.5</v>
      </c>
    </row>
    <row r="995" spans="1:14" x14ac:dyDescent="0.25">
      <c r="A995" s="1">
        <v>44571</v>
      </c>
      <c r="B995">
        <v>443.60605459294942</v>
      </c>
      <c r="C995">
        <v>450.54122963477096</v>
      </c>
      <c r="D995">
        <v>441.88455426137551</v>
      </c>
      <c r="E995">
        <v>446.36044311523438</v>
      </c>
      <c r="F995">
        <v>2729282</v>
      </c>
      <c r="G995">
        <v>0</v>
      </c>
      <c r="H995">
        <v>0</v>
      </c>
      <c r="N995">
        <v>453.75</v>
      </c>
    </row>
    <row r="996" spans="1:14" x14ac:dyDescent="0.25">
      <c r="A996" s="1">
        <v>44572</v>
      </c>
      <c r="B996">
        <v>446.60633590792378</v>
      </c>
      <c r="C996">
        <v>447.88515261484628</v>
      </c>
      <c r="D996">
        <v>437.21187543174938</v>
      </c>
      <c r="E996">
        <v>438.49069213867188</v>
      </c>
      <c r="F996">
        <v>1900506</v>
      </c>
      <c r="G996">
        <v>0</v>
      </c>
      <c r="H996">
        <v>0</v>
      </c>
      <c r="N996">
        <v>445.75</v>
      </c>
    </row>
    <row r="997" spans="1:14" x14ac:dyDescent="0.25">
      <c r="A997" s="1">
        <v>44573</v>
      </c>
      <c r="B997">
        <v>440.4089449728678</v>
      </c>
      <c r="C997">
        <v>441.34345563221109</v>
      </c>
      <c r="D997">
        <v>434.30990373885766</v>
      </c>
      <c r="E997">
        <v>436.178955078125</v>
      </c>
      <c r="F997">
        <v>1732348</v>
      </c>
      <c r="G997">
        <v>0</v>
      </c>
      <c r="H997">
        <v>0</v>
      </c>
      <c r="N997">
        <v>443.4</v>
      </c>
    </row>
    <row r="998" spans="1:14" x14ac:dyDescent="0.25">
      <c r="A998" s="1">
        <v>44574</v>
      </c>
      <c r="B998">
        <v>436.76920618405882</v>
      </c>
      <c r="C998">
        <v>444.1962381098117</v>
      </c>
      <c r="D998">
        <v>436.47410386378886</v>
      </c>
      <c r="E998">
        <v>439.96627807617188</v>
      </c>
      <c r="F998">
        <v>1952581</v>
      </c>
      <c r="G998">
        <v>0</v>
      </c>
      <c r="H998">
        <v>0</v>
      </c>
      <c r="N998">
        <v>447.25</v>
      </c>
    </row>
    <row r="999" spans="1:14" x14ac:dyDescent="0.25">
      <c r="A999" s="1">
        <v>44575</v>
      </c>
      <c r="B999">
        <v>439.9662696896533</v>
      </c>
      <c r="C999">
        <v>441.44184130404005</v>
      </c>
      <c r="D999">
        <v>434.06398323210624</v>
      </c>
      <c r="E999">
        <v>434.900146484375</v>
      </c>
      <c r="F999">
        <v>1656575</v>
      </c>
      <c r="G999">
        <v>0</v>
      </c>
      <c r="H999">
        <v>0</v>
      </c>
      <c r="N999">
        <v>442.1</v>
      </c>
    </row>
    <row r="1000" spans="1:14" x14ac:dyDescent="0.25">
      <c r="A1000" s="1">
        <v>44578</v>
      </c>
      <c r="B1000">
        <v>436.76918929063919</v>
      </c>
      <c r="C1000">
        <v>436.76918929063919</v>
      </c>
      <c r="D1000">
        <v>429.8831885585796</v>
      </c>
      <c r="E1000">
        <v>430.91607666015625</v>
      </c>
      <c r="F1000">
        <v>2901402</v>
      </c>
      <c r="G1000">
        <v>0</v>
      </c>
      <c r="H1000">
        <v>0</v>
      </c>
      <c r="N1000">
        <v>438.05</v>
      </c>
    </row>
    <row r="1001" spans="1:14" x14ac:dyDescent="0.25">
      <c r="A1001" s="1">
        <v>44579</v>
      </c>
      <c r="B1001">
        <v>431.85063798045576</v>
      </c>
      <c r="C1001">
        <v>432.34249519911231</v>
      </c>
      <c r="D1001">
        <v>413.60274717653039</v>
      </c>
      <c r="E1001">
        <v>415.17666625976563</v>
      </c>
      <c r="F1001">
        <v>4325454</v>
      </c>
      <c r="G1001">
        <v>0</v>
      </c>
      <c r="H1001">
        <v>0</v>
      </c>
      <c r="N1001">
        <v>422.05</v>
      </c>
    </row>
    <row r="1002" spans="1:14" x14ac:dyDescent="0.25">
      <c r="A1002" s="1">
        <v>44580</v>
      </c>
      <c r="B1002">
        <v>414.14376379035076</v>
      </c>
      <c r="C1002">
        <v>418.76723349410497</v>
      </c>
      <c r="D1002">
        <v>407.30693667916597</v>
      </c>
      <c r="E1002">
        <v>416.7998046875</v>
      </c>
      <c r="F1002">
        <v>2305740</v>
      </c>
      <c r="G1002">
        <v>0</v>
      </c>
      <c r="H1002">
        <v>0</v>
      </c>
      <c r="N1002">
        <v>423.7</v>
      </c>
    </row>
    <row r="1003" spans="1:14" x14ac:dyDescent="0.25">
      <c r="A1003" s="1">
        <v>44581</v>
      </c>
      <c r="B1003">
        <v>417.58675380271711</v>
      </c>
      <c r="C1003">
        <v>420.04603974972957</v>
      </c>
      <c r="D1003">
        <v>409.56948761957256</v>
      </c>
      <c r="E1003">
        <v>411.58609008789063</v>
      </c>
      <c r="F1003">
        <v>1812082</v>
      </c>
      <c r="G1003">
        <v>0</v>
      </c>
      <c r="H1003">
        <v>0</v>
      </c>
      <c r="N1003">
        <v>418.4</v>
      </c>
    </row>
    <row r="1004" spans="1:14" x14ac:dyDescent="0.25">
      <c r="A1004" s="1">
        <v>44582</v>
      </c>
      <c r="B1004">
        <v>411.58611566598927</v>
      </c>
      <c r="C1004">
        <v>413.16006477400668</v>
      </c>
      <c r="D1004">
        <v>399.04375655677831</v>
      </c>
      <c r="E1004">
        <v>403.71640014648438</v>
      </c>
      <c r="F1004">
        <v>2501845</v>
      </c>
      <c r="G1004">
        <v>0</v>
      </c>
      <c r="H1004">
        <v>0</v>
      </c>
      <c r="N1004">
        <v>410.4</v>
      </c>
    </row>
    <row r="1005" spans="1:14" x14ac:dyDescent="0.25">
      <c r="A1005" s="1">
        <v>44585</v>
      </c>
      <c r="B1005">
        <v>403.32291699480231</v>
      </c>
      <c r="C1005">
        <v>404.30663142649695</v>
      </c>
      <c r="D1005">
        <v>383.79617952154729</v>
      </c>
      <c r="E1005">
        <v>390.73138427734375</v>
      </c>
      <c r="F1005">
        <v>2525418</v>
      </c>
      <c r="G1005">
        <v>0</v>
      </c>
      <c r="H1005">
        <v>0</v>
      </c>
      <c r="N1005">
        <v>397.2</v>
      </c>
    </row>
    <row r="1006" spans="1:14" x14ac:dyDescent="0.25">
      <c r="A1006" s="1">
        <v>44586</v>
      </c>
      <c r="B1006">
        <v>387.58348121612761</v>
      </c>
      <c r="C1006">
        <v>397.32224796338102</v>
      </c>
      <c r="D1006">
        <v>386.74731795558057</v>
      </c>
      <c r="E1006">
        <v>389.20660400390625</v>
      </c>
      <c r="F1006">
        <v>2785602</v>
      </c>
      <c r="G1006">
        <v>0</v>
      </c>
      <c r="H1006">
        <v>0</v>
      </c>
      <c r="N1006">
        <v>395.65</v>
      </c>
    </row>
    <row r="1007" spans="1:14" x14ac:dyDescent="0.25">
      <c r="A1007" s="1">
        <v>44588</v>
      </c>
      <c r="B1007">
        <v>387.48511889129685</v>
      </c>
      <c r="C1007">
        <v>387.48511889129685</v>
      </c>
      <c r="D1007">
        <v>374.05742254755251</v>
      </c>
      <c r="E1007">
        <v>378.13983154296875</v>
      </c>
      <c r="F1007">
        <v>2753356</v>
      </c>
      <c r="G1007">
        <v>0</v>
      </c>
      <c r="H1007">
        <v>0</v>
      </c>
      <c r="N1007">
        <v>384.4</v>
      </c>
    </row>
    <row r="1008" spans="1:14" x14ac:dyDescent="0.25">
      <c r="A1008" s="1">
        <v>44589</v>
      </c>
      <c r="B1008">
        <v>378.87762573240747</v>
      </c>
      <c r="C1008">
        <v>396.14183285802773</v>
      </c>
      <c r="D1008">
        <v>378.82845201667146</v>
      </c>
      <c r="E1008">
        <v>389.55093383789063</v>
      </c>
      <c r="F1008">
        <v>2993091</v>
      </c>
      <c r="G1008">
        <v>0</v>
      </c>
      <c r="H1008">
        <v>0</v>
      </c>
      <c r="N1008">
        <v>396</v>
      </c>
    </row>
    <row r="1009" spans="1:14" x14ac:dyDescent="0.25">
      <c r="A1009" s="1">
        <v>44592</v>
      </c>
      <c r="B1009">
        <v>397.37145355727347</v>
      </c>
      <c r="C1009">
        <v>403.81477102582306</v>
      </c>
      <c r="D1009">
        <v>392.30530025753643</v>
      </c>
      <c r="E1009">
        <v>399.87991333007813</v>
      </c>
      <c r="F1009">
        <v>3776151</v>
      </c>
      <c r="G1009">
        <v>0</v>
      </c>
      <c r="H1009">
        <v>0</v>
      </c>
      <c r="N1009">
        <v>406.5</v>
      </c>
    </row>
    <row r="1010" spans="1:14" x14ac:dyDescent="0.25">
      <c r="A1010" s="1">
        <v>44593</v>
      </c>
      <c r="B1010">
        <v>402.33922196761313</v>
      </c>
      <c r="C1010">
        <v>404.79850816545917</v>
      </c>
      <c r="D1010">
        <v>398.60111895512051</v>
      </c>
      <c r="E1010">
        <v>400.07669067382813</v>
      </c>
      <c r="F1010">
        <v>1911406</v>
      </c>
      <c r="G1010">
        <v>0</v>
      </c>
      <c r="H1010">
        <v>0</v>
      </c>
      <c r="N1010">
        <v>406.7</v>
      </c>
    </row>
    <row r="1011" spans="1:14" x14ac:dyDescent="0.25">
      <c r="A1011" s="1">
        <v>44594</v>
      </c>
      <c r="B1011">
        <v>405.24114365524758</v>
      </c>
      <c r="C1011">
        <v>411.14342983046811</v>
      </c>
      <c r="D1011">
        <v>403.5196435208083</v>
      </c>
      <c r="E1011">
        <v>407.74960327148438</v>
      </c>
      <c r="F1011">
        <v>3689405</v>
      </c>
      <c r="G1011">
        <v>0</v>
      </c>
      <c r="H1011">
        <v>0</v>
      </c>
      <c r="N1011">
        <v>414.5</v>
      </c>
    </row>
    <row r="1012" spans="1:14" x14ac:dyDescent="0.25">
      <c r="A1012" s="1">
        <v>44595</v>
      </c>
      <c r="B1012">
        <v>409.86458943700552</v>
      </c>
      <c r="C1012">
        <v>413.70106950566128</v>
      </c>
      <c r="D1012">
        <v>400.37175169695547</v>
      </c>
      <c r="E1012">
        <v>401.06036376953125</v>
      </c>
      <c r="F1012">
        <v>3427610</v>
      </c>
      <c r="G1012">
        <v>0</v>
      </c>
      <c r="H1012">
        <v>0</v>
      </c>
      <c r="N1012">
        <v>407.7</v>
      </c>
    </row>
    <row r="1013" spans="1:14" x14ac:dyDescent="0.25">
      <c r="A1013" s="1">
        <v>44596</v>
      </c>
      <c r="B1013">
        <v>404.3557874165981</v>
      </c>
      <c r="C1013">
        <v>410.89751211710382</v>
      </c>
      <c r="D1013">
        <v>401.3554705396686</v>
      </c>
      <c r="E1013">
        <v>402.58511352539063</v>
      </c>
      <c r="F1013">
        <v>1896447</v>
      </c>
      <c r="G1013">
        <v>0</v>
      </c>
      <c r="H1013">
        <v>0</v>
      </c>
      <c r="N1013">
        <v>409.25</v>
      </c>
    </row>
    <row r="1014" spans="1:14" x14ac:dyDescent="0.25">
      <c r="A1014" s="1">
        <v>44599</v>
      </c>
      <c r="B1014">
        <v>403.17536720558815</v>
      </c>
      <c r="C1014">
        <v>404.40501024938914</v>
      </c>
      <c r="D1014">
        <v>388.76395673635682</v>
      </c>
      <c r="E1014">
        <v>390.87893676757813</v>
      </c>
      <c r="F1014">
        <v>1302034</v>
      </c>
      <c r="G1014">
        <v>0</v>
      </c>
      <c r="H1014">
        <v>0</v>
      </c>
      <c r="N1014">
        <v>397.35</v>
      </c>
    </row>
    <row r="1015" spans="1:14" x14ac:dyDescent="0.25">
      <c r="A1015" s="1">
        <v>44600</v>
      </c>
      <c r="B1015">
        <v>390.53461230225071</v>
      </c>
      <c r="C1015">
        <v>397.27306186876081</v>
      </c>
      <c r="D1015">
        <v>387.23916309608785</v>
      </c>
      <c r="E1015">
        <v>394.22354125976563</v>
      </c>
      <c r="F1015">
        <v>1425555</v>
      </c>
      <c r="G1015">
        <v>0</v>
      </c>
      <c r="H1015">
        <v>0</v>
      </c>
      <c r="N1015">
        <v>400.75</v>
      </c>
    </row>
    <row r="1016" spans="1:14" x14ac:dyDescent="0.25">
      <c r="A1016" s="1">
        <v>44601</v>
      </c>
      <c r="B1016">
        <v>395.84665863155749</v>
      </c>
      <c r="C1016">
        <v>400.1749958789249</v>
      </c>
      <c r="D1016">
        <v>394.96132169787012</v>
      </c>
      <c r="E1016">
        <v>398.89617919921875</v>
      </c>
      <c r="F1016">
        <v>904732</v>
      </c>
      <c r="G1016">
        <v>0</v>
      </c>
      <c r="H1016">
        <v>0</v>
      </c>
      <c r="N1016">
        <v>405.5</v>
      </c>
    </row>
    <row r="1017" spans="1:14" x14ac:dyDescent="0.25">
      <c r="A1017" s="1">
        <v>44602</v>
      </c>
      <c r="B1017">
        <v>400.5685265359844</v>
      </c>
      <c r="C1017">
        <v>401.94572072916384</v>
      </c>
      <c r="D1017">
        <v>393.48577065594463</v>
      </c>
      <c r="E1017">
        <v>394.76458740234375</v>
      </c>
      <c r="F1017">
        <v>1645393</v>
      </c>
      <c r="G1017">
        <v>0</v>
      </c>
      <c r="H1017">
        <v>0</v>
      </c>
      <c r="N1017">
        <v>401.3</v>
      </c>
    </row>
    <row r="1018" spans="1:14" x14ac:dyDescent="0.25">
      <c r="A1018" s="1">
        <v>44603</v>
      </c>
      <c r="B1018">
        <v>392.50205253752472</v>
      </c>
      <c r="C1018">
        <v>392.50205253752472</v>
      </c>
      <c r="D1018">
        <v>384.18965370236958</v>
      </c>
      <c r="E1018">
        <v>385.96035766601563</v>
      </c>
      <c r="F1018">
        <v>1607589</v>
      </c>
      <c r="G1018">
        <v>0</v>
      </c>
      <c r="H1018">
        <v>0</v>
      </c>
      <c r="N1018">
        <v>392.35</v>
      </c>
    </row>
    <row r="1019" spans="1:14" x14ac:dyDescent="0.25">
      <c r="A1019" s="1">
        <v>44606</v>
      </c>
      <c r="B1019">
        <v>380.64829432275116</v>
      </c>
      <c r="C1019">
        <v>386.00951972328329</v>
      </c>
      <c r="D1019">
        <v>374.50007939972301</v>
      </c>
      <c r="E1019">
        <v>376.41830444335938</v>
      </c>
      <c r="F1019">
        <v>1734945</v>
      </c>
      <c r="G1019">
        <v>0</v>
      </c>
      <c r="H1019">
        <v>0</v>
      </c>
      <c r="N1019">
        <v>382.65</v>
      </c>
    </row>
    <row r="1020" spans="1:14" x14ac:dyDescent="0.25">
      <c r="A1020" s="1">
        <v>44607</v>
      </c>
      <c r="B1020">
        <v>377.74635826469108</v>
      </c>
      <c r="C1020">
        <v>382.02552223352495</v>
      </c>
      <c r="D1020">
        <v>372.9753370585334</v>
      </c>
      <c r="E1020">
        <v>380.89425659179688</v>
      </c>
      <c r="F1020">
        <v>1110094</v>
      </c>
      <c r="G1020">
        <v>0</v>
      </c>
      <c r="H1020">
        <v>0</v>
      </c>
      <c r="N1020">
        <v>387.2</v>
      </c>
    </row>
    <row r="1021" spans="1:14" x14ac:dyDescent="0.25">
      <c r="A1021" s="1">
        <v>44608</v>
      </c>
      <c r="B1021">
        <v>393.43660097700933</v>
      </c>
      <c r="C1021">
        <v>393.43660097700933</v>
      </c>
      <c r="D1021">
        <v>377.10693532323245</v>
      </c>
      <c r="E1021">
        <v>378.33657836914063</v>
      </c>
      <c r="F1021">
        <v>2308182</v>
      </c>
      <c r="G1021">
        <v>0</v>
      </c>
      <c r="H1021">
        <v>0</v>
      </c>
      <c r="N1021">
        <v>384.6</v>
      </c>
    </row>
    <row r="1022" spans="1:14" x14ac:dyDescent="0.25">
      <c r="A1022" s="1">
        <v>44609</v>
      </c>
      <c r="B1022">
        <v>377.59878631317679</v>
      </c>
      <c r="C1022">
        <v>381.04178678492804</v>
      </c>
      <c r="D1022">
        <v>374.89357165680082</v>
      </c>
      <c r="E1022">
        <v>376.66424560546875</v>
      </c>
      <c r="F1022">
        <v>933757</v>
      </c>
      <c r="G1022">
        <v>0</v>
      </c>
      <c r="H1022">
        <v>0</v>
      </c>
      <c r="N1022">
        <v>382.9</v>
      </c>
    </row>
    <row r="1023" spans="1:14" x14ac:dyDescent="0.25">
      <c r="A1023" s="1">
        <v>44610</v>
      </c>
      <c r="B1023">
        <v>374.79517400004374</v>
      </c>
      <c r="C1023">
        <v>374.79517400004374</v>
      </c>
      <c r="D1023">
        <v>368.15510201972802</v>
      </c>
      <c r="E1023">
        <v>370.41763305664063</v>
      </c>
      <c r="F1023">
        <v>1933643</v>
      </c>
      <c r="G1023">
        <v>0</v>
      </c>
      <c r="H1023">
        <v>0</v>
      </c>
      <c r="N1023">
        <v>376.55</v>
      </c>
    </row>
    <row r="1024" spans="1:14" x14ac:dyDescent="0.25">
      <c r="A1024" s="1">
        <v>44613</v>
      </c>
      <c r="B1024">
        <v>368.89289723605214</v>
      </c>
      <c r="C1024">
        <v>370.8603260213111</v>
      </c>
      <c r="D1024">
        <v>363.23653947843269</v>
      </c>
      <c r="E1024">
        <v>365.1055908203125</v>
      </c>
      <c r="F1024">
        <v>1582476</v>
      </c>
      <c r="G1024">
        <v>0</v>
      </c>
      <c r="H1024">
        <v>0</v>
      </c>
      <c r="N1024">
        <v>371.15</v>
      </c>
    </row>
    <row r="1025" spans="1:14" x14ac:dyDescent="0.25">
      <c r="A1025" s="1">
        <v>44614</v>
      </c>
      <c r="B1025">
        <v>358.41637135360429</v>
      </c>
      <c r="C1025">
        <v>362.00692314700552</v>
      </c>
      <c r="D1025">
        <v>349.80886978421216</v>
      </c>
      <c r="E1025">
        <v>360.482177734375</v>
      </c>
      <c r="F1025">
        <v>2866900</v>
      </c>
      <c r="G1025">
        <v>0</v>
      </c>
      <c r="H1025">
        <v>0</v>
      </c>
      <c r="N1025">
        <v>366.45</v>
      </c>
    </row>
    <row r="1026" spans="1:14" x14ac:dyDescent="0.25">
      <c r="A1026" s="1">
        <v>44615</v>
      </c>
      <c r="B1026">
        <v>361.02319762795423</v>
      </c>
      <c r="C1026">
        <v>370.51603592113958</v>
      </c>
      <c r="D1026">
        <v>361.02319762795423</v>
      </c>
      <c r="E1026">
        <v>365.64666748046875</v>
      </c>
      <c r="F1026">
        <v>1591416</v>
      </c>
      <c r="G1026">
        <v>0</v>
      </c>
      <c r="H1026">
        <v>0</v>
      </c>
      <c r="N1026">
        <v>371.7</v>
      </c>
    </row>
    <row r="1027" spans="1:14" x14ac:dyDescent="0.25">
      <c r="A1027" s="1">
        <v>44616</v>
      </c>
      <c r="B1027">
        <v>349.21863226721126</v>
      </c>
      <c r="C1027">
        <v>358.02288866640652</v>
      </c>
      <c r="D1027">
        <v>337.26650761767542</v>
      </c>
      <c r="E1027">
        <v>339.13555908203125</v>
      </c>
      <c r="F1027">
        <v>2670819</v>
      </c>
      <c r="G1027">
        <v>0</v>
      </c>
      <c r="H1027">
        <v>0</v>
      </c>
      <c r="N1027">
        <v>344.75</v>
      </c>
    </row>
    <row r="1028" spans="1:14" x14ac:dyDescent="0.25">
      <c r="A1028" s="1">
        <v>44617</v>
      </c>
      <c r="B1028">
        <v>344.74274885010396</v>
      </c>
      <c r="C1028">
        <v>353.1534955806294</v>
      </c>
      <c r="D1028">
        <v>342.97204478748904</v>
      </c>
      <c r="E1028">
        <v>350.25152587890625</v>
      </c>
      <c r="F1028">
        <v>2619038</v>
      </c>
      <c r="G1028">
        <v>0</v>
      </c>
      <c r="H1028">
        <v>0</v>
      </c>
      <c r="N1028">
        <v>356.05</v>
      </c>
    </row>
    <row r="1029" spans="1:14" x14ac:dyDescent="0.25">
      <c r="A1029" s="1">
        <v>44620</v>
      </c>
      <c r="B1029">
        <v>346.2674750607282</v>
      </c>
      <c r="C1029">
        <v>355.12090482080362</v>
      </c>
      <c r="D1029">
        <v>343.56226041181628</v>
      </c>
      <c r="E1029">
        <v>354.53067016601563</v>
      </c>
      <c r="F1029">
        <v>941141</v>
      </c>
      <c r="G1029">
        <v>0</v>
      </c>
      <c r="H1029">
        <v>0</v>
      </c>
      <c r="N1029">
        <v>360.4</v>
      </c>
    </row>
    <row r="1030" spans="1:14" x14ac:dyDescent="0.25">
      <c r="A1030" s="1">
        <v>44622</v>
      </c>
      <c r="B1030">
        <v>351.28442431524826</v>
      </c>
      <c r="C1030">
        <v>357.62936429255711</v>
      </c>
      <c r="D1030">
        <v>347.15281175561057</v>
      </c>
      <c r="E1030">
        <v>349.26779174804688</v>
      </c>
      <c r="F1030">
        <v>902427</v>
      </c>
      <c r="G1030">
        <v>0</v>
      </c>
      <c r="H1030">
        <v>0</v>
      </c>
      <c r="N1030">
        <v>355.05</v>
      </c>
    </row>
    <row r="1031" spans="1:14" x14ac:dyDescent="0.25">
      <c r="A1031" s="1">
        <v>44623</v>
      </c>
      <c r="B1031">
        <v>352.07138170113637</v>
      </c>
      <c r="C1031">
        <v>354.28473912593887</v>
      </c>
      <c r="D1031">
        <v>345.08700337875439</v>
      </c>
      <c r="E1031">
        <v>345.87399291992188</v>
      </c>
      <c r="F1031">
        <v>661895</v>
      </c>
      <c r="G1031">
        <v>0</v>
      </c>
      <c r="H1031">
        <v>0</v>
      </c>
      <c r="N1031">
        <v>351.6</v>
      </c>
    </row>
    <row r="1032" spans="1:14" x14ac:dyDescent="0.25">
      <c r="A1032" s="1">
        <v>44624</v>
      </c>
      <c r="B1032">
        <v>342.43098948254664</v>
      </c>
      <c r="C1032">
        <v>345.72643873473163</v>
      </c>
      <c r="D1032">
        <v>339.13554023036164</v>
      </c>
      <c r="E1032">
        <v>340.31600952148438</v>
      </c>
      <c r="F1032">
        <v>856777</v>
      </c>
      <c r="G1032">
        <v>0</v>
      </c>
      <c r="H1032">
        <v>0</v>
      </c>
      <c r="N1032">
        <v>345.95</v>
      </c>
    </row>
    <row r="1033" spans="1:14" x14ac:dyDescent="0.25">
      <c r="A1033" s="1">
        <v>44627</v>
      </c>
      <c r="B1033">
        <v>338.1026661543371</v>
      </c>
      <c r="C1033">
        <v>340.11926875477309</v>
      </c>
      <c r="D1033">
        <v>326.15051165234559</v>
      </c>
      <c r="E1033">
        <v>336.52871704101563</v>
      </c>
      <c r="F1033">
        <v>969180</v>
      </c>
      <c r="G1033">
        <v>0</v>
      </c>
      <c r="H1033">
        <v>0</v>
      </c>
      <c r="N1033">
        <v>342.1</v>
      </c>
    </row>
    <row r="1034" spans="1:14" x14ac:dyDescent="0.25">
      <c r="A1034" s="1">
        <v>44628</v>
      </c>
      <c r="B1034">
        <v>336.52870931443641</v>
      </c>
      <c r="C1034">
        <v>341.3489039715904</v>
      </c>
      <c r="D1034">
        <v>330.28211673908203</v>
      </c>
      <c r="E1034">
        <v>338.88961791992188</v>
      </c>
      <c r="F1034">
        <v>978348</v>
      </c>
      <c r="G1034">
        <v>0</v>
      </c>
      <c r="H1034">
        <v>0</v>
      </c>
      <c r="N1034">
        <v>344.5</v>
      </c>
    </row>
    <row r="1035" spans="1:14" x14ac:dyDescent="0.25">
      <c r="A1035" s="1">
        <v>44629</v>
      </c>
      <c r="B1035">
        <v>344.30003666185684</v>
      </c>
      <c r="C1035">
        <v>357.08832373786868</v>
      </c>
      <c r="D1035">
        <v>342.38178159222275</v>
      </c>
      <c r="E1035">
        <v>353.49777221679688</v>
      </c>
      <c r="F1035">
        <v>3946522</v>
      </c>
      <c r="G1035">
        <v>0</v>
      </c>
      <c r="H1035">
        <v>0</v>
      </c>
      <c r="N1035">
        <v>359.35</v>
      </c>
    </row>
    <row r="1036" spans="1:14" x14ac:dyDescent="0.25">
      <c r="A1036" s="1">
        <v>44630</v>
      </c>
      <c r="B1036">
        <v>362.00690602571768</v>
      </c>
      <c r="C1036">
        <v>362.00690602571768</v>
      </c>
      <c r="D1036">
        <v>355.61276230515472</v>
      </c>
      <c r="E1036">
        <v>359.79354858398438</v>
      </c>
      <c r="F1036">
        <v>2097821</v>
      </c>
      <c r="G1036">
        <v>0</v>
      </c>
      <c r="H1036">
        <v>0</v>
      </c>
      <c r="N1036">
        <v>365.75</v>
      </c>
    </row>
    <row r="1037" spans="1:14" x14ac:dyDescent="0.25">
      <c r="A1037" s="1">
        <v>44631</v>
      </c>
      <c r="B1037">
        <v>357.18673714371386</v>
      </c>
      <c r="C1037">
        <v>368.49945377303186</v>
      </c>
      <c r="D1037">
        <v>356.49812499282621</v>
      </c>
      <c r="E1037">
        <v>364.61376953125</v>
      </c>
      <c r="F1037">
        <v>1365084</v>
      </c>
      <c r="G1037">
        <v>0</v>
      </c>
      <c r="H1037">
        <v>0</v>
      </c>
      <c r="N1037">
        <v>370.65</v>
      </c>
    </row>
    <row r="1038" spans="1:14" x14ac:dyDescent="0.25">
      <c r="A1038" s="1">
        <v>44634</v>
      </c>
      <c r="B1038">
        <v>366.9254950951775</v>
      </c>
      <c r="C1038">
        <v>368.05676072473233</v>
      </c>
      <c r="D1038">
        <v>357.1867279050789</v>
      </c>
      <c r="E1038">
        <v>359.40008544921875</v>
      </c>
      <c r="F1038">
        <v>840970</v>
      </c>
      <c r="G1038">
        <v>0</v>
      </c>
      <c r="H1038">
        <v>0</v>
      </c>
      <c r="N1038">
        <v>365.35</v>
      </c>
    </row>
    <row r="1039" spans="1:14" x14ac:dyDescent="0.25">
      <c r="A1039" s="1">
        <v>44635</v>
      </c>
      <c r="B1039">
        <v>362.00689205141782</v>
      </c>
      <c r="C1039">
        <v>367.56487229754771</v>
      </c>
      <c r="D1039">
        <v>360.58049419135261</v>
      </c>
      <c r="E1039">
        <v>363.58084106445313</v>
      </c>
      <c r="F1039">
        <v>1707534</v>
      </c>
      <c r="G1039">
        <v>0</v>
      </c>
      <c r="H1039">
        <v>0</v>
      </c>
      <c r="N1039">
        <v>369.6</v>
      </c>
    </row>
    <row r="1040" spans="1:14" x14ac:dyDescent="0.25">
      <c r="A1040" s="1">
        <v>44636</v>
      </c>
      <c r="B1040">
        <v>366.08932298742053</v>
      </c>
      <c r="C1040">
        <v>369.8766295870426</v>
      </c>
      <c r="D1040">
        <v>363.53165943828731</v>
      </c>
      <c r="E1040">
        <v>369.04046630859375</v>
      </c>
      <c r="F1040">
        <v>1078307</v>
      </c>
      <c r="G1040">
        <v>0</v>
      </c>
      <c r="H1040">
        <v>0</v>
      </c>
      <c r="N1040">
        <v>375.15</v>
      </c>
    </row>
    <row r="1041" spans="1:14" x14ac:dyDescent="0.25">
      <c r="A1041" s="1">
        <v>44637</v>
      </c>
      <c r="B1041">
        <v>371.84405083788863</v>
      </c>
      <c r="C1041">
        <v>372.43428549412863</v>
      </c>
      <c r="D1041">
        <v>365.35152966041233</v>
      </c>
      <c r="E1041">
        <v>367.2205810546875</v>
      </c>
      <c r="F1041">
        <v>994040</v>
      </c>
      <c r="G1041">
        <v>0</v>
      </c>
      <c r="H1041">
        <v>0</v>
      </c>
      <c r="N1041">
        <v>373.3</v>
      </c>
    </row>
    <row r="1042" spans="1:14" x14ac:dyDescent="0.25">
      <c r="A1042" s="1">
        <v>44641</v>
      </c>
      <c r="B1042">
        <v>368.8929027889352</v>
      </c>
      <c r="C1042">
        <v>371.74566856638671</v>
      </c>
      <c r="D1042">
        <v>359.54761591828219</v>
      </c>
      <c r="E1042">
        <v>360.43295288085938</v>
      </c>
      <c r="F1042">
        <v>1058349</v>
      </c>
      <c r="G1042">
        <v>0</v>
      </c>
      <c r="H1042">
        <v>0</v>
      </c>
      <c r="N1042">
        <v>366.4</v>
      </c>
    </row>
    <row r="1043" spans="1:14" x14ac:dyDescent="0.25">
      <c r="A1043" s="1">
        <v>44642</v>
      </c>
      <c r="B1043">
        <v>362.00693421059435</v>
      </c>
      <c r="C1043">
        <v>362.00693421059435</v>
      </c>
      <c r="D1043">
        <v>352.46489159952716</v>
      </c>
      <c r="E1043">
        <v>354.235595703125</v>
      </c>
      <c r="F1043">
        <v>1459296</v>
      </c>
      <c r="G1043">
        <v>0</v>
      </c>
      <c r="H1043">
        <v>0</v>
      </c>
      <c r="N1043">
        <v>360.1</v>
      </c>
    </row>
    <row r="1044" spans="1:14" x14ac:dyDescent="0.25">
      <c r="A1044" s="1">
        <v>44643</v>
      </c>
      <c r="B1044">
        <v>355.02252668114028</v>
      </c>
      <c r="C1044">
        <v>362.9906194537536</v>
      </c>
      <c r="D1044">
        <v>354.62904691891106</v>
      </c>
      <c r="E1044">
        <v>361.81015014648438</v>
      </c>
      <c r="F1044">
        <v>1283159</v>
      </c>
      <c r="G1044">
        <v>0</v>
      </c>
      <c r="H1044">
        <v>0</v>
      </c>
      <c r="N1044">
        <v>367.8</v>
      </c>
    </row>
    <row r="1045" spans="1:14" x14ac:dyDescent="0.25">
      <c r="A1045" s="1">
        <v>44644</v>
      </c>
      <c r="B1045">
        <v>359.05577567394096</v>
      </c>
      <c r="C1045">
        <v>367.26979736813257</v>
      </c>
      <c r="D1045">
        <v>358.0720612200397</v>
      </c>
      <c r="E1045">
        <v>361.12158203125</v>
      </c>
      <c r="F1045">
        <v>1188562</v>
      </c>
      <c r="G1045">
        <v>0</v>
      </c>
      <c r="H1045">
        <v>0</v>
      </c>
      <c r="N1045">
        <v>367.1</v>
      </c>
    </row>
    <row r="1046" spans="1:14" x14ac:dyDescent="0.25">
      <c r="A1046" s="1">
        <v>44645</v>
      </c>
      <c r="B1046">
        <v>362.25283255217454</v>
      </c>
      <c r="C1046">
        <v>362.69551604621427</v>
      </c>
      <c r="D1046">
        <v>349.31699402659336</v>
      </c>
      <c r="E1046">
        <v>353.301025390625</v>
      </c>
      <c r="F1046">
        <v>1215354</v>
      </c>
      <c r="G1046">
        <v>0</v>
      </c>
      <c r="H1046">
        <v>0</v>
      </c>
      <c r="N1046">
        <v>359.15</v>
      </c>
    </row>
    <row r="1047" spans="1:14" x14ac:dyDescent="0.25">
      <c r="A1047" s="1">
        <v>44648</v>
      </c>
      <c r="B1047">
        <v>355.12089542665922</v>
      </c>
      <c r="C1047">
        <v>360.87563062259238</v>
      </c>
      <c r="D1047">
        <v>344.39841456055211</v>
      </c>
      <c r="E1047">
        <v>347.30035400390625</v>
      </c>
      <c r="F1047">
        <v>2335329</v>
      </c>
      <c r="G1047">
        <v>0</v>
      </c>
      <c r="H1047">
        <v>0</v>
      </c>
      <c r="N1047">
        <v>353.05</v>
      </c>
    </row>
    <row r="1048" spans="1:14" x14ac:dyDescent="0.25">
      <c r="A1048" s="1">
        <v>44649</v>
      </c>
      <c r="B1048">
        <v>349.21861712852217</v>
      </c>
      <c r="C1048">
        <v>352.07138292630088</v>
      </c>
      <c r="D1048">
        <v>347.74304550685241</v>
      </c>
      <c r="E1048">
        <v>350.20233154296875</v>
      </c>
      <c r="F1048">
        <v>1395003</v>
      </c>
      <c r="G1048">
        <v>0</v>
      </c>
      <c r="H1048">
        <v>0</v>
      </c>
      <c r="N1048">
        <v>356</v>
      </c>
    </row>
    <row r="1049" spans="1:14" x14ac:dyDescent="0.25">
      <c r="A1049" s="1">
        <v>44650</v>
      </c>
      <c r="B1049">
        <v>351.1860446209264</v>
      </c>
      <c r="C1049">
        <v>352.66161623698076</v>
      </c>
      <c r="D1049">
        <v>347.98897278614209</v>
      </c>
      <c r="E1049">
        <v>350.05477905273438</v>
      </c>
      <c r="F1049">
        <v>1064497</v>
      </c>
      <c r="G1049">
        <v>0</v>
      </c>
      <c r="H1049">
        <v>0</v>
      </c>
      <c r="N1049">
        <v>355.85</v>
      </c>
    </row>
    <row r="1050" spans="1:14" x14ac:dyDescent="0.25">
      <c r="A1050" s="1">
        <v>44651</v>
      </c>
      <c r="B1050">
        <v>350.10397449510714</v>
      </c>
      <c r="C1050">
        <v>351.67792365403909</v>
      </c>
      <c r="D1050">
        <v>341.34892170056378</v>
      </c>
      <c r="E1050">
        <v>342.82449340820313</v>
      </c>
      <c r="F1050">
        <v>1235444</v>
      </c>
      <c r="G1050">
        <v>0</v>
      </c>
      <c r="H1050">
        <v>0</v>
      </c>
      <c r="N1050">
        <v>348.5</v>
      </c>
    </row>
    <row r="1051" spans="1:14" x14ac:dyDescent="0.25">
      <c r="A1051" s="1">
        <v>44652</v>
      </c>
      <c r="B1051">
        <v>344.79190718419449</v>
      </c>
      <c r="C1051">
        <v>349.36617327253606</v>
      </c>
      <c r="D1051">
        <v>340.4143659692009</v>
      </c>
      <c r="E1051">
        <v>348.62838745117188</v>
      </c>
      <c r="F1051">
        <v>1081594</v>
      </c>
      <c r="G1051">
        <v>0</v>
      </c>
      <c r="H1051">
        <v>0</v>
      </c>
      <c r="N1051">
        <v>354.4</v>
      </c>
    </row>
    <row r="1052" spans="1:14" x14ac:dyDescent="0.25">
      <c r="A1052" s="1">
        <v>44655</v>
      </c>
      <c r="B1052">
        <v>350.20233087454363</v>
      </c>
      <c r="C1052">
        <v>359.94109755485988</v>
      </c>
      <c r="D1052">
        <v>349.31699390734786</v>
      </c>
      <c r="E1052">
        <v>357.4818115234375</v>
      </c>
      <c r="F1052">
        <v>1143878</v>
      </c>
      <c r="G1052">
        <v>0</v>
      </c>
      <c r="H1052">
        <v>0</v>
      </c>
      <c r="N1052">
        <v>363.4</v>
      </c>
    </row>
    <row r="1053" spans="1:14" x14ac:dyDescent="0.25">
      <c r="A1053" s="1">
        <v>44656</v>
      </c>
      <c r="B1053">
        <v>359.05579059021471</v>
      </c>
      <c r="C1053">
        <v>363.77760815686617</v>
      </c>
      <c r="D1053">
        <v>357.58021884806317</v>
      </c>
      <c r="E1053">
        <v>359.49847412109375</v>
      </c>
      <c r="F1053">
        <v>925396</v>
      </c>
      <c r="G1053">
        <v>0</v>
      </c>
      <c r="H1053">
        <v>0</v>
      </c>
      <c r="N1053">
        <v>365.45</v>
      </c>
    </row>
    <row r="1054" spans="1:14" x14ac:dyDescent="0.25">
      <c r="A1054" s="1">
        <v>44657</v>
      </c>
      <c r="B1054">
        <v>359.05576796267127</v>
      </c>
      <c r="C1054">
        <v>366.82710597747297</v>
      </c>
      <c r="D1054">
        <v>357.67857376090348</v>
      </c>
      <c r="E1054">
        <v>363.48248291015625</v>
      </c>
      <c r="F1054">
        <v>1595289</v>
      </c>
      <c r="G1054">
        <v>0</v>
      </c>
      <c r="H1054">
        <v>0</v>
      </c>
      <c r="N1054">
        <v>369.5</v>
      </c>
    </row>
    <row r="1055" spans="1:14" x14ac:dyDescent="0.25">
      <c r="A1055" s="1">
        <v>44658</v>
      </c>
      <c r="B1055">
        <v>363.48248965572714</v>
      </c>
      <c r="C1055">
        <v>370.56524571137896</v>
      </c>
      <c r="D1055">
        <v>361.61343820288596</v>
      </c>
      <c r="E1055">
        <v>363.13818359375</v>
      </c>
      <c r="F1055">
        <v>948403</v>
      </c>
      <c r="G1055">
        <v>0</v>
      </c>
      <c r="H1055">
        <v>0</v>
      </c>
      <c r="N1055">
        <v>369.15</v>
      </c>
    </row>
    <row r="1056" spans="1:14" x14ac:dyDescent="0.25">
      <c r="A1056" s="1">
        <v>44659</v>
      </c>
      <c r="B1056">
        <v>363.87598067443355</v>
      </c>
      <c r="C1056">
        <v>366.48281804608911</v>
      </c>
      <c r="D1056">
        <v>341.34892505395226</v>
      </c>
      <c r="E1056">
        <v>363.236572265625</v>
      </c>
      <c r="F1056">
        <v>1179004</v>
      </c>
      <c r="G1056">
        <v>0</v>
      </c>
      <c r="H1056">
        <v>0</v>
      </c>
      <c r="N1056">
        <v>369.25</v>
      </c>
    </row>
    <row r="1057" spans="1:14" x14ac:dyDescent="0.25">
      <c r="A1057" s="1">
        <v>44662</v>
      </c>
      <c r="B1057">
        <v>364.07273087135962</v>
      </c>
      <c r="C1057">
        <v>368.59782343151335</v>
      </c>
      <c r="D1057">
        <v>363.97435342037261</v>
      </c>
      <c r="E1057">
        <v>365.89260864257813</v>
      </c>
      <c r="F1057">
        <v>618319</v>
      </c>
      <c r="G1057">
        <v>0</v>
      </c>
      <c r="H1057">
        <v>0</v>
      </c>
      <c r="N1057">
        <v>371.95</v>
      </c>
    </row>
    <row r="1058" spans="1:14" x14ac:dyDescent="0.25">
      <c r="A1058" s="1">
        <v>44663</v>
      </c>
      <c r="B1058">
        <v>365.89259789146587</v>
      </c>
      <c r="C1058">
        <v>365.94177160522293</v>
      </c>
      <c r="D1058">
        <v>356.00624975913672</v>
      </c>
      <c r="E1058">
        <v>357.43264770507813</v>
      </c>
      <c r="F1058">
        <v>689297</v>
      </c>
      <c r="G1058">
        <v>0</v>
      </c>
      <c r="H1058">
        <v>0</v>
      </c>
      <c r="N1058">
        <v>363.35</v>
      </c>
    </row>
    <row r="1059" spans="1:14" x14ac:dyDescent="0.25">
      <c r="A1059" s="1">
        <v>44664</v>
      </c>
      <c r="B1059">
        <v>359.05576368150423</v>
      </c>
      <c r="C1059">
        <v>363.33492741716725</v>
      </c>
      <c r="D1059">
        <v>355.21928344354421</v>
      </c>
      <c r="E1059">
        <v>358.8590087890625</v>
      </c>
      <c r="F1059">
        <v>711276</v>
      </c>
      <c r="G1059">
        <v>0</v>
      </c>
      <c r="H1059">
        <v>0</v>
      </c>
      <c r="N1059">
        <v>364.8</v>
      </c>
    </row>
    <row r="1060" spans="1:14" x14ac:dyDescent="0.25">
      <c r="A1060" s="1">
        <v>44669</v>
      </c>
      <c r="B1060">
        <v>358.8590200116401</v>
      </c>
      <c r="C1060">
        <v>361.0232038138526</v>
      </c>
      <c r="D1060">
        <v>352.85838587207212</v>
      </c>
      <c r="E1060">
        <v>358.9573974609375</v>
      </c>
      <c r="F1060">
        <v>720886</v>
      </c>
      <c r="G1060">
        <v>0</v>
      </c>
      <c r="H1060">
        <v>0</v>
      </c>
      <c r="N1060">
        <v>364.9</v>
      </c>
    </row>
    <row r="1061" spans="1:14" x14ac:dyDescent="0.25">
      <c r="A1061" s="1">
        <v>44670</v>
      </c>
      <c r="B1061">
        <v>360.03950011634106</v>
      </c>
      <c r="C1061">
        <v>363.28574589604187</v>
      </c>
      <c r="D1061">
        <v>346.31667109547658</v>
      </c>
      <c r="E1061">
        <v>350.54666137695313</v>
      </c>
      <c r="F1061">
        <v>919270</v>
      </c>
      <c r="G1061">
        <v>0</v>
      </c>
      <c r="H1061">
        <v>0</v>
      </c>
      <c r="N1061">
        <v>356.35</v>
      </c>
    </row>
    <row r="1062" spans="1:14" x14ac:dyDescent="0.25">
      <c r="A1062" s="1">
        <v>44671</v>
      </c>
      <c r="B1062">
        <v>352.16977715700801</v>
      </c>
      <c r="C1062">
        <v>357.03917574883673</v>
      </c>
      <c r="D1062">
        <v>348.28409302651181</v>
      </c>
      <c r="E1062">
        <v>355.07174682617188</v>
      </c>
      <c r="F1062">
        <v>667415</v>
      </c>
      <c r="G1062">
        <v>0</v>
      </c>
      <c r="H1062">
        <v>0</v>
      </c>
      <c r="N1062">
        <v>360.95</v>
      </c>
    </row>
    <row r="1063" spans="1:14" x14ac:dyDescent="0.25">
      <c r="A1063" s="1">
        <v>44672</v>
      </c>
      <c r="B1063">
        <v>355.21930328526247</v>
      </c>
      <c r="C1063">
        <v>358.17044671324209</v>
      </c>
      <c r="D1063">
        <v>353.20267059712637</v>
      </c>
      <c r="E1063">
        <v>355.66195678710938</v>
      </c>
      <c r="F1063">
        <v>501945</v>
      </c>
      <c r="G1063">
        <v>0</v>
      </c>
      <c r="H1063">
        <v>0</v>
      </c>
      <c r="N1063">
        <v>361.55</v>
      </c>
    </row>
    <row r="1064" spans="1:14" x14ac:dyDescent="0.25">
      <c r="A1064" s="1">
        <v>44673</v>
      </c>
      <c r="B1064">
        <v>354.13720488773288</v>
      </c>
      <c r="C1064">
        <v>354.48151095215701</v>
      </c>
      <c r="D1064">
        <v>345.48052966537699</v>
      </c>
      <c r="E1064">
        <v>346.56259155273438</v>
      </c>
      <c r="F1064">
        <v>974094</v>
      </c>
      <c r="G1064">
        <v>0</v>
      </c>
      <c r="H1064">
        <v>0</v>
      </c>
      <c r="N1064">
        <v>352.3</v>
      </c>
    </row>
    <row r="1065" spans="1:14" x14ac:dyDescent="0.25">
      <c r="A1065" s="1">
        <v>44676</v>
      </c>
      <c r="B1065">
        <v>344.30005609724049</v>
      </c>
      <c r="C1065">
        <v>345.18539309451688</v>
      </c>
      <c r="D1065">
        <v>332.05279923640563</v>
      </c>
      <c r="E1065">
        <v>335.59417724609375</v>
      </c>
      <c r="F1065">
        <v>1775125</v>
      </c>
      <c r="G1065">
        <v>0</v>
      </c>
      <c r="H1065">
        <v>0</v>
      </c>
      <c r="N1065">
        <v>341.15</v>
      </c>
    </row>
    <row r="1066" spans="1:14" x14ac:dyDescent="0.25">
      <c r="A1066" s="1">
        <v>44677</v>
      </c>
      <c r="B1066">
        <v>337.51241035777662</v>
      </c>
      <c r="C1066">
        <v>344.69351333579249</v>
      </c>
      <c r="D1066">
        <v>336.67624712923435</v>
      </c>
      <c r="E1066">
        <v>343.75900268554688</v>
      </c>
      <c r="F1066">
        <v>901602</v>
      </c>
      <c r="G1066">
        <v>0</v>
      </c>
      <c r="H1066">
        <v>0</v>
      </c>
      <c r="N1066">
        <v>349.45</v>
      </c>
    </row>
    <row r="1067" spans="1:14" x14ac:dyDescent="0.25">
      <c r="A1067" s="1">
        <v>44678</v>
      </c>
      <c r="B1067">
        <v>343.31635004827825</v>
      </c>
      <c r="C1067">
        <v>344.3000645183306</v>
      </c>
      <c r="D1067">
        <v>337.65999184547712</v>
      </c>
      <c r="E1067">
        <v>339.5782470703125</v>
      </c>
      <c r="F1067">
        <v>749636</v>
      </c>
      <c r="G1067">
        <v>0</v>
      </c>
      <c r="H1067">
        <v>0</v>
      </c>
      <c r="N1067">
        <v>345.2</v>
      </c>
    </row>
    <row r="1068" spans="1:14" x14ac:dyDescent="0.25">
      <c r="A1068" s="1">
        <v>44679</v>
      </c>
      <c r="B1068">
        <v>341.74239176005483</v>
      </c>
      <c r="C1068">
        <v>351.18605642432112</v>
      </c>
      <c r="D1068">
        <v>340.5127487053478</v>
      </c>
      <c r="E1068">
        <v>348.13653564453125</v>
      </c>
      <c r="F1068">
        <v>1604803</v>
      </c>
      <c r="G1068">
        <v>0</v>
      </c>
      <c r="H1068">
        <v>0</v>
      </c>
      <c r="N1068">
        <v>353.9</v>
      </c>
    </row>
    <row r="1069" spans="1:14" x14ac:dyDescent="0.25">
      <c r="A1069" s="1">
        <v>44680</v>
      </c>
      <c r="B1069">
        <v>348.62837582841712</v>
      </c>
      <c r="C1069">
        <v>355.61275404193225</v>
      </c>
      <c r="D1069">
        <v>344.34921220304949</v>
      </c>
      <c r="E1069">
        <v>346.3658447265625</v>
      </c>
      <c r="F1069">
        <v>997726</v>
      </c>
      <c r="G1069">
        <v>0</v>
      </c>
      <c r="H1069">
        <v>0</v>
      </c>
      <c r="N1069">
        <v>352.1</v>
      </c>
    </row>
    <row r="1070" spans="1:14" x14ac:dyDescent="0.25">
      <c r="A1070" s="1">
        <v>44683</v>
      </c>
      <c r="B1070">
        <v>343.31633572909908</v>
      </c>
      <c r="C1070">
        <v>345.77562180165711</v>
      </c>
      <c r="D1070">
        <v>339.77495778049911</v>
      </c>
      <c r="E1070">
        <v>344.44760131835938</v>
      </c>
      <c r="F1070">
        <v>711231</v>
      </c>
      <c r="G1070">
        <v>0</v>
      </c>
      <c r="H1070">
        <v>0</v>
      </c>
      <c r="N1070">
        <v>350.15</v>
      </c>
    </row>
    <row r="1071" spans="1:14" x14ac:dyDescent="0.25">
      <c r="A1071" s="1">
        <v>44685</v>
      </c>
      <c r="B1071">
        <v>346.75933301161575</v>
      </c>
      <c r="C1071">
        <v>346.90688417048307</v>
      </c>
      <c r="D1071">
        <v>332.59385136930013</v>
      </c>
      <c r="E1071">
        <v>333.62673950195313</v>
      </c>
      <c r="F1071">
        <v>1001461</v>
      </c>
      <c r="G1071">
        <v>0</v>
      </c>
      <c r="H1071">
        <v>0</v>
      </c>
      <c r="N1071">
        <v>339.15</v>
      </c>
    </row>
    <row r="1072" spans="1:14" x14ac:dyDescent="0.25">
      <c r="A1072" s="1">
        <v>44686</v>
      </c>
      <c r="B1072">
        <v>336.62707021129722</v>
      </c>
      <c r="C1072">
        <v>341.34888719013327</v>
      </c>
      <c r="D1072">
        <v>332.54463154976372</v>
      </c>
      <c r="E1072">
        <v>335.102294921875</v>
      </c>
      <c r="F1072">
        <v>976433</v>
      </c>
      <c r="G1072">
        <v>0</v>
      </c>
      <c r="H1072">
        <v>0</v>
      </c>
      <c r="N1072">
        <v>340.65</v>
      </c>
    </row>
    <row r="1073" spans="1:14" x14ac:dyDescent="0.25">
      <c r="A1073" s="1">
        <v>44687</v>
      </c>
      <c r="B1073">
        <v>331.51176090750721</v>
      </c>
      <c r="C1073">
        <v>334.80721023221747</v>
      </c>
      <c r="D1073">
        <v>326.69156623373993</v>
      </c>
      <c r="E1073">
        <v>332.69223022460938</v>
      </c>
      <c r="F1073">
        <v>1014773</v>
      </c>
      <c r="G1073">
        <v>0</v>
      </c>
      <c r="H1073">
        <v>0</v>
      </c>
      <c r="N1073">
        <v>338.2</v>
      </c>
    </row>
    <row r="1074" spans="1:14" x14ac:dyDescent="0.25">
      <c r="A1074" s="1">
        <v>44690</v>
      </c>
      <c r="B1074">
        <v>330.52804432259018</v>
      </c>
      <c r="C1074">
        <v>333.23325897106378</v>
      </c>
      <c r="D1074">
        <v>324.67493152947833</v>
      </c>
      <c r="E1074">
        <v>330.3804931640625</v>
      </c>
      <c r="F1074">
        <v>916223</v>
      </c>
      <c r="G1074">
        <v>0</v>
      </c>
      <c r="H1074">
        <v>0</v>
      </c>
      <c r="N1074">
        <v>335.85</v>
      </c>
    </row>
    <row r="1075" spans="1:14" x14ac:dyDescent="0.25">
      <c r="A1075" s="1">
        <v>44691</v>
      </c>
      <c r="B1075">
        <v>330.33127501721196</v>
      </c>
      <c r="C1075">
        <v>333.23324443081947</v>
      </c>
      <c r="D1075">
        <v>323.6420292774601</v>
      </c>
      <c r="E1075">
        <v>324.72412109375</v>
      </c>
      <c r="F1075">
        <v>783577</v>
      </c>
      <c r="G1075">
        <v>0</v>
      </c>
      <c r="H1075">
        <v>0</v>
      </c>
      <c r="N1075">
        <v>330.1</v>
      </c>
    </row>
    <row r="1076" spans="1:14" x14ac:dyDescent="0.25">
      <c r="A1076" s="1">
        <v>44692</v>
      </c>
      <c r="B1076">
        <v>324.72411620559819</v>
      </c>
      <c r="C1076">
        <v>327.82281043515286</v>
      </c>
      <c r="D1076">
        <v>313.80488080664293</v>
      </c>
      <c r="E1076">
        <v>326.29806518554688</v>
      </c>
      <c r="F1076">
        <v>1124719</v>
      </c>
      <c r="G1076">
        <v>0</v>
      </c>
      <c r="H1076">
        <v>0</v>
      </c>
      <c r="N1076">
        <v>331.7</v>
      </c>
    </row>
    <row r="1077" spans="1:14" x14ac:dyDescent="0.25">
      <c r="A1077" s="1">
        <v>44693</v>
      </c>
      <c r="B1077">
        <v>326.44562215485348</v>
      </c>
      <c r="C1077">
        <v>329.54431643964756</v>
      </c>
      <c r="D1077">
        <v>318.82183572975714</v>
      </c>
      <c r="E1077">
        <v>327.97036743164063</v>
      </c>
      <c r="F1077">
        <v>1263216</v>
      </c>
      <c r="G1077">
        <v>0</v>
      </c>
      <c r="H1077">
        <v>0</v>
      </c>
      <c r="N1077">
        <v>333.4</v>
      </c>
    </row>
    <row r="1078" spans="1:14" x14ac:dyDescent="0.25">
      <c r="A1078" s="1">
        <v>44694</v>
      </c>
      <c r="B1078">
        <v>331.2166633511988</v>
      </c>
      <c r="C1078">
        <v>338.98800140888642</v>
      </c>
      <c r="D1078">
        <v>330.52805123622375</v>
      </c>
      <c r="E1078">
        <v>335.299072265625</v>
      </c>
      <c r="F1078">
        <v>1288182</v>
      </c>
      <c r="G1078">
        <v>0</v>
      </c>
      <c r="H1078">
        <v>0</v>
      </c>
      <c r="N1078">
        <v>340.85</v>
      </c>
    </row>
    <row r="1079" spans="1:14" x14ac:dyDescent="0.25">
      <c r="A1079" s="1">
        <v>44697</v>
      </c>
      <c r="B1079">
        <v>334.02022525775294</v>
      </c>
      <c r="C1079">
        <v>341.34890982564303</v>
      </c>
      <c r="D1079">
        <v>331.61014289813448</v>
      </c>
      <c r="E1079">
        <v>339.4798583984375</v>
      </c>
      <c r="F1079">
        <v>961959</v>
      </c>
      <c r="G1079">
        <v>0</v>
      </c>
      <c r="H1079">
        <v>0</v>
      </c>
      <c r="N1079">
        <v>345.1</v>
      </c>
    </row>
    <row r="1080" spans="1:14" x14ac:dyDescent="0.25">
      <c r="A1080" s="1">
        <v>44698</v>
      </c>
      <c r="B1080">
        <v>339.52902876870013</v>
      </c>
      <c r="C1080">
        <v>344.74273324866022</v>
      </c>
      <c r="D1080">
        <v>337.95507968002192</v>
      </c>
      <c r="E1080">
        <v>343.36550903320313</v>
      </c>
      <c r="F1080">
        <v>1119285</v>
      </c>
      <c r="G1080">
        <v>0</v>
      </c>
      <c r="H1080">
        <v>0</v>
      </c>
      <c r="N1080">
        <v>349.05</v>
      </c>
    </row>
    <row r="1081" spans="1:14" x14ac:dyDescent="0.25">
      <c r="A1081" s="1">
        <v>44699</v>
      </c>
      <c r="B1081">
        <v>352.16978051676608</v>
      </c>
      <c r="C1081">
        <v>353.49780105635097</v>
      </c>
      <c r="D1081">
        <v>339.5290435639331</v>
      </c>
      <c r="E1081">
        <v>341.74240112304688</v>
      </c>
      <c r="F1081">
        <v>3544473</v>
      </c>
      <c r="G1081">
        <v>0</v>
      </c>
      <c r="H1081">
        <v>0</v>
      </c>
      <c r="N1081">
        <v>347.4</v>
      </c>
    </row>
    <row r="1082" spans="1:14" x14ac:dyDescent="0.25">
      <c r="A1082" s="1">
        <v>44700</v>
      </c>
      <c r="B1082">
        <v>335.49577691282843</v>
      </c>
      <c r="C1082">
        <v>337.95506286005804</v>
      </c>
      <c r="D1082">
        <v>329.00328602860662</v>
      </c>
      <c r="E1082">
        <v>333.23324584960938</v>
      </c>
      <c r="F1082">
        <v>1080963</v>
      </c>
      <c r="G1082">
        <v>0</v>
      </c>
      <c r="H1082">
        <v>0</v>
      </c>
      <c r="N1082">
        <v>338.75</v>
      </c>
    </row>
    <row r="1083" spans="1:14" x14ac:dyDescent="0.25">
      <c r="A1083" s="1">
        <v>44701</v>
      </c>
      <c r="B1083">
        <v>339.67656355952431</v>
      </c>
      <c r="C1083">
        <v>352.95670769553567</v>
      </c>
      <c r="D1083">
        <v>333.47917497095119</v>
      </c>
      <c r="E1083">
        <v>351.03848266601563</v>
      </c>
      <c r="F1083">
        <v>7345887</v>
      </c>
      <c r="G1083">
        <v>0</v>
      </c>
      <c r="H1083">
        <v>0</v>
      </c>
      <c r="N1083">
        <v>356.85</v>
      </c>
    </row>
    <row r="1084" spans="1:14" x14ac:dyDescent="0.25">
      <c r="A1084" s="1">
        <v>44704</v>
      </c>
      <c r="B1084">
        <v>364.76128348611041</v>
      </c>
      <c r="C1084">
        <v>364.76128348611041</v>
      </c>
      <c r="D1084">
        <v>351.67789411873656</v>
      </c>
      <c r="E1084">
        <v>356.59646606445313</v>
      </c>
      <c r="F1084">
        <v>3839506</v>
      </c>
      <c r="G1084">
        <v>0</v>
      </c>
      <c r="H1084">
        <v>0</v>
      </c>
      <c r="N1084">
        <v>362.5</v>
      </c>
    </row>
    <row r="1085" spans="1:14" x14ac:dyDescent="0.25">
      <c r="A1085" s="1">
        <v>44705</v>
      </c>
      <c r="B1085">
        <v>358.56390771239126</v>
      </c>
      <c r="C1085">
        <v>367.5648886920016</v>
      </c>
      <c r="D1085">
        <v>354.38312140847449</v>
      </c>
      <c r="E1085">
        <v>362.10528564453125</v>
      </c>
      <c r="F1085">
        <v>3218921</v>
      </c>
      <c r="G1085">
        <v>0</v>
      </c>
      <c r="H1085">
        <v>0</v>
      </c>
      <c r="N1085">
        <v>368.1</v>
      </c>
    </row>
    <row r="1086" spans="1:14" x14ac:dyDescent="0.25">
      <c r="A1086" s="1">
        <v>44706</v>
      </c>
      <c r="B1086">
        <v>364.9088814650566</v>
      </c>
      <c r="C1086">
        <v>364.9088814650566</v>
      </c>
      <c r="D1086">
        <v>357.8261255288304</v>
      </c>
      <c r="E1086">
        <v>360.3837890625</v>
      </c>
      <c r="F1086">
        <v>1538994</v>
      </c>
      <c r="G1086">
        <v>0</v>
      </c>
      <c r="H1086">
        <v>0</v>
      </c>
      <c r="N1086">
        <v>366.35</v>
      </c>
    </row>
    <row r="1087" spans="1:14" x14ac:dyDescent="0.25">
      <c r="A1087" s="1">
        <v>44707</v>
      </c>
      <c r="B1087">
        <v>362.00691769922304</v>
      </c>
      <c r="C1087">
        <v>367.95837811512126</v>
      </c>
      <c r="D1087">
        <v>357.62937638729016</v>
      </c>
      <c r="E1087">
        <v>367.3189697265625</v>
      </c>
      <c r="F1087">
        <v>2827263</v>
      </c>
      <c r="G1087">
        <v>0</v>
      </c>
      <c r="H1087">
        <v>0</v>
      </c>
      <c r="N1087">
        <v>373.4</v>
      </c>
    </row>
    <row r="1088" spans="1:14" x14ac:dyDescent="0.25">
      <c r="A1088" s="1">
        <v>44708</v>
      </c>
      <c r="B1088">
        <v>368.89291341667513</v>
      </c>
      <c r="C1088">
        <v>370.41765878389788</v>
      </c>
      <c r="D1088">
        <v>365.25315799606443</v>
      </c>
      <c r="E1088">
        <v>367.81082153320313</v>
      </c>
      <c r="F1088">
        <v>2252457</v>
      </c>
      <c r="G1088">
        <v>0</v>
      </c>
      <c r="H1088">
        <v>0</v>
      </c>
      <c r="N1088">
        <v>373.9</v>
      </c>
    </row>
    <row r="1089" spans="1:14" x14ac:dyDescent="0.25">
      <c r="A1089" s="1">
        <v>44711</v>
      </c>
      <c r="B1089">
        <v>369.87664287572568</v>
      </c>
      <c r="C1089">
        <v>372.33592906505896</v>
      </c>
      <c r="D1089">
        <v>367.51573413808239</v>
      </c>
      <c r="E1089">
        <v>371.45059204101563</v>
      </c>
      <c r="F1089">
        <v>2704348</v>
      </c>
      <c r="G1089">
        <v>0</v>
      </c>
      <c r="H1089">
        <v>0</v>
      </c>
      <c r="N1089">
        <v>377.6</v>
      </c>
    </row>
    <row r="1090" spans="1:14" x14ac:dyDescent="0.25">
      <c r="A1090" s="1">
        <v>44712</v>
      </c>
      <c r="B1090">
        <v>373.27044635156187</v>
      </c>
      <c r="C1090">
        <v>375.58215120769336</v>
      </c>
      <c r="D1090">
        <v>370.07337450648129</v>
      </c>
      <c r="E1090">
        <v>372.1883544921875</v>
      </c>
      <c r="F1090">
        <v>3035994</v>
      </c>
      <c r="G1090">
        <v>0</v>
      </c>
      <c r="H1090">
        <v>0</v>
      </c>
      <c r="N1090">
        <v>378.35</v>
      </c>
    </row>
    <row r="1091" spans="1:14" x14ac:dyDescent="0.25">
      <c r="A1091" s="1">
        <v>44713</v>
      </c>
      <c r="B1091">
        <v>364.95805395055851</v>
      </c>
      <c r="C1091">
        <v>372.77859568630328</v>
      </c>
      <c r="D1091">
        <v>364.46619673499168</v>
      </c>
      <c r="E1091">
        <v>366.5811767578125</v>
      </c>
      <c r="F1091">
        <v>1602867</v>
      </c>
      <c r="G1091">
        <v>0</v>
      </c>
      <c r="H1091">
        <v>0</v>
      </c>
      <c r="N1091">
        <v>372.65</v>
      </c>
    </row>
    <row r="1092" spans="1:14" x14ac:dyDescent="0.25">
      <c r="A1092" s="1">
        <v>44714</v>
      </c>
      <c r="B1092">
        <v>365.0072398820231</v>
      </c>
      <c r="C1092">
        <v>367.51572977773139</v>
      </c>
      <c r="D1092">
        <v>357.72775885207989</v>
      </c>
      <c r="E1092">
        <v>359.40008544921875</v>
      </c>
      <c r="F1092">
        <v>1620657</v>
      </c>
      <c r="G1092">
        <v>0</v>
      </c>
      <c r="H1092">
        <v>0</v>
      </c>
      <c r="N1092">
        <v>365.35</v>
      </c>
    </row>
    <row r="1093" spans="1:14" x14ac:dyDescent="0.25">
      <c r="A1093" s="1">
        <v>44715</v>
      </c>
      <c r="B1093">
        <v>359.64600385746706</v>
      </c>
      <c r="C1093">
        <v>362.44959600458691</v>
      </c>
      <c r="D1093">
        <v>356.15379959681525</v>
      </c>
      <c r="E1093">
        <v>357.28509521484375</v>
      </c>
      <c r="F1093">
        <v>1658294</v>
      </c>
      <c r="G1093">
        <v>0</v>
      </c>
      <c r="H1093">
        <v>0</v>
      </c>
      <c r="N1093">
        <v>363.2</v>
      </c>
    </row>
    <row r="1094" spans="1:14" x14ac:dyDescent="0.25">
      <c r="A1094" s="1">
        <v>44718</v>
      </c>
      <c r="B1094">
        <v>355.61275257332545</v>
      </c>
      <c r="C1094">
        <v>360.03946733564902</v>
      </c>
      <c r="D1094">
        <v>354.33393587244211</v>
      </c>
      <c r="E1094">
        <v>358.76065063476563</v>
      </c>
      <c r="F1094">
        <v>809193</v>
      </c>
      <c r="G1094">
        <v>0</v>
      </c>
      <c r="H1094">
        <v>0</v>
      </c>
      <c r="N1094">
        <v>364.7</v>
      </c>
    </row>
    <row r="1095" spans="1:14" x14ac:dyDescent="0.25">
      <c r="A1095" s="1">
        <v>44719</v>
      </c>
      <c r="B1095">
        <v>358.07203720794786</v>
      </c>
      <c r="C1095">
        <v>359.05575159588182</v>
      </c>
      <c r="D1095">
        <v>349.41536260236165</v>
      </c>
      <c r="E1095">
        <v>351.33358764648438</v>
      </c>
      <c r="F1095">
        <v>808257</v>
      </c>
      <c r="G1095">
        <v>0</v>
      </c>
      <c r="H1095">
        <v>0</v>
      </c>
      <c r="N1095">
        <v>357.15</v>
      </c>
    </row>
    <row r="1096" spans="1:14" x14ac:dyDescent="0.25">
      <c r="A1096" s="1">
        <v>44720</v>
      </c>
      <c r="B1096">
        <v>351.28442285240283</v>
      </c>
      <c r="C1096">
        <v>353.84208633007148</v>
      </c>
      <c r="D1096">
        <v>347.74304496182947</v>
      </c>
      <c r="E1096">
        <v>353.301025390625</v>
      </c>
      <c r="F1096">
        <v>493266</v>
      </c>
      <c r="G1096">
        <v>0</v>
      </c>
      <c r="H1096">
        <v>0</v>
      </c>
      <c r="N1096">
        <v>359.15</v>
      </c>
    </row>
    <row r="1097" spans="1:14" x14ac:dyDescent="0.25">
      <c r="A1097" s="1">
        <v>44721</v>
      </c>
      <c r="B1097">
        <v>351.18604625040865</v>
      </c>
      <c r="C1097">
        <v>357.53101623711501</v>
      </c>
      <c r="D1097">
        <v>350.20233183514142</v>
      </c>
      <c r="E1097">
        <v>355.4652099609375</v>
      </c>
      <c r="F1097">
        <v>537490</v>
      </c>
      <c r="G1097">
        <v>0</v>
      </c>
      <c r="H1097">
        <v>0</v>
      </c>
      <c r="N1097">
        <v>361.35</v>
      </c>
    </row>
    <row r="1098" spans="1:14" x14ac:dyDescent="0.25">
      <c r="A1098" s="1">
        <v>44722</v>
      </c>
      <c r="B1098">
        <v>353.6453188593789</v>
      </c>
      <c r="C1098">
        <v>355.46519646263226</v>
      </c>
      <c r="D1098">
        <v>351.1860329145988</v>
      </c>
      <c r="E1098">
        <v>353.05508422851563</v>
      </c>
      <c r="F1098">
        <v>306781</v>
      </c>
      <c r="G1098">
        <v>0</v>
      </c>
      <c r="H1098">
        <v>0</v>
      </c>
      <c r="N1098">
        <v>358.9</v>
      </c>
    </row>
    <row r="1099" spans="1:14" x14ac:dyDescent="0.25">
      <c r="A1099" s="1">
        <v>44725</v>
      </c>
      <c r="B1099">
        <v>347.84142308167492</v>
      </c>
      <c r="C1099">
        <v>351.57952584972833</v>
      </c>
      <c r="D1099">
        <v>343.365504481931</v>
      </c>
      <c r="E1099">
        <v>346.02154541015625</v>
      </c>
      <c r="F1099">
        <v>567387</v>
      </c>
      <c r="G1099">
        <v>0</v>
      </c>
      <c r="H1099">
        <v>0</v>
      </c>
      <c r="N1099">
        <v>351.75</v>
      </c>
    </row>
    <row r="1100" spans="1:14" x14ac:dyDescent="0.25">
      <c r="A1100" s="1">
        <v>44726</v>
      </c>
      <c r="B1100">
        <v>344.79189253405383</v>
      </c>
      <c r="C1100">
        <v>350.59580141139537</v>
      </c>
      <c r="D1100">
        <v>344.10328045514012</v>
      </c>
      <c r="E1100">
        <v>346.07070922851563</v>
      </c>
      <c r="F1100">
        <v>696169</v>
      </c>
      <c r="G1100">
        <v>0</v>
      </c>
      <c r="H1100">
        <v>0</v>
      </c>
      <c r="N1100">
        <v>351.8</v>
      </c>
    </row>
    <row r="1101" spans="1:14" x14ac:dyDescent="0.25">
      <c r="A1101" s="1">
        <v>44727</v>
      </c>
      <c r="B1101">
        <v>349.21862580463988</v>
      </c>
      <c r="C1101">
        <v>349.21862580463988</v>
      </c>
      <c r="D1101">
        <v>344.15250244849187</v>
      </c>
      <c r="E1101">
        <v>346.90689086914063</v>
      </c>
      <c r="F1101">
        <v>378978</v>
      </c>
      <c r="G1101">
        <v>0</v>
      </c>
      <c r="H1101">
        <v>0</v>
      </c>
      <c r="N1101">
        <v>352.65</v>
      </c>
    </row>
    <row r="1102" spans="1:14" x14ac:dyDescent="0.25">
      <c r="A1102" s="1">
        <v>44728</v>
      </c>
      <c r="B1102">
        <v>348.33329076601092</v>
      </c>
      <c r="C1102">
        <v>349.51373008694094</v>
      </c>
      <c r="D1102">
        <v>335.44662554025979</v>
      </c>
      <c r="E1102">
        <v>337.61080932617188</v>
      </c>
      <c r="F1102">
        <v>616497</v>
      </c>
      <c r="G1102">
        <v>0</v>
      </c>
      <c r="H1102">
        <v>0</v>
      </c>
      <c r="N1102">
        <v>343.2</v>
      </c>
    </row>
    <row r="1103" spans="1:14" x14ac:dyDescent="0.25">
      <c r="A1103" s="1">
        <v>44729</v>
      </c>
      <c r="B1103">
        <v>336.92218667848221</v>
      </c>
      <c r="C1103">
        <v>336.92218667848221</v>
      </c>
      <c r="D1103">
        <v>327.33097114529915</v>
      </c>
      <c r="E1103">
        <v>330.23294067382813</v>
      </c>
      <c r="F1103">
        <v>1004357</v>
      </c>
      <c r="G1103">
        <v>0</v>
      </c>
      <c r="H1103">
        <v>0</v>
      </c>
      <c r="N1103">
        <v>335.7</v>
      </c>
    </row>
    <row r="1104" spans="1:14" x14ac:dyDescent="0.25">
      <c r="A1104" s="1">
        <v>44732</v>
      </c>
      <c r="B1104">
        <v>331.01991917449084</v>
      </c>
      <c r="C1104">
        <v>331.46260269425017</v>
      </c>
      <c r="D1104">
        <v>324.42902021686945</v>
      </c>
      <c r="E1104">
        <v>329.052490234375</v>
      </c>
      <c r="F1104">
        <v>942146</v>
      </c>
      <c r="G1104">
        <v>0</v>
      </c>
      <c r="H1104">
        <v>0</v>
      </c>
      <c r="N1104">
        <v>334.5</v>
      </c>
    </row>
    <row r="1105" spans="1:14" x14ac:dyDescent="0.25">
      <c r="A1105" s="1">
        <v>44733</v>
      </c>
      <c r="B1105">
        <v>328.60978540390164</v>
      </c>
      <c r="C1105">
        <v>341.34889897323916</v>
      </c>
      <c r="D1105">
        <v>328.60978540390164</v>
      </c>
      <c r="E1105">
        <v>340.46356201171875</v>
      </c>
      <c r="F1105">
        <v>604029</v>
      </c>
      <c r="G1105">
        <v>0</v>
      </c>
      <c r="H1105">
        <v>0</v>
      </c>
      <c r="N1105">
        <v>346.1</v>
      </c>
    </row>
    <row r="1106" spans="1:14" x14ac:dyDescent="0.25">
      <c r="A1106" s="1">
        <v>44734</v>
      </c>
      <c r="B1106">
        <v>339.38146884990209</v>
      </c>
      <c r="C1106">
        <v>342.77529554663357</v>
      </c>
      <c r="D1106">
        <v>334.61044799383802</v>
      </c>
      <c r="E1106">
        <v>337.21728515625</v>
      </c>
      <c r="F1106">
        <v>578554</v>
      </c>
      <c r="G1106">
        <v>0</v>
      </c>
      <c r="H1106">
        <v>0</v>
      </c>
      <c r="N1106">
        <v>342.8</v>
      </c>
    </row>
    <row r="1107" spans="1:14" x14ac:dyDescent="0.25">
      <c r="A1107" s="1">
        <v>44735</v>
      </c>
      <c r="B1107">
        <v>340.36518723071919</v>
      </c>
      <c r="C1107">
        <v>341.49645280265872</v>
      </c>
      <c r="D1107">
        <v>335.88929865542639</v>
      </c>
      <c r="E1107">
        <v>340.7586669921875</v>
      </c>
      <c r="F1107">
        <v>703714</v>
      </c>
      <c r="G1107">
        <v>0</v>
      </c>
      <c r="H1107">
        <v>0</v>
      </c>
      <c r="N1107">
        <v>346.4</v>
      </c>
    </row>
    <row r="1108" spans="1:14" x14ac:dyDescent="0.25">
      <c r="A1108" s="1">
        <v>44736</v>
      </c>
      <c r="B1108">
        <v>341.84075425356821</v>
      </c>
      <c r="C1108">
        <v>348.72675505867602</v>
      </c>
      <c r="D1108">
        <v>340.70948869684526</v>
      </c>
      <c r="E1108">
        <v>347.59548950195313</v>
      </c>
      <c r="F1108">
        <v>624492</v>
      </c>
      <c r="G1108">
        <v>0</v>
      </c>
      <c r="H1108">
        <v>0</v>
      </c>
      <c r="N1108">
        <v>353.35</v>
      </c>
    </row>
    <row r="1109" spans="1:14" x14ac:dyDescent="0.25">
      <c r="A1109" s="1">
        <v>44739</v>
      </c>
      <c r="B1109">
        <v>349.31700498528295</v>
      </c>
      <c r="C1109">
        <v>352.95673041486623</v>
      </c>
      <c r="D1109">
        <v>346.26748420549308</v>
      </c>
      <c r="E1109">
        <v>348.13653564453125</v>
      </c>
      <c r="F1109">
        <v>918610</v>
      </c>
      <c r="G1109">
        <v>0</v>
      </c>
      <c r="H1109">
        <v>0</v>
      </c>
      <c r="N1109">
        <v>353.9</v>
      </c>
    </row>
    <row r="1110" spans="1:14" x14ac:dyDescent="0.25">
      <c r="A1110" s="1">
        <v>44740</v>
      </c>
      <c r="B1110">
        <v>347.25118470475195</v>
      </c>
      <c r="C1110">
        <v>352.71078764017773</v>
      </c>
      <c r="D1110">
        <v>343.51308197678594</v>
      </c>
      <c r="E1110">
        <v>351.923828125</v>
      </c>
      <c r="F1110">
        <v>657485</v>
      </c>
      <c r="G1110">
        <v>0</v>
      </c>
      <c r="H1110">
        <v>0</v>
      </c>
      <c r="N1110">
        <v>357.75</v>
      </c>
    </row>
    <row r="1111" spans="1:14" x14ac:dyDescent="0.25">
      <c r="A1111" s="1">
        <v>44741</v>
      </c>
      <c r="B1111">
        <v>349.12024233685963</v>
      </c>
      <c r="C1111">
        <v>353.00592631169383</v>
      </c>
      <c r="D1111">
        <v>346.7101600154939</v>
      </c>
      <c r="E1111">
        <v>350.4974365234375</v>
      </c>
      <c r="F1111">
        <v>1040851</v>
      </c>
      <c r="G1111">
        <v>0</v>
      </c>
      <c r="H1111">
        <v>0</v>
      </c>
      <c r="N1111">
        <v>356.3</v>
      </c>
    </row>
    <row r="1112" spans="1:14" x14ac:dyDescent="0.25">
      <c r="A1112" s="1">
        <v>44742</v>
      </c>
      <c r="B1112">
        <v>349.95639217601104</v>
      </c>
      <c r="C1112">
        <v>353.54694367419273</v>
      </c>
      <c r="D1112">
        <v>347.64465736904566</v>
      </c>
      <c r="E1112">
        <v>351.18603515625</v>
      </c>
      <c r="F1112">
        <v>1065972</v>
      </c>
      <c r="G1112">
        <v>0</v>
      </c>
      <c r="H1112">
        <v>0</v>
      </c>
      <c r="N1112">
        <v>357</v>
      </c>
    </row>
    <row r="1113" spans="1:14" x14ac:dyDescent="0.25">
      <c r="A1113" s="1">
        <v>44743</v>
      </c>
      <c r="B1113">
        <v>351.08767808749946</v>
      </c>
      <c r="C1113">
        <v>358.12123033851066</v>
      </c>
      <c r="D1113">
        <v>348.53001453606385</v>
      </c>
      <c r="E1113">
        <v>355.416015625</v>
      </c>
      <c r="F1113">
        <v>862373</v>
      </c>
      <c r="G1113">
        <v>0</v>
      </c>
      <c r="H1113">
        <v>0</v>
      </c>
      <c r="N1113">
        <v>361.3</v>
      </c>
    </row>
    <row r="1114" spans="1:14" x14ac:dyDescent="0.25">
      <c r="A1114" s="1">
        <v>44746</v>
      </c>
      <c r="B1114">
        <v>355.41600039370525</v>
      </c>
      <c r="C1114">
        <v>359.10492939040404</v>
      </c>
      <c r="D1114">
        <v>352.56323464037445</v>
      </c>
      <c r="E1114">
        <v>354.87496948242188</v>
      </c>
      <c r="F1114">
        <v>687991</v>
      </c>
      <c r="G1114">
        <v>0</v>
      </c>
      <c r="H1114">
        <v>0</v>
      </c>
      <c r="N1114">
        <v>360.75</v>
      </c>
    </row>
    <row r="1115" spans="1:14" x14ac:dyDescent="0.25">
      <c r="A1115" s="1">
        <v>44747</v>
      </c>
      <c r="B1115">
        <v>354.53067863196753</v>
      </c>
      <c r="C1115">
        <v>360.92482250026541</v>
      </c>
      <c r="D1115">
        <v>353.59616792510417</v>
      </c>
      <c r="E1115">
        <v>355.416015625</v>
      </c>
      <c r="F1115">
        <v>511387</v>
      </c>
      <c r="G1115">
        <v>0</v>
      </c>
      <c r="H1115">
        <v>0</v>
      </c>
      <c r="N1115">
        <v>361.3</v>
      </c>
    </row>
    <row r="1116" spans="1:14" x14ac:dyDescent="0.25">
      <c r="A1116" s="1">
        <v>44748</v>
      </c>
      <c r="B1116">
        <v>356.00623227961125</v>
      </c>
      <c r="C1116">
        <v>362.0068960718753</v>
      </c>
      <c r="D1116">
        <v>354.92414044484548</v>
      </c>
      <c r="E1116">
        <v>359.84271240234375</v>
      </c>
      <c r="F1116">
        <v>670766</v>
      </c>
      <c r="G1116">
        <v>0</v>
      </c>
      <c r="H1116">
        <v>0</v>
      </c>
      <c r="N1116">
        <v>365.8</v>
      </c>
    </row>
    <row r="1117" spans="1:14" x14ac:dyDescent="0.25">
      <c r="A1117" s="1">
        <v>44749</v>
      </c>
      <c r="B1117">
        <v>360.8264330717526</v>
      </c>
      <c r="C1117">
        <v>363.87595374257535</v>
      </c>
      <c r="D1117">
        <v>360.13785099807086</v>
      </c>
      <c r="E1117">
        <v>361.51504516601563</v>
      </c>
      <c r="F1117">
        <v>267928</v>
      </c>
      <c r="G1117">
        <v>0</v>
      </c>
      <c r="H1117">
        <v>0</v>
      </c>
      <c r="N1117">
        <v>367.5</v>
      </c>
    </row>
    <row r="1118" spans="1:14" x14ac:dyDescent="0.25">
      <c r="A1118" s="1">
        <v>44750</v>
      </c>
      <c r="B1118">
        <v>362.44958140142501</v>
      </c>
      <c r="C1118">
        <v>363.48246950952552</v>
      </c>
      <c r="D1118">
        <v>358.61307123858097</v>
      </c>
      <c r="E1118">
        <v>359.99029541015625</v>
      </c>
      <c r="F1118">
        <v>615151</v>
      </c>
      <c r="G1118">
        <v>0</v>
      </c>
      <c r="H1118">
        <v>0</v>
      </c>
      <c r="N1118">
        <v>365.95</v>
      </c>
    </row>
    <row r="1119" spans="1:14" x14ac:dyDescent="0.25">
      <c r="A1119" s="1">
        <v>44753</v>
      </c>
      <c r="B1119">
        <v>361.17075950711904</v>
      </c>
      <c r="C1119">
        <v>366.67956651045375</v>
      </c>
      <c r="D1119">
        <v>358.71147334675385</v>
      </c>
      <c r="E1119">
        <v>364.6629638671875</v>
      </c>
      <c r="F1119">
        <v>667678</v>
      </c>
      <c r="G1119">
        <v>0</v>
      </c>
      <c r="H1119">
        <v>0</v>
      </c>
      <c r="N1119">
        <v>370.7</v>
      </c>
    </row>
    <row r="1120" spans="1:14" x14ac:dyDescent="0.25">
      <c r="A1120" s="1">
        <v>44754</v>
      </c>
      <c r="B1120">
        <v>363.97433265050881</v>
      </c>
      <c r="C1120">
        <v>365.94176147564673</v>
      </c>
      <c r="D1120">
        <v>356.39971966549541</v>
      </c>
      <c r="E1120">
        <v>357.4818115234375</v>
      </c>
      <c r="F1120">
        <v>356220</v>
      </c>
      <c r="G1120">
        <v>0</v>
      </c>
      <c r="H1120">
        <v>0</v>
      </c>
      <c r="N1120">
        <v>363.4</v>
      </c>
    </row>
    <row r="1121" spans="1:14" x14ac:dyDescent="0.25">
      <c r="A1121" s="1">
        <v>44755</v>
      </c>
      <c r="B1121">
        <v>358.26881780782395</v>
      </c>
      <c r="C1121">
        <v>363.63004359450707</v>
      </c>
      <c r="D1121">
        <v>357.23589961400916</v>
      </c>
      <c r="E1121">
        <v>362.35122680664063</v>
      </c>
      <c r="F1121">
        <v>311184</v>
      </c>
      <c r="G1121">
        <v>0</v>
      </c>
      <c r="H1121">
        <v>0</v>
      </c>
      <c r="N1121">
        <v>368.35</v>
      </c>
    </row>
    <row r="1122" spans="1:14" x14ac:dyDescent="0.25">
      <c r="A1122" s="1">
        <v>44756</v>
      </c>
      <c r="B1122">
        <v>359.05576131186388</v>
      </c>
      <c r="C1122">
        <v>374.10657984629296</v>
      </c>
      <c r="D1122">
        <v>358.17042434288243</v>
      </c>
      <c r="E1122">
        <v>363.8267822265625</v>
      </c>
      <c r="F1122">
        <v>2620703</v>
      </c>
      <c r="G1122">
        <v>0</v>
      </c>
      <c r="H1122">
        <v>0</v>
      </c>
      <c r="N1122">
        <v>369.85</v>
      </c>
    </row>
    <row r="1123" spans="1:14" x14ac:dyDescent="0.25">
      <c r="A1123" s="1">
        <v>44757</v>
      </c>
      <c r="B1123">
        <v>361.51507800307525</v>
      </c>
      <c r="C1123">
        <v>370.27013103086961</v>
      </c>
      <c r="D1123">
        <v>361.07239447075619</v>
      </c>
      <c r="E1123">
        <v>364.90890502929688</v>
      </c>
      <c r="F1123">
        <v>2683866</v>
      </c>
      <c r="G1123">
        <v>0</v>
      </c>
      <c r="H1123">
        <v>0</v>
      </c>
      <c r="N1123">
        <v>370.95</v>
      </c>
    </row>
    <row r="1124" spans="1:14" x14ac:dyDescent="0.25">
      <c r="A1124" s="1">
        <v>44760</v>
      </c>
      <c r="B1124">
        <v>363.97435552326851</v>
      </c>
      <c r="C1124">
        <v>366.43364170923655</v>
      </c>
      <c r="D1124">
        <v>350.79258757059654</v>
      </c>
      <c r="E1124">
        <v>352.41571044921875</v>
      </c>
      <c r="F1124">
        <v>4131998</v>
      </c>
      <c r="G1124">
        <v>0</v>
      </c>
      <c r="H1124">
        <v>0</v>
      </c>
      <c r="N1124">
        <v>358.25</v>
      </c>
    </row>
    <row r="1125" spans="1:14" x14ac:dyDescent="0.25">
      <c r="A1125" s="1">
        <v>44761</v>
      </c>
      <c r="B1125">
        <v>352.75998685824283</v>
      </c>
      <c r="C1125">
        <v>355.90785489924963</v>
      </c>
      <c r="D1125">
        <v>350.69418063161226</v>
      </c>
      <c r="E1125">
        <v>351.48114013671875</v>
      </c>
      <c r="F1125">
        <v>1010344</v>
      </c>
      <c r="G1125">
        <v>0</v>
      </c>
      <c r="H1125">
        <v>0</v>
      </c>
      <c r="N1125">
        <v>357.3</v>
      </c>
    </row>
    <row r="1126" spans="1:14" x14ac:dyDescent="0.25">
      <c r="A1126" s="1">
        <v>44762</v>
      </c>
      <c r="B1126">
        <v>353.94044050588667</v>
      </c>
      <c r="C1126">
        <v>358.36715544839234</v>
      </c>
      <c r="D1126">
        <v>352.31731769775098</v>
      </c>
      <c r="E1126">
        <v>352.95672607421875</v>
      </c>
      <c r="F1126">
        <v>1087072</v>
      </c>
      <c r="G1126">
        <v>0</v>
      </c>
      <c r="H1126">
        <v>0</v>
      </c>
      <c r="N1126">
        <v>358.8</v>
      </c>
    </row>
    <row r="1127" spans="1:14" x14ac:dyDescent="0.25">
      <c r="A1127" s="1">
        <v>44763</v>
      </c>
      <c r="B1127">
        <v>354.03882954868612</v>
      </c>
      <c r="C1127">
        <v>354.62906423113469</v>
      </c>
      <c r="D1127">
        <v>347.98899159989986</v>
      </c>
      <c r="E1127">
        <v>348.87432861328125</v>
      </c>
      <c r="F1127">
        <v>1105199</v>
      </c>
      <c r="G1127">
        <v>0</v>
      </c>
      <c r="H1127">
        <v>0</v>
      </c>
      <c r="N1127">
        <v>354.65</v>
      </c>
    </row>
    <row r="1128" spans="1:14" x14ac:dyDescent="0.25">
      <c r="A1128" s="1">
        <v>44764</v>
      </c>
      <c r="B1128">
        <v>350.20232853428786</v>
      </c>
      <c r="C1128">
        <v>350.20232853428786</v>
      </c>
      <c r="D1128">
        <v>344.05411349681788</v>
      </c>
      <c r="E1128">
        <v>344.64434814453125</v>
      </c>
      <c r="F1128">
        <v>697284</v>
      </c>
      <c r="G1128">
        <v>0</v>
      </c>
      <c r="H1128">
        <v>0</v>
      </c>
      <c r="N1128">
        <v>350.35</v>
      </c>
    </row>
    <row r="1129" spans="1:14" x14ac:dyDescent="0.25">
      <c r="A1129" s="1">
        <v>44767</v>
      </c>
      <c r="B1129">
        <v>345.18539043356031</v>
      </c>
      <c r="C1129">
        <v>347.10364559669051</v>
      </c>
      <c r="D1129">
        <v>340.02088963191369</v>
      </c>
      <c r="E1129">
        <v>341.64401245117188</v>
      </c>
      <c r="F1129">
        <v>729813</v>
      </c>
      <c r="G1129">
        <v>0</v>
      </c>
      <c r="H1129">
        <v>0</v>
      </c>
      <c r="N1129">
        <v>347.3</v>
      </c>
    </row>
    <row r="1130" spans="1:14" x14ac:dyDescent="0.25">
      <c r="A1130" s="1">
        <v>44768</v>
      </c>
      <c r="B1130">
        <v>341.93911955374301</v>
      </c>
      <c r="C1130">
        <v>343.31631366173713</v>
      </c>
      <c r="D1130">
        <v>334.4628843696006</v>
      </c>
      <c r="E1130">
        <v>336.97134399414063</v>
      </c>
      <c r="F1130">
        <v>1051707</v>
      </c>
      <c r="G1130">
        <v>0</v>
      </c>
      <c r="H1130">
        <v>0</v>
      </c>
      <c r="N1130">
        <v>342.55</v>
      </c>
    </row>
    <row r="1131" spans="1:14" x14ac:dyDescent="0.25">
      <c r="A1131" s="1">
        <v>44769</v>
      </c>
      <c r="B1131">
        <v>337.41404168035012</v>
      </c>
      <c r="C1131">
        <v>347.34956319750296</v>
      </c>
      <c r="D1131">
        <v>334.85637821743239</v>
      </c>
      <c r="E1131">
        <v>345.7264404296875</v>
      </c>
      <c r="F1131">
        <v>2779735</v>
      </c>
      <c r="G1131">
        <v>0</v>
      </c>
      <c r="H1131">
        <v>0</v>
      </c>
      <c r="N1131">
        <v>351.45</v>
      </c>
    </row>
    <row r="1132" spans="1:14" x14ac:dyDescent="0.25">
      <c r="A1132" s="1">
        <v>44770</v>
      </c>
      <c r="B1132">
        <v>347.26213276665146</v>
      </c>
      <c r="C1132">
        <v>349.24365706203895</v>
      </c>
      <c r="D1132">
        <v>344.53753686049373</v>
      </c>
      <c r="E1132">
        <v>346.37045288085938</v>
      </c>
      <c r="F1132">
        <v>1195585</v>
      </c>
      <c r="G1132">
        <v>2.5</v>
      </c>
      <c r="H1132">
        <v>0</v>
      </c>
      <c r="N1132">
        <v>349.6</v>
      </c>
    </row>
    <row r="1133" spans="1:14" x14ac:dyDescent="0.25">
      <c r="A1133" s="1">
        <v>44771</v>
      </c>
      <c r="B1133">
        <v>346.86581601870694</v>
      </c>
      <c r="C1133">
        <v>348.15379464984454</v>
      </c>
      <c r="D1133">
        <v>341.02032569670922</v>
      </c>
      <c r="E1133">
        <v>343.59628295898438</v>
      </c>
      <c r="F1133">
        <v>1064773</v>
      </c>
      <c r="G1133">
        <v>0</v>
      </c>
      <c r="H1133">
        <v>0</v>
      </c>
      <c r="N1133">
        <v>346.8</v>
      </c>
    </row>
    <row r="1134" spans="1:14" x14ac:dyDescent="0.25">
      <c r="A1134" s="1">
        <v>44774</v>
      </c>
      <c r="B1134">
        <v>344.09166619825072</v>
      </c>
      <c r="C1134">
        <v>347.70797206189434</v>
      </c>
      <c r="D1134">
        <v>343.69536740427412</v>
      </c>
      <c r="E1134">
        <v>346.91534423828125</v>
      </c>
      <c r="F1134">
        <v>663056</v>
      </c>
      <c r="G1134">
        <v>0</v>
      </c>
      <c r="H1134">
        <v>0</v>
      </c>
      <c r="N1134">
        <v>350.15</v>
      </c>
    </row>
    <row r="1135" spans="1:14" x14ac:dyDescent="0.25">
      <c r="A1135" s="1">
        <v>44775</v>
      </c>
      <c r="B1135">
        <v>346.76674026788191</v>
      </c>
      <c r="C1135">
        <v>348.30240945194703</v>
      </c>
      <c r="D1135">
        <v>343.54676339396588</v>
      </c>
      <c r="E1135">
        <v>346.96490478515625</v>
      </c>
      <c r="F1135">
        <v>834762</v>
      </c>
      <c r="G1135">
        <v>0</v>
      </c>
      <c r="H1135">
        <v>0</v>
      </c>
      <c r="N1135">
        <v>350.2</v>
      </c>
    </row>
    <row r="1136" spans="1:14" x14ac:dyDescent="0.25">
      <c r="A1136" s="1">
        <v>44776</v>
      </c>
      <c r="B1136">
        <v>346.76673560318216</v>
      </c>
      <c r="C1136">
        <v>350.58117574194915</v>
      </c>
      <c r="D1136">
        <v>339.58371036568769</v>
      </c>
      <c r="E1136">
        <v>343.24954223632813</v>
      </c>
      <c r="F1136">
        <v>866092</v>
      </c>
      <c r="G1136">
        <v>0</v>
      </c>
      <c r="H1136">
        <v>0</v>
      </c>
      <c r="N1136">
        <v>346.45</v>
      </c>
    </row>
    <row r="1137" spans="1:14" x14ac:dyDescent="0.25">
      <c r="A1137" s="1">
        <v>44777</v>
      </c>
      <c r="B1137">
        <v>343.5962888003462</v>
      </c>
      <c r="C1137">
        <v>362.51985121162778</v>
      </c>
      <c r="D1137">
        <v>342.80369120396529</v>
      </c>
      <c r="E1137">
        <v>361.23187255859375</v>
      </c>
      <c r="F1137">
        <v>5084558</v>
      </c>
      <c r="G1137">
        <v>0</v>
      </c>
      <c r="H1137">
        <v>0</v>
      </c>
      <c r="N1137">
        <v>364.6</v>
      </c>
    </row>
    <row r="1138" spans="1:14" x14ac:dyDescent="0.25">
      <c r="A1138" s="1">
        <v>44778</v>
      </c>
      <c r="B1138">
        <v>361.13279187105945</v>
      </c>
      <c r="C1138">
        <v>362.2226362475692</v>
      </c>
      <c r="D1138">
        <v>350.43257309506998</v>
      </c>
      <c r="E1138">
        <v>354.29653930664063</v>
      </c>
      <c r="F1138">
        <v>2572807</v>
      </c>
      <c r="G1138">
        <v>0</v>
      </c>
      <c r="H1138">
        <v>0</v>
      </c>
      <c r="N1138">
        <v>357.6</v>
      </c>
    </row>
    <row r="1139" spans="1:14" x14ac:dyDescent="0.25">
      <c r="A1139" s="1">
        <v>44781</v>
      </c>
      <c r="B1139">
        <v>354.94054055791918</v>
      </c>
      <c r="C1139">
        <v>360.63742292556196</v>
      </c>
      <c r="D1139">
        <v>353.85069614480307</v>
      </c>
      <c r="E1139">
        <v>357.367919921875</v>
      </c>
      <c r="F1139">
        <v>765456</v>
      </c>
      <c r="G1139">
        <v>0</v>
      </c>
      <c r="H1139">
        <v>0</v>
      </c>
      <c r="N1139">
        <v>360.7</v>
      </c>
    </row>
    <row r="1140" spans="1:14" x14ac:dyDescent="0.25">
      <c r="A1140" s="1">
        <v>44783</v>
      </c>
      <c r="B1140">
        <v>358.65588074712861</v>
      </c>
      <c r="C1140">
        <v>363.80785576925183</v>
      </c>
      <c r="D1140">
        <v>354.69283234108298</v>
      </c>
      <c r="E1140">
        <v>361.18231201171875</v>
      </c>
      <c r="F1140">
        <v>1954306</v>
      </c>
      <c r="G1140">
        <v>0</v>
      </c>
      <c r="H1140">
        <v>0</v>
      </c>
      <c r="N1140">
        <v>364.55</v>
      </c>
    </row>
    <row r="1141" spans="1:14" x14ac:dyDescent="0.25">
      <c r="A1141" s="1">
        <v>44784</v>
      </c>
      <c r="B1141">
        <v>365.59122844721099</v>
      </c>
      <c r="C1141">
        <v>379.36281610039379</v>
      </c>
      <c r="D1141">
        <v>364.15461125471234</v>
      </c>
      <c r="E1141">
        <v>378.17391967773438</v>
      </c>
      <c r="F1141">
        <v>3688772</v>
      </c>
      <c r="G1141">
        <v>0</v>
      </c>
      <c r="H1141">
        <v>0</v>
      </c>
      <c r="N1141">
        <v>381.7</v>
      </c>
    </row>
    <row r="1142" spans="1:14" x14ac:dyDescent="0.25">
      <c r="A1142" s="1">
        <v>44785</v>
      </c>
      <c r="B1142">
        <v>380.20496801472291</v>
      </c>
      <c r="C1142">
        <v>384.91108813998653</v>
      </c>
      <c r="D1142">
        <v>376.93546507459348</v>
      </c>
      <c r="E1142">
        <v>383.27633666992188</v>
      </c>
      <c r="F1142">
        <v>4788229</v>
      </c>
      <c r="G1142">
        <v>0</v>
      </c>
      <c r="H1142">
        <v>0</v>
      </c>
      <c r="N1142">
        <v>386.85</v>
      </c>
    </row>
    <row r="1143" spans="1:14" x14ac:dyDescent="0.25">
      <c r="A1143" s="1">
        <v>44789</v>
      </c>
      <c r="B1143">
        <v>386.39722118893212</v>
      </c>
      <c r="C1143">
        <v>395.80946119225223</v>
      </c>
      <c r="D1143">
        <v>385.40645908331948</v>
      </c>
      <c r="E1143">
        <v>394.86822509765625</v>
      </c>
      <c r="F1143">
        <v>3566829</v>
      </c>
      <c r="G1143">
        <v>0</v>
      </c>
      <c r="H1143">
        <v>0</v>
      </c>
      <c r="N1143">
        <v>398.55</v>
      </c>
    </row>
    <row r="1144" spans="1:14" x14ac:dyDescent="0.25">
      <c r="A1144" s="1">
        <v>44790</v>
      </c>
      <c r="B1144">
        <v>395.314096129034</v>
      </c>
      <c r="C1144">
        <v>398.03869202967269</v>
      </c>
      <c r="D1144">
        <v>392.73810850311605</v>
      </c>
      <c r="E1144">
        <v>396.15625</v>
      </c>
      <c r="F1144">
        <v>1833379</v>
      </c>
      <c r="G1144">
        <v>0</v>
      </c>
      <c r="H1144">
        <v>0</v>
      </c>
      <c r="N1144">
        <v>399.85</v>
      </c>
    </row>
    <row r="1145" spans="1:14" x14ac:dyDescent="0.25">
      <c r="A1145" s="1">
        <v>44791</v>
      </c>
      <c r="B1145">
        <v>396.25531056710702</v>
      </c>
      <c r="C1145">
        <v>396.30483657741536</v>
      </c>
      <c r="D1145">
        <v>389.56766644986311</v>
      </c>
      <c r="E1145">
        <v>390.4097900390625</v>
      </c>
      <c r="F1145">
        <v>950773</v>
      </c>
      <c r="G1145">
        <v>0</v>
      </c>
      <c r="H1145">
        <v>0</v>
      </c>
      <c r="N1145">
        <v>394.05</v>
      </c>
    </row>
    <row r="1146" spans="1:14" x14ac:dyDescent="0.25">
      <c r="A1146" s="1">
        <v>44792</v>
      </c>
      <c r="B1146">
        <v>391.35103947605649</v>
      </c>
      <c r="C1146">
        <v>392.63901814462486</v>
      </c>
      <c r="D1146">
        <v>381.34433596384036</v>
      </c>
      <c r="E1146">
        <v>384.71292114257813</v>
      </c>
      <c r="F1146">
        <v>1540261</v>
      </c>
      <c r="G1146">
        <v>0</v>
      </c>
      <c r="H1146">
        <v>0</v>
      </c>
      <c r="N1146">
        <v>388.3</v>
      </c>
    </row>
    <row r="1147" spans="1:14" x14ac:dyDescent="0.25">
      <c r="A1147" s="1">
        <v>44795</v>
      </c>
      <c r="B1147">
        <v>381.49295450576909</v>
      </c>
      <c r="C1147">
        <v>384.41571494822244</v>
      </c>
      <c r="D1147">
        <v>378.52066804998384</v>
      </c>
      <c r="E1147">
        <v>379.7095947265625</v>
      </c>
      <c r="F1147">
        <v>785240</v>
      </c>
      <c r="G1147">
        <v>0</v>
      </c>
      <c r="H1147">
        <v>0</v>
      </c>
      <c r="N1147">
        <v>383.25</v>
      </c>
    </row>
    <row r="1148" spans="1:14" x14ac:dyDescent="0.25">
      <c r="A1148" s="1">
        <v>44796</v>
      </c>
      <c r="B1148">
        <v>377.48036426762025</v>
      </c>
      <c r="C1148">
        <v>384.71291558320826</v>
      </c>
      <c r="D1148">
        <v>373.8640886098263</v>
      </c>
      <c r="E1148">
        <v>380.25448608398438</v>
      </c>
      <c r="F1148">
        <v>729398</v>
      </c>
      <c r="G1148">
        <v>0</v>
      </c>
      <c r="H1148">
        <v>0</v>
      </c>
      <c r="N1148">
        <v>383.8</v>
      </c>
    </row>
    <row r="1149" spans="1:14" x14ac:dyDescent="0.25">
      <c r="A1149" s="1">
        <v>44797</v>
      </c>
      <c r="B1149">
        <v>381.24524517442404</v>
      </c>
      <c r="C1149">
        <v>389.36950651401867</v>
      </c>
      <c r="D1149">
        <v>380.8489463803204</v>
      </c>
      <c r="E1149">
        <v>387.53659057617188</v>
      </c>
      <c r="F1149">
        <v>995752</v>
      </c>
      <c r="G1149">
        <v>0</v>
      </c>
      <c r="H1149">
        <v>0</v>
      </c>
      <c r="N1149">
        <v>391.15</v>
      </c>
    </row>
    <row r="1150" spans="1:14" x14ac:dyDescent="0.25">
      <c r="A1150" s="1">
        <v>44798</v>
      </c>
      <c r="B1150">
        <v>388.62644176624752</v>
      </c>
      <c r="C1150">
        <v>390.40980148888389</v>
      </c>
      <c r="D1150">
        <v>379.46189215161962</v>
      </c>
      <c r="E1150">
        <v>381.39389038085938</v>
      </c>
      <c r="F1150">
        <v>867247</v>
      </c>
      <c r="G1150">
        <v>0</v>
      </c>
      <c r="H1150">
        <v>0</v>
      </c>
      <c r="N1150">
        <v>384.95</v>
      </c>
    </row>
    <row r="1151" spans="1:14" x14ac:dyDescent="0.25">
      <c r="A1151" s="1">
        <v>44799</v>
      </c>
      <c r="B1151">
        <v>381.83969970453234</v>
      </c>
      <c r="C1151">
        <v>384.91106820062674</v>
      </c>
      <c r="D1151">
        <v>378.27295016828276</v>
      </c>
      <c r="E1151">
        <v>379.01602172851563</v>
      </c>
      <c r="F1151">
        <v>673471</v>
      </c>
      <c r="G1151">
        <v>0</v>
      </c>
      <c r="H1151">
        <v>0</v>
      </c>
      <c r="N1151">
        <v>382.55</v>
      </c>
    </row>
    <row r="1152" spans="1:14" x14ac:dyDescent="0.25">
      <c r="A1152" s="1">
        <v>44802</v>
      </c>
      <c r="B1152">
        <v>371.43670379664428</v>
      </c>
      <c r="C1152">
        <v>376.09329774277728</v>
      </c>
      <c r="D1152">
        <v>367.91951044960274</v>
      </c>
      <c r="E1152">
        <v>373.96316528320313</v>
      </c>
      <c r="F1152">
        <v>522006</v>
      </c>
      <c r="G1152">
        <v>0</v>
      </c>
      <c r="H1152">
        <v>0</v>
      </c>
      <c r="N1152">
        <v>377.45</v>
      </c>
    </row>
    <row r="1153" spans="1:14" x14ac:dyDescent="0.25">
      <c r="A1153" s="1">
        <v>44803</v>
      </c>
      <c r="B1153">
        <v>375.49883537760212</v>
      </c>
      <c r="C1153">
        <v>378.66928618745533</v>
      </c>
      <c r="D1153">
        <v>371.73395149710382</v>
      </c>
      <c r="E1153">
        <v>374.70623779296875</v>
      </c>
      <c r="F1153">
        <v>638096</v>
      </c>
      <c r="G1153">
        <v>0</v>
      </c>
      <c r="H1153">
        <v>0</v>
      </c>
      <c r="N1153">
        <v>378.2</v>
      </c>
    </row>
    <row r="1154" spans="1:14" x14ac:dyDescent="0.25">
      <c r="A1154" s="1">
        <v>44805</v>
      </c>
      <c r="B1154">
        <v>377.57945941791138</v>
      </c>
      <c r="C1154">
        <v>381.24526121215337</v>
      </c>
      <c r="D1154">
        <v>367.96905451940512</v>
      </c>
      <c r="E1154">
        <v>369.05889892578125</v>
      </c>
      <c r="F1154">
        <v>1328236</v>
      </c>
      <c r="G1154">
        <v>0</v>
      </c>
      <c r="H1154">
        <v>0</v>
      </c>
      <c r="N1154">
        <v>372.5</v>
      </c>
    </row>
    <row r="1155" spans="1:14" x14ac:dyDescent="0.25">
      <c r="A1155" s="1">
        <v>44806</v>
      </c>
      <c r="B1155">
        <v>370.94133229968099</v>
      </c>
      <c r="C1155">
        <v>373.46779385129196</v>
      </c>
      <c r="D1155">
        <v>364.60046076823511</v>
      </c>
      <c r="E1155">
        <v>365.29400634765625</v>
      </c>
      <c r="F1155">
        <v>695670</v>
      </c>
      <c r="G1155">
        <v>0</v>
      </c>
      <c r="H1155">
        <v>0</v>
      </c>
      <c r="N1155">
        <v>368.7</v>
      </c>
    </row>
    <row r="1156" spans="1:14" x14ac:dyDescent="0.25">
      <c r="A1156" s="1">
        <v>44809</v>
      </c>
      <c r="B1156">
        <v>365.59121582125908</v>
      </c>
      <c r="C1156">
        <v>370.99088137412969</v>
      </c>
      <c r="D1156">
        <v>362.37123898814502</v>
      </c>
      <c r="E1156">
        <v>367.77090454101563</v>
      </c>
      <c r="F1156">
        <v>833704</v>
      </c>
      <c r="G1156">
        <v>0</v>
      </c>
      <c r="H1156">
        <v>0</v>
      </c>
      <c r="N1156">
        <v>371.2</v>
      </c>
    </row>
    <row r="1157" spans="1:14" x14ac:dyDescent="0.25">
      <c r="A1157" s="1">
        <v>44810</v>
      </c>
      <c r="B1157">
        <v>367.7708946860912</v>
      </c>
      <c r="C1157">
        <v>370.34685189502824</v>
      </c>
      <c r="D1157">
        <v>365.09582498676843</v>
      </c>
      <c r="E1157">
        <v>368.01858520507813</v>
      </c>
      <c r="F1157">
        <v>520177</v>
      </c>
      <c r="G1157">
        <v>0</v>
      </c>
      <c r="H1157">
        <v>0</v>
      </c>
      <c r="N1157">
        <v>371.45</v>
      </c>
    </row>
    <row r="1158" spans="1:14" x14ac:dyDescent="0.25">
      <c r="A1158" s="1">
        <v>44811</v>
      </c>
      <c r="B1158">
        <v>366.58198981752167</v>
      </c>
      <c r="C1158">
        <v>374.01270582733633</v>
      </c>
      <c r="D1158">
        <v>366.58198981752167</v>
      </c>
      <c r="E1158">
        <v>372.6751708984375</v>
      </c>
      <c r="F1158">
        <v>594147</v>
      </c>
      <c r="G1158">
        <v>0</v>
      </c>
      <c r="H1158">
        <v>0</v>
      </c>
      <c r="N1158">
        <v>376.15</v>
      </c>
    </row>
    <row r="1159" spans="1:14" x14ac:dyDescent="0.25">
      <c r="A1159" s="1">
        <v>44812</v>
      </c>
      <c r="B1159">
        <v>375.4493211784021</v>
      </c>
      <c r="C1159">
        <v>376.39052706030674</v>
      </c>
      <c r="D1159">
        <v>369.95057321666803</v>
      </c>
      <c r="E1159">
        <v>371.18902587890625</v>
      </c>
      <c r="F1159">
        <v>699370</v>
      </c>
      <c r="G1159">
        <v>0</v>
      </c>
      <c r="H1159">
        <v>0</v>
      </c>
      <c r="N1159">
        <v>374.65</v>
      </c>
    </row>
    <row r="1160" spans="1:14" x14ac:dyDescent="0.25">
      <c r="A1160" s="1">
        <v>44813</v>
      </c>
      <c r="B1160">
        <v>370.99087678262026</v>
      </c>
      <c r="C1160">
        <v>377.97573742451061</v>
      </c>
      <c r="D1160">
        <v>369.20748687880223</v>
      </c>
      <c r="E1160">
        <v>370.64410400390625</v>
      </c>
      <c r="F1160">
        <v>803322</v>
      </c>
      <c r="G1160">
        <v>0</v>
      </c>
      <c r="H1160">
        <v>0</v>
      </c>
      <c r="N1160">
        <v>374.1</v>
      </c>
    </row>
    <row r="1161" spans="1:14" x14ac:dyDescent="0.25">
      <c r="A1161" s="1">
        <v>44816</v>
      </c>
      <c r="B1161">
        <v>370.64410400390625</v>
      </c>
      <c r="C1161">
        <v>370.64410400390625</v>
      </c>
      <c r="D1161">
        <v>370.64410400390625</v>
      </c>
      <c r="E1161">
        <v>370.64410400390625</v>
      </c>
      <c r="F1161">
        <v>0</v>
      </c>
      <c r="G1161">
        <v>0</v>
      </c>
      <c r="H1161">
        <v>0</v>
      </c>
      <c r="N1161">
        <v>376.65</v>
      </c>
    </row>
    <row r="1162" spans="1:14" x14ac:dyDescent="0.25">
      <c r="A1162" s="1">
        <v>44817</v>
      </c>
      <c r="B1162">
        <v>375.44932053305075</v>
      </c>
      <c r="C1162">
        <v>375.44932053305075</v>
      </c>
      <c r="D1162">
        <v>371.04041696879676</v>
      </c>
      <c r="E1162">
        <v>372.27886962890625</v>
      </c>
      <c r="F1162">
        <v>720817</v>
      </c>
      <c r="G1162">
        <v>0</v>
      </c>
      <c r="H1162">
        <v>0</v>
      </c>
      <c r="N1162">
        <v>375.75</v>
      </c>
    </row>
    <row r="1163" spans="1:14" x14ac:dyDescent="0.25">
      <c r="A1163" s="1">
        <v>44818</v>
      </c>
      <c r="B1163">
        <v>367.52322504168438</v>
      </c>
      <c r="C1163">
        <v>374.50808597957888</v>
      </c>
      <c r="D1163">
        <v>366.63151493415677</v>
      </c>
      <c r="E1163">
        <v>371.93209838867188</v>
      </c>
      <c r="F1163">
        <v>1004026</v>
      </c>
      <c r="G1163">
        <v>0</v>
      </c>
      <c r="H1163">
        <v>0</v>
      </c>
      <c r="N1163">
        <v>375.4</v>
      </c>
    </row>
    <row r="1164" spans="1:14" x14ac:dyDescent="0.25">
      <c r="A1164" s="1">
        <v>44819</v>
      </c>
      <c r="B1164">
        <v>372.62563843529261</v>
      </c>
      <c r="C1164">
        <v>373.91361709376611</v>
      </c>
      <c r="D1164">
        <v>364.69954149536898</v>
      </c>
      <c r="E1164">
        <v>367.47366333007813</v>
      </c>
      <c r="F1164">
        <v>581129</v>
      </c>
      <c r="G1164">
        <v>0</v>
      </c>
      <c r="H1164">
        <v>0</v>
      </c>
      <c r="N1164">
        <v>370.9</v>
      </c>
    </row>
    <row r="1165" spans="1:14" x14ac:dyDescent="0.25">
      <c r="A1165" s="1">
        <v>44820</v>
      </c>
      <c r="B1165">
        <v>367.37458143404945</v>
      </c>
      <c r="C1165">
        <v>369.20749740034921</v>
      </c>
      <c r="D1165">
        <v>356.12945557795433</v>
      </c>
      <c r="E1165">
        <v>357.96234130859375</v>
      </c>
      <c r="F1165">
        <v>1632512</v>
      </c>
      <c r="G1165">
        <v>0</v>
      </c>
      <c r="H1165">
        <v>0</v>
      </c>
      <c r="N1165">
        <v>361.3</v>
      </c>
    </row>
    <row r="1166" spans="1:14" x14ac:dyDescent="0.25">
      <c r="A1166" s="1">
        <v>44823</v>
      </c>
      <c r="B1166">
        <v>359.6466514834969</v>
      </c>
      <c r="C1166">
        <v>359.84481600282089</v>
      </c>
      <c r="D1166">
        <v>352.21593554375522</v>
      </c>
      <c r="E1166">
        <v>356.5257568359375</v>
      </c>
      <c r="F1166">
        <v>584645</v>
      </c>
      <c r="G1166">
        <v>0</v>
      </c>
      <c r="H1166">
        <v>0</v>
      </c>
      <c r="N1166">
        <v>359.85</v>
      </c>
    </row>
    <row r="1167" spans="1:14" x14ac:dyDescent="0.25">
      <c r="A1167" s="1">
        <v>44824</v>
      </c>
      <c r="B1167">
        <v>357.16974335530944</v>
      </c>
      <c r="C1167">
        <v>368.06812664770445</v>
      </c>
      <c r="D1167">
        <v>356.92205282593682</v>
      </c>
      <c r="E1167">
        <v>367.47366333007813</v>
      </c>
      <c r="F1167">
        <v>907966</v>
      </c>
      <c r="G1167">
        <v>0</v>
      </c>
      <c r="H1167">
        <v>0</v>
      </c>
      <c r="N1167">
        <v>370.9</v>
      </c>
    </row>
    <row r="1168" spans="1:14" x14ac:dyDescent="0.25">
      <c r="A1168" s="1">
        <v>44825</v>
      </c>
      <c r="B1168">
        <v>369.25704356989428</v>
      </c>
      <c r="C1168">
        <v>370.39641392790583</v>
      </c>
      <c r="D1168">
        <v>360.34018474703225</v>
      </c>
      <c r="E1168">
        <v>362.9656982421875</v>
      </c>
      <c r="F1168">
        <v>1147543</v>
      </c>
      <c r="G1168">
        <v>0</v>
      </c>
      <c r="H1168">
        <v>0</v>
      </c>
      <c r="N1168">
        <v>366.35</v>
      </c>
    </row>
    <row r="1169" spans="1:14" x14ac:dyDescent="0.25">
      <c r="A1169" s="1">
        <v>44826</v>
      </c>
      <c r="B1169">
        <v>360.63741572586213</v>
      </c>
      <c r="C1169">
        <v>364.00600092452095</v>
      </c>
      <c r="D1169">
        <v>357.31835653949469</v>
      </c>
      <c r="E1169">
        <v>359.84481811523438</v>
      </c>
      <c r="F1169">
        <v>831107</v>
      </c>
      <c r="G1169">
        <v>0</v>
      </c>
      <c r="H1169">
        <v>0</v>
      </c>
      <c r="N1169">
        <v>363.2</v>
      </c>
    </row>
    <row r="1170" spans="1:14" x14ac:dyDescent="0.25">
      <c r="A1170" s="1">
        <v>44827</v>
      </c>
      <c r="B1170">
        <v>360.14202033980547</v>
      </c>
      <c r="C1170">
        <v>363.56016165049931</v>
      </c>
      <c r="D1170">
        <v>351.86915082682106</v>
      </c>
      <c r="E1170">
        <v>353.45437622070313</v>
      </c>
      <c r="F1170">
        <v>734684</v>
      </c>
      <c r="G1170">
        <v>0</v>
      </c>
      <c r="H1170">
        <v>0</v>
      </c>
      <c r="N1170">
        <v>356.75</v>
      </c>
    </row>
    <row r="1171" spans="1:14" x14ac:dyDescent="0.25">
      <c r="A1171" s="1">
        <v>44830</v>
      </c>
      <c r="B1171">
        <v>352.71130217437417</v>
      </c>
      <c r="C1171">
        <v>357.16973155579183</v>
      </c>
      <c r="D1171">
        <v>347.0144201870072</v>
      </c>
      <c r="E1171">
        <v>353.05807495117188</v>
      </c>
      <c r="F1171">
        <v>882536</v>
      </c>
      <c r="G1171">
        <v>0</v>
      </c>
      <c r="H1171">
        <v>0</v>
      </c>
      <c r="N1171">
        <v>356.35</v>
      </c>
    </row>
    <row r="1172" spans="1:14" x14ac:dyDescent="0.25">
      <c r="A1172" s="1">
        <v>44831</v>
      </c>
      <c r="B1172">
        <v>354.84145984588605</v>
      </c>
      <c r="C1172">
        <v>358.4577356653167</v>
      </c>
      <c r="D1172">
        <v>350.82888521149863</v>
      </c>
      <c r="E1172">
        <v>357.02114868164063</v>
      </c>
      <c r="F1172">
        <v>720383</v>
      </c>
      <c r="G1172">
        <v>0</v>
      </c>
      <c r="H1172">
        <v>0</v>
      </c>
      <c r="N1172">
        <v>360.35</v>
      </c>
    </row>
    <row r="1173" spans="1:14" x14ac:dyDescent="0.25">
      <c r="A1173" s="1">
        <v>44832</v>
      </c>
      <c r="B1173">
        <v>356.67437011973988</v>
      </c>
      <c r="C1173">
        <v>370.04965899923008</v>
      </c>
      <c r="D1173">
        <v>353.90024822418405</v>
      </c>
      <c r="E1173">
        <v>365.73983764648438</v>
      </c>
      <c r="F1173">
        <v>1975799</v>
      </c>
      <c r="G1173">
        <v>0</v>
      </c>
      <c r="H1173">
        <v>0</v>
      </c>
      <c r="N1173">
        <v>369.15</v>
      </c>
    </row>
    <row r="1174" spans="1:14" x14ac:dyDescent="0.25">
      <c r="A1174" s="1">
        <v>44833</v>
      </c>
      <c r="B1174">
        <v>367.32506544918391</v>
      </c>
      <c r="C1174">
        <v>383.32586805209701</v>
      </c>
      <c r="D1174">
        <v>366.58199384004865</v>
      </c>
      <c r="E1174">
        <v>379.31329345703125</v>
      </c>
      <c r="F1174">
        <v>6548772</v>
      </c>
      <c r="G1174">
        <v>0</v>
      </c>
      <c r="H1174">
        <v>0</v>
      </c>
      <c r="N1174">
        <v>382.85</v>
      </c>
    </row>
    <row r="1175" spans="1:14" x14ac:dyDescent="0.25">
      <c r="A1175" s="1">
        <v>44834</v>
      </c>
      <c r="B1175">
        <v>381.24526015385095</v>
      </c>
      <c r="C1175">
        <v>384.61387562523737</v>
      </c>
      <c r="D1175">
        <v>377.23268557294682</v>
      </c>
      <c r="E1175">
        <v>383.32586669921875</v>
      </c>
      <c r="F1175">
        <v>1888135</v>
      </c>
      <c r="G1175">
        <v>0</v>
      </c>
      <c r="H1175">
        <v>0</v>
      </c>
      <c r="N1175">
        <v>386.9</v>
      </c>
    </row>
    <row r="1176" spans="1:14" x14ac:dyDescent="0.25">
      <c r="A1176" s="1">
        <v>44837</v>
      </c>
      <c r="B1176">
        <v>385.20830165878954</v>
      </c>
      <c r="C1176">
        <v>411.21580740986377</v>
      </c>
      <c r="D1176">
        <v>384.41570405397334</v>
      </c>
      <c r="E1176">
        <v>405.5684814453125</v>
      </c>
      <c r="F1176">
        <v>8017627</v>
      </c>
      <c r="G1176">
        <v>0</v>
      </c>
      <c r="H1176">
        <v>0</v>
      </c>
      <c r="N1176">
        <v>409.35</v>
      </c>
    </row>
    <row r="1177" spans="1:14" x14ac:dyDescent="0.25">
      <c r="A1177" s="1">
        <v>44838</v>
      </c>
      <c r="B1177">
        <v>410.1755058021555</v>
      </c>
      <c r="C1177">
        <v>417.60622148697718</v>
      </c>
      <c r="D1177">
        <v>401.95219253855004</v>
      </c>
      <c r="E1177">
        <v>416.02099609375</v>
      </c>
      <c r="F1177">
        <v>4337423</v>
      </c>
      <c r="G1177">
        <v>0</v>
      </c>
      <c r="H1177">
        <v>0</v>
      </c>
      <c r="N1177">
        <v>419.9</v>
      </c>
    </row>
    <row r="1178" spans="1:14" x14ac:dyDescent="0.25">
      <c r="A1178" s="1">
        <v>44840</v>
      </c>
      <c r="B1178">
        <v>416.12008055919597</v>
      </c>
      <c r="C1178">
        <v>423.99665132118747</v>
      </c>
      <c r="D1178">
        <v>414.68346342490628</v>
      </c>
      <c r="E1178">
        <v>419.34005737304688</v>
      </c>
      <c r="F1178">
        <v>2923167</v>
      </c>
      <c r="G1178">
        <v>0</v>
      </c>
      <c r="H1178">
        <v>0</v>
      </c>
      <c r="N1178">
        <v>423.25</v>
      </c>
    </row>
    <row r="1179" spans="1:14" x14ac:dyDescent="0.25">
      <c r="A1179" s="1">
        <v>44841</v>
      </c>
      <c r="B1179">
        <v>416.12009925299913</v>
      </c>
      <c r="C1179">
        <v>422.0646720994705</v>
      </c>
      <c r="D1179">
        <v>413.34597735224355</v>
      </c>
      <c r="E1179">
        <v>418.10162353515625</v>
      </c>
      <c r="F1179">
        <v>1928901</v>
      </c>
      <c r="G1179">
        <v>0</v>
      </c>
      <c r="H1179">
        <v>0</v>
      </c>
      <c r="N1179">
        <v>422</v>
      </c>
    </row>
    <row r="1180" spans="1:14" x14ac:dyDescent="0.25">
      <c r="A1180" s="1">
        <v>44844</v>
      </c>
      <c r="B1180">
        <v>416.07056309515025</v>
      </c>
      <c r="C1180">
        <v>422.95634166635358</v>
      </c>
      <c r="D1180">
        <v>412.75150395633352</v>
      </c>
      <c r="E1180">
        <v>421.27206420898438</v>
      </c>
      <c r="F1180">
        <v>1379160</v>
      </c>
      <c r="G1180">
        <v>0</v>
      </c>
      <c r="H1180">
        <v>0</v>
      </c>
      <c r="N1180">
        <v>425.2</v>
      </c>
    </row>
    <row r="1181" spans="1:14" x14ac:dyDescent="0.25">
      <c r="A1181" s="1">
        <v>44845</v>
      </c>
      <c r="B1181">
        <v>421.32158459756749</v>
      </c>
      <c r="C1181">
        <v>422.90681001061625</v>
      </c>
      <c r="D1181">
        <v>410.17551093096517</v>
      </c>
      <c r="E1181">
        <v>412.05795288085938</v>
      </c>
      <c r="F1181">
        <v>1330825</v>
      </c>
      <c r="G1181">
        <v>0</v>
      </c>
      <c r="H1181">
        <v>0</v>
      </c>
      <c r="N1181">
        <v>415.9</v>
      </c>
    </row>
    <row r="1182" spans="1:14" x14ac:dyDescent="0.25">
      <c r="A1182" s="1">
        <v>44846</v>
      </c>
      <c r="B1182">
        <v>414.13855110870736</v>
      </c>
      <c r="C1182">
        <v>418.99327927313686</v>
      </c>
      <c r="D1182">
        <v>408.34258687022157</v>
      </c>
      <c r="E1182">
        <v>416.71453857421875</v>
      </c>
      <c r="F1182">
        <v>1014645</v>
      </c>
      <c r="G1182">
        <v>0</v>
      </c>
      <c r="H1182">
        <v>0</v>
      </c>
      <c r="N1182">
        <v>420.6</v>
      </c>
    </row>
    <row r="1183" spans="1:14" x14ac:dyDescent="0.25">
      <c r="A1183" s="1">
        <v>44847</v>
      </c>
      <c r="B1183">
        <v>416.71454340726984</v>
      </c>
      <c r="C1183">
        <v>419.78591195039894</v>
      </c>
      <c r="D1183">
        <v>409.08566317778707</v>
      </c>
      <c r="E1183">
        <v>410.9185791015625</v>
      </c>
      <c r="F1183">
        <v>612113</v>
      </c>
      <c r="G1183">
        <v>0</v>
      </c>
      <c r="H1183">
        <v>0</v>
      </c>
      <c r="N1183">
        <v>414.75</v>
      </c>
    </row>
    <row r="1184" spans="1:14" x14ac:dyDescent="0.25">
      <c r="A1184" s="1">
        <v>44848</v>
      </c>
      <c r="B1184">
        <v>416.07055874903438</v>
      </c>
      <c r="C1184">
        <v>417.90344445766397</v>
      </c>
      <c r="D1184">
        <v>406.65831873660358</v>
      </c>
      <c r="E1184">
        <v>408.04537963867188</v>
      </c>
      <c r="F1184">
        <v>835504</v>
      </c>
      <c r="G1184">
        <v>0</v>
      </c>
      <c r="H1184">
        <v>0</v>
      </c>
      <c r="N1184">
        <v>411.85</v>
      </c>
    </row>
    <row r="1185" spans="1:14" x14ac:dyDescent="0.25">
      <c r="A1185" s="1">
        <v>44851</v>
      </c>
      <c r="B1185">
        <v>409.08566628348348</v>
      </c>
      <c r="C1185">
        <v>418.10160746795765</v>
      </c>
      <c r="D1185">
        <v>404.87492734571373</v>
      </c>
      <c r="E1185">
        <v>414.980712890625</v>
      </c>
      <c r="F1185">
        <v>1270454</v>
      </c>
      <c r="G1185">
        <v>0</v>
      </c>
      <c r="H1185">
        <v>0</v>
      </c>
      <c r="N1185">
        <v>418.85</v>
      </c>
    </row>
    <row r="1186" spans="1:14" x14ac:dyDescent="0.25">
      <c r="A1186" s="1">
        <v>44852</v>
      </c>
      <c r="B1186">
        <v>417.06132120917562</v>
      </c>
      <c r="C1186">
        <v>417.95300105871405</v>
      </c>
      <c r="D1186">
        <v>408.44167878043072</v>
      </c>
      <c r="E1186">
        <v>411.711181640625</v>
      </c>
      <c r="F1186">
        <v>631852</v>
      </c>
      <c r="G1186">
        <v>0</v>
      </c>
      <c r="H1186">
        <v>0</v>
      </c>
      <c r="N1186">
        <v>415.55</v>
      </c>
    </row>
    <row r="1187" spans="1:14" x14ac:dyDescent="0.25">
      <c r="A1187" s="1">
        <v>44853</v>
      </c>
      <c r="B1187">
        <v>411.71117098204508</v>
      </c>
      <c r="C1187">
        <v>414.88162173794802</v>
      </c>
      <c r="D1187">
        <v>405.96476300208764</v>
      </c>
      <c r="E1187">
        <v>406.46014404296875</v>
      </c>
      <c r="F1187">
        <v>988434</v>
      </c>
      <c r="G1187">
        <v>0</v>
      </c>
      <c r="H1187">
        <v>0</v>
      </c>
      <c r="N1187">
        <v>410.25</v>
      </c>
    </row>
    <row r="1188" spans="1:14" x14ac:dyDescent="0.25">
      <c r="A1188" s="1">
        <v>44854</v>
      </c>
      <c r="B1188">
        <v>405.96476191942389</v>
      </c>
      <c r="C1188">
        <v>412.05794265888011</v>
      </c>
      <c r="D1188">
        <v>404.87491758526005</v>
      </c>
      <c r="E1188">
        <v>410.47271728515625</v>
      </c>
      <c r="F1188">
        <v>452554</v>
      </c>
      <c r="G1188">
        <v>0</v>
      </c>
      <c r="H1188">
        <v>0</v>
      </c>
      <c r="N1188">
        <v>414.3</v>
      </c>
    </row>
    <row r="1189" spans="1:14" x14ac:dyDescent="0.25">
      <c r="A1189" s="1">
        <v>44855</v>
      </c>
      <c r="B1189">
        <v>410.47274080114812</v>
      </c>
      <c r="C1189">
        <v>412.25613078713008</v>
      </c>
      <c r="D1189">
        <v>405.07310530199436</v>
      </c>
      <c r="E1189">
        <v>406.361083984375</v>
      </c>
      <c r="F1189">
        <v>459263</v>
      </c>
      <c r="G1189">
        <v>0</v>
      </c>
      <c r="H1189">
        <v>0</v>
      </c>
      <c r="N1189">
        <v>410.15</v>
      </c>
    </row>
    <row r="1190" spans="1:14" x14ac:dyDescent="0.25">
      <c r="A1190" s="1">
        <v>44858</v>
      </c>
      <c r="B1190">
        <v>406.361083984375</v>
      </c>
      <c r="C1190">
        <v>406.361083984375</v>
      </c>
      <c r="D1190">
        <v>406.361083984375</v>
      </c>
      <c r="E1190">
        <v>406.361083984375</v>
      </c>
      <c r="F1190">
        <v>0</v>
      </c>
      <c r="G1190">
        <v>0</v>
      </c>
      <c r="H1190">
        <v>0</v>
      </c>
      <c r="N1190">
        <v>413.1</v>
      </c>
    </row>
    <row r="1191" spans="1:14" x14ac:dyDescent="0.25">
      <c r="A1191" s="1">
        <v>44859</v>
      </c>
      <c r="B1191">
        <v>410.17551277976611</v>
      </c>
      <c r="C1191">
        <v>416.46685821373751</v>
      </c>
      <c r="D1191">
        <v>406.60876314324486</v>
      </c>
      <c r="E1191">
        <v>413.54409790039063</v>
      </c>
      <c r="F1191">
        <v>870687</v>
      </c>
      <c r="G1191">
        <v>0</v>
      </c>
      <c r="H1191">
        <v>0</v>
      </c>
      <c r="N1191">
        <v>417.4</v>
      </c>
    </row>
    <row r="1192" spans="1:14" x14ac:dyDescent="0.25">
      <c r="A1192" s="1">
        <v>44861</v>
      </c>
      <c r="B1192">
        <v>415.62470027002001</v>
      </c>
      <c r="C1192">
        <v>430.88243053792576</v>
      </c>
      <c r="D1192">
        <v>412.75149623185268</v>
      </c>
      <c r="E1192">
        <v>429.59445190429688</v>
      </c>
      <c r="F1192">
        <v>2744073</v>
      </c>
      <c r="G1192">
        <v>0</v>
      </c>
      <c r="H1192">
        <v>0</v>
      </c>
      <c r="N1192">
        <v>433.6</v>
      </c>
    </row>
    <row r="1193" spans="1:14" x14ac:dyDescent="0.25">
      <c r="A1193" s="1">
        <v>44862</v>
      </c>
      <c r="B1193">
        <v>431.77411814056512</v>
      </c>
      <c r="C1193">
        <v>432.96304477425508</v>
      </c>
      <c r="D1193">
        <v>424.64064904540606</v>
      </c>
      <c r="E1193">
        <v>426.0277099609375</v>
      </c>
      <c r="F1193">
        <v>1470279</v>
      </c>
      <c r="G1193">
        <v>0</v>
      </c>
      <c r="H1193">
        <v>0</v>
      </c>
      <c r="N1193">
        <v>430</v>
      </c>
    </row>
    <row r="1194" spans="1:14" x14ac:dyDescent="0.25">
      <c r="A1194" s="1">
        <v>44865</v>
      </c>
      <c r="B1194">
        <v>428.00923632957233</v>
      </c>
      <c r="C1194">
        <v>438.90761966203831</v>
      </c>
      <c r="D1194">
        <v>427.86062805853447</v>
      </c>
      <c r="E1194">
        <v>429.34677124023438</v>
      </c>
      <c r="F1194">
        <v>2059627</v>
      </c>
      <c r="G1194">
        <v>0</v>
      </c>
      <c r="H1194">
        <v>0</v>
      </c>
      <c r="N1194">
        <v>433.35</v>
      </c>
    </row>
    <row r="1195" spans="1:14" x14ac:dyDescent="0.25">
      <c r="A1195" s="1">
        <v>44866</v>
      </c>
      <c r="B1195">
        <v>431.52643536426723</v>
      </c>
      <c r="C1195">
        <v>434.74641229972866</v>
      </c>
      <c r="D1195">
        <v>425.82955309383544</v>
      </c>
      <c r="E1195">
        <v>429.04953002929688</v>
      </c>
      <c r="F1195">
        <v>1391203</v>
      </c>
      <c r="G1195">
        <v>0</v>
      </c>
      <c r="H1195">
        <v>0</v>
      </c>
      <c r="N1195">
        <v>433.05</v>
      </c>
    </row>
    <row r="1196" spans="1:14" x14ac:dyDescent="0.25">
      <c r="A1196" s="1">
        <v>44867</v>
      </c>
      <c r="B1196">
        <v>429.34677977745537</v>
      </c>
      <c r="C1196">
        <v>438.06547452252835</v>
      </c>
      <c r="D1196">
        <v>428.40554364939885</v>
      </c>
      <c r="E1196">
        <v>433.11166381835938</v>
      </c>
      <c r="F1196">
        <v>1732032</v>
      </c>
      <c r="G1196">
        <v>0</v>
      </c>
      <c r="H1196">
        <v>0</v>
      </c>
      <c r="N1196">
        <v>437.15</v>
      </c>
    </row>
    <row r="1197" spans="1:14" x14ac:dyDescent="0.25">
      <c r="A1197" s="1">
        <v>44868</v>
      </c>
      <c r="B1197">
        <v>433.11166562045634</v>
      </c>
      <c r="C1197">
        <v>435.93534378071365</v>
      </c>
      <c r="D1197">
        <v>428.50462769354243</v>
      </c>
      <c r="E1197">
        <v>434.59780883789063</v>
      </c>
      <c r="F1197">
        <v>824790</v>
      </c>
      <c r="G1197">
        <v>0</v>
      </c>
      <c r="H1197">
        <v>0</v>
      </c>
      <c r="N1197">
        <v>438.65</v>
      </c>
    </row>
    <row r="1198" spans="1:14" x14ac:dyDescent="0.25">
      <c r="A1198" s="1">
        <v>44869</v>
      </c>
      <c r="B1198">
        <v>436.77749543306879</v>
      </c>
      <c r="C1198">
        <v>436.92610370692535</v>
      </c>
      <c r="D1198">
        <v>430.53567581014465</v>
      </c>
      <c r="E1198">
        <v>436.034423828125</v>
      </c>
      <c r="F1198">
        <v>1099357</v>
      </c>
      <c r="G1198">
        <v>0</v>
      </c>
      <c r="H1198">
        <v>0</v>
      </c>
      <c r="N1198">
        <v>440.1</v>
      </c>
    </row>
    <row r="1199" spans="1:14" x14ac:dyDescent="0.25">
      <c r="A1199" s="1">
        <v>44872</v>
      </c>
      <c r="B1199">
        <v>443.06882979298496</v>
      </c>
      <c r="C1199">
        <v>449.75647406728359</v>
      </c>
      <c r="D1199">
        <v>437.17378311619092</v>
      </c>
      <c r="E1199">
        <v>446.88323974609375</v>
      </c>
      <c r="F1199">
        <v>2410897</v>
      </c>
      <c r="G1199">
        <v>0</v>
      </c>
      <c r="H1199">
        <v>0</v>
      </c>
      <c r="N1199">
        <v>451.05</v>
      </c>
    </row>
    <row r="1200" spans="1:14" x14ac:dyDescent="0.25">
      <c r="A1200" s="1">
        <v>44874</v>
      </c>
      <c r="B1200">
        <v>446.88323447313803</v>
      </c>
      <c r="C1200">
        <v>449.26108770891511</v>
      </c>
      <c r="D1200">
        <v>440.93866185501491</v>
      </c>
      <c r="E1200">
        <v>444.25772094726563</v>
      </c>
      <c r="F1200">
        <v>1414308</v>
      </c>
      <c r="G1200">
        <v>0</v>
      </c>
      <c r="H1200">
        <v>0</v>
      </c>
      <c r="N1200">
        <v>448.4</v>
      </c>
    </row>
    <row r="1201" spans="1:14" x14ac:dyDescent="0.25">
      <c r="A1201" s="1">
        <v>44875</v>
      </c>
      <c r="B1201">
        <v>444.25773577302402</v>
      </c>
      <c r="C1201">
        <v>449.8555357947676</v>
      </c>
      <c r="D1201">
        <v>419.53823861911974</v>
      </c>
      <c r="E1201">
        <v>429.7926025390625</v>
      </c>
      <c r="F1201">
        <v>1876942</v>
      </c>
      <c r="G1201">
        <v>0</v>
      </c>
      <c r="H1201">
        <v>0</v>
      </c>
      <c r="N1201">
        <v>433.8</v>
      </c>
    </row>
    <row r="1202" spans="1:14" x14ac:dyDescent="0.25">
      <c r="A1202" s="1">
        <v>44876</v>
      </c>
      <c r="B1202">
        <v>431.62549485116296</v>
      </c>
      <c r="C1202">
        <v>441.13681688274016</v>
      </c>
      <c r="D1202">
        <v>417.40805293144865</v>
      </c>
      <c r="E1202">
        <v>425.4827880859375</v>
      </c>
      <c r="F1202">
        <v>3680644</v>
      </c>
      <c r="G1202">
        <v>0</v>
      </c>
      <c r="H1202">
        <v>0</v>
      </c>
      <c r="N1202">
        <v>429.45</v>
      </c>
    </row>
    <row r="1203" spans="1:14" x14ac:dyDescent="0.25">
      <c r="A1203" s="1">
        <v>44879</v>
      </c>
      <c r="B1203">
        <v>419.93453549601981</v>
      </c>
      <c r="C1203">
        <v>421.66836922619689</v>
      </c>
      <c r="D1203">
        <v>407.99583366968977</v>
      </c>
      <c r="E1203">
        <v>419.88497924804688</v>
      </c>
      <c r="F1203">
        <v>1245780</v>
      </c>
      <c r="G1203">
        <v>0</v>
      </c>
      <c r="H1203">
        <v>0</v>
      </c>
      <c r="N1203">
        <v>423.8</v>
      </c>
    </row>
    <row r="1204" spans="1:14" x14ac:dyDescent="0.25">
      <c r="A1204" s="1">
        <v>44880</v>
      </c>
      <c r="B1204">
        <v>419.88497686009333</v>
      </c>
      <c r="C1204">
        <v>421.76744908782257</v>
      </c>
      <c r="D1204">
        <v>410.22504613261577</v>
      </c>
      <c r="E1204">
        <v>412.90011596679688</v>
      </c>
      <c r="F1204">
        <v>940631</v>
      </c>
      <c r="G1204">
        <v>0</v>
      </c>
      <c r="H1204">
        <v>0</v>
      </c>
      <c r="N1204">
        <v>416.75</v>
      </c>
    </row>
    <row r="1205" spans="1:14" x14ac:dyDescent="0.25">
      <c r="A1205" s="1">
        <v>44881</v>
      </c>
      <c r="B1205">
        <v>413.04870569266205</v>
      </c>
      <c r="C1205">
        <v>415.57516714165291</v>
      </c>
      <c r="D1205">
        <v>409.18473962229524</v>
      </c>
      <c r="E1205">
        <v>411.21578979492188</v>
      </c>
      <c r="F1205">
        <v>586968</v>
      </c>
      <c r="G1205">
        <v>0</v>
      </c>
      <c r="H1205">
        <v>0</v>
      </c>
      <c r="N1205">
        <v>415.05</v>
      </c>
    </row>
    <row r="1206" spans="1:14" x14ac:dyDescent="0.25">
      <c r="A1206" s="1">
        <v>44882</v>
      </c>
      <c r="B1206">
        <v>412.94962321544153</v>
      </c>
      <c r="C1206">
        <v>414.63393084719684</v>
      </c>
      <c r="D1206">
        <v>403.2896929268868</v>
      </c>
      <c r="E1206">
        <v>404.62722778320313</v>
      </c>
      <c r="F1206">
        <v>803454</v>
      </c>
      <c r="G1206">
        <v>0</v>
      </c>
      <c r="H1206">
        <v>0</v>
      </c>
      <c r="N1206">
        <v>408.4</v>
      </c>
    </row>
    <row r="1207" spans="1:14" x14ac:dyDescent="0.25">
      <c r="A1207" s="1">
        <v>44883</v>
      </c>
      <c r="B1207">
        <v>404.62723758392923</v>
      </c>
      <c r="C1207">
        <v>406.21246299886167</v>
      </c>
      <c r="D1207">
        <v>396.55253247632777</v>
      </c>
      <c r="E1207">
        <v>397.79098510742188</v>
      </c>
      <c r="F1207">
        <v>899247</v>
      </c>
      <c r="G1207">
        <v>0</v>
      </c>
      <c r="H1207">
        <v>0</v>
      </c>
      <c r="N1207">
        <v>401.5</v>
      </c>
    </row>
    <row r="1208" spans="1:14" x14ac:dyDescent="0.25">
      <c r="A1208" s="1">
        <v>44886</v>
      </c>
      <c r="B1208">
        <v>397.29560681371208</v>
      </c>
      <c r="C1208">
        <v>397.69190561128198</v>
      </c>
      <c r="D1208">
        <v>391.40056015450637</v>
      </c>
      <c r="E1208">
        <v>393.431640625</v>
      </c>
      <c r="F1208">
        <v>654445</v>
      </c>
      <c r="G1208">
        <v>0</v>
      </c>
      <c r="H1208">
        <v>0</v>
      </c>
      <c r="N1208">
        <v>397.1</v>
      </c>
    </row>
    <row r="1209" spans="1:14" x14ac:dyDescent="0.25">
      <c r="A1209" s="1">
        <v>44887</v>
      </c>
      <c r="B1209">
        <v>391.54919461995701</v>
      </c>
      <c r="C1209">
        <v>394.22423415269924</v>
      </c>
      <c r="D1209">
        <v>386.39721959772345</v>
      </c>
      <c r="E1209">
        <v>388.62643432617188</v>
      </c>
      <c r="F1209">
        <v>1330083</v>
      </c>
      <c r="G1209">
        <v>0</v>
      </c>
      <c r="H1209">
        <v>0</v>
      </c>
      <c r="N1209">
        <v>392.25</v>
      </c>
    </row>
    <row r="1210" spans="1:14" x14ac:dyDescent="0.25">
      <c r="A1210" s="1">
        <v>44888</v>
      </c>
      <c r="B1210">
        <v>388.62643036872794</v>
      </c>
      <c r="C1210">
        <v>391.69779889933483</v>
      </c>
      <c r="D1210">
        <v>387.23936948783893</v>
      </c>
      <c r="E1210">
        <v>390.4097900390625</v>
      </c>
      <c r="F1210">
        <v>771815</v>
      </c>
      <c r="G1210">
        <v>0</v>
      </c>
      <c r="H1210">
        <v>0</v>
      </c>
      <c r="N1210">
        <v>394.05</v>
      </c>
    </row>
    <row r="1211" spans="1:14" x14ac:dyDescent="0.25">
      <c r="A1211" s="1">
        <v>44889</v>
      </c>
      <c r="B1211">
        <v>391.40055705468541</v>
      </c>
      <c r="C1211">
        <v>392.93625645713917</v>
      </c>
      <c r="D1211">
        <v>386.99168383368971</v>
      </c>
      <c r="E1211">
        <v>389.3695068359375</v>
      </c>
      <c r="F1211">
        <v>954533</v>
      </c>
      <c r="G1211">
        <v>0</v>
      </c>
      <c r="H1211">
        <v>0</v>
      </c>
      <c r="N1211">
        <v>393</v>
      </c>
    </row>
    <row r="1212" spans="1:14" x14ac:dyDescent="0.25">
      <c r="A1212" s="1">
        <v>44890</v>
      </c>
      <c r="B1212">
        <v>391.35105020008706</v>
      </c>
      <c r="C1212">
        <v>400.26790957173466</v>
      </c>
      <c r="D1212">
        <v>388.77506255670107</v>
      </c>
      <c r="E1212">
        <v>398.38546752929688</v>
      </c>
      <c r="F1212">
        <v>1577153</v>
      </c>
      <c r="G1212">
        <v>0</v>
      </c>
      <c r="H1212">
        <v>0</v>
      </c>
      <c r="N1212">
        <v>402.1</v>
      </c>
    </row>
    <row r="1213" spans="1:14" x14ac:dyDescent="0.25">
      <c r="A1213" s="1">
        <v>44893</v>
      </c>
      <c r="B1213">
        <v>400.41649269592085</v>
      </c>
      <c r="C1213">
        <v>401.20912050945424</v>
      </c>
      <c r="D1213">
        <v>395.26454796842165</v>
      </c>
      <c r="E1213">
        <v>396.25531005859375</v>
      </c>
      <c r="F1213">
        <v>601071</v>
      </c>
      <c r="G1213">
        <v>0</v>
      </c>
      <c r="H1213">
        <v>0</v>
      </c>
      <c r="N1213">
        <v>399.95</v>
      </c>
    </row>
    <row r="1214" spans="1:14" x14ac:dyDescent="0.25">
      <c r="A1214" s="1">
        <v>44894</v>
      </c>
      <c r="B1214">
        <v>397.14700861645099</v>
      </c>
      <c r="C1214">
        <v>404.72633291646935</v>
      </c>
      <c r="D1214">
        <v>396.30485475296877</v>
      </c>
      <c r="E1214">
        <v>401.60543823242188</v>
      </c>
      <c r="F1214">
        <v>756275</v>
      </c>
      <c r="G1214">
        <v>0</v>
      </c>
      <c r="H1214">
        <v>0</v>
      </c>
      <c r="N1214">
        <v>405.35</v>
      </c>
    </row>
    <row r="1215" spans="1:14" x14ac:dyDescent="0.25">
      <c r="A1215" s="1">
        <v>44895</v>
      </c>
      <c r="B1215">
        <v>403.63646758896351</v>
      </c>
      <c r="C1215">
        <v>407.15369113391375</v>
      </c>
      <c r="D1215">
        <v>400.51557306674414</v>
      </c>
      <c r="E1215">
        <v>406.11337280273438</v>
      </c>
      <c r="F1215">
        <v>972357</v>
      </c>
      <c r="G1215">
        <v>0</v>
      </c>
      <c r="H1215">
        <v>0</v>
      </c>
      <c r="N1215">
        <v>409.9</v>
      </c>
    </row>
    <row r="1216" spans="1:14" x14ac:dyDescent="0.25">
      <c r="A1216" s="1">
        <v>44896</v>
      </c>
      <c r="B1216">
        <v>409.18475311638923</v>
      </c>
      <c r="C1216">
        <v>410.5222880175337</v>
      </c>
      <c r="D1216">
        <v>404.57771533303406</v>
      </c>
      <c r="E1216">
        <v>407.35183715820313</v>
      </c>
      <c r="F1216">
        <v>607933</v>
      </c>
      <c r="G1216">
        <v>0</v>
      </c>
      <c r="H1216">
        <v>0</v>
      </c>
      <c r="N1216">
        <v>411.15</v>
      </c>
    </row>
    <row r="1217" spans="1:14" x14ac:dyDescent="0.25">
      <c r="A1217" s="1">
        <v>44897</v>
      </c>
      <c r="B1217">
        <v>406.60875886571779</v>
      </c>
      <c r="C1217">
        <v>412.65241370906898</v>
      </c>
      <c r="D1217">
        <v>405.4198624898246</v>
      </c>
      <c r="E1217">
        <v>411.66165161132813</v>
      </c>
      <c r="F1217">
        <v>740978</v>
      </c>
      <c r="G1217">
        <v>0</v>
      </c>
      <c r="H1217">
        <v>0</v>
      </c>
      <c r="N1217">
        <v>415.5</v>
      </c>
    </row>
    <row r="1218" spans="1:14" x14ac:dyDescent="0.25">
      <c r="A1218" s="1">
        <v>44900</v>
      </c>
      <c r="B1218">
        <v>414.2376530972719</v>
      </c>
      <c r="C1218">
        <v>414.2376530972719</v>
      </c>
      <c r="D1218">
        <v>406.85646312564921</v>
      </c>
      <c r="E1218">
        <v>409.630615234375</v>
      </c>
      <c r="F1218">
        <v>596116</v>
      </c>
      <c r="G1218">
        <v>0</v>
      </c>
      <c r="H1218">
        <v>0</v>
      </c>
      <c r="N1218">
        <v>413.45</v>
      </c>
    </row>
    <row r="1219" spans="1:14" x14ac:dyDescent="0.25">
      <c r="A1219" s="1">
        <v>44901</v>
      </c>
      <c r="B1219">
        <v>409.18476211876748</v>
      </c>
      <c r="C1219">
        <v>410.5222970493387</v>
      </c>
      <c r="D1219">
        <v>404.23095143936348</v>
      </c>
      <c r="E1219">
        <v>406.361083984375</v>
      </c>
      <c r="F1219">
        <v>391512</v>
      </c>
      <c r="G1219">
        <v>0</v>
      </c>
      <c r="H1219">
        <v>0</v>
      </c>
      <c r="N1219">
        <v>410.15</v>
      </c>
    </row>
    <row r="1220" spans="1:14" x14ac:dyDescent="0.25">
      <c r="A1220" s="1">
        <v>44902</v>
      </c>
      <c r="B1220">
        <v>406.50968424962082</v>
      </c>
      <c r="C1220">
        <v>409.33336232838849</v>
      </c>
      <c r="D1220">
        <v>400.86235832774588</v>
      </c>
      <c r="E1220">
        <v>401.50634765625</v>
      </c>
      <c r="F1220">
        <v>594974</v>
      </c>
      <c r="G1220">
        <v>0</v>
      </c>
      <c r="H1220">
        <v>0</v>
      </c>
      <c r="N1220">
        <v>405.25</v>
      </c>
    </row>
    <row r="1221" spans="1:14" x14ac:dyDescent="0.25">
      <c r="A1221" s="1">
        <v>44903</v>
      </c>
      <c r="B1221">
        <v>401.35775149830584</v>
      </c>
      <c r="C1221">
        <v>409.18476640665193</v>
      </c>
      <c r="D1221">
        <v>400.86237042517428</v>
      </c>
      <c r="E1221">
        <v>408.2435302734375</v>
      </c>
      <c r="F1221">
        <v>545877</v>
      </c>
      <c r="G1221">
        <v>0</v>
      </c>
      <c r="H1221">
        <v>0</v>
      </c>
      <c r="N1221">
        <v>412.05</v>
      </c>
    </row>
    <row r="1222" spans="1:14" x14ac:dyDescent="0.25">
      <c r="A1222" s="1">
        <v>44904</v>
      </c>
      <c r="B1222">
        <v>409.08566461210461</v>
      </c>
      <c r="C1222">
        <v>410.86905453162257</v>
      </c>
      <c r="D1222">
        <v>401.25865007747831</v>
      </c>
      <c r="E1222">
        <v>403.98324584960938</v>
      </c>
      <c r="F1222">
        <v>443448</v>
      </c>
      <c r="G1222">
        <v>0</v>
      </c>
      <c r="H1222">
        <v>0</v>
      </c>
      <c r="N1222">
        <v>407.75</v>
      </c>
    </row>
    <row r="1223" spans="1:14" x14ac:dyDescent="0.25">
      <c r="A1223" s="1">
        <v>44907</v>
      </c>
      <c r="B1223">
        <v>405.17216808123203</v>
      </c>
      <c r="C1223">
        <v>406.50967271183248</v>
      </c>
      <c r="D1223">
        <v>399.47528607383487</v>
      </c>
      <c r="E1223">
        <v>402.10079956054688</v>
      </c>
      <c r="F1223">
        <v>771773</v>
      </c>
      <c r="G1223">
        <v>0</v>
      </c>
      <c r="H1223">
        <v>0</v>
      </c>
      <c r="N1223">
        <v>405.85</v>
      </c>
    </row>
    <row r="1224" spans="1:14" x14ac:dyDescent="0.25">
      <c r="A1224" s="1">
        <v>44908</v>
      </c>
      <c r="B1224">
        <v>401.25865221812398</v>
      </c>
      <c r="C1224">
        <v>404.37954679935524</v>
      </c>
      <c r="D1224">
        <v>400.36697237143795</v>
      </c>
      <c r="E1224">
        <v>402.546630859375</v>
      </c>
      <c r="F1224">
        <v>377060</v>
      </c>
      <c r="G1224">
        <v>0</v>
      </c>
      <c r="H1224">
        <v>0</v>
      </c>
      <c r="N1224">
        <v>406.3</v>
      </c>
    </row>
    <row r="1225" spans="1:14" x14ac:dyDescent="0.25">
      <c r="A1225" s="1">
        <v>44909</v>
      </c>
      <c r="B1225">
        <v>403.5373960546284</v>
      </c>
      <c r="C1225">
        <v>408.19399007449965</v>
      </c>
      <c r="D1225">
        <v>402.79432447075493</v>
      </c>
      <c r="E1225">
        <v>406.6087646484375</v>
      </c>
      <c r="F1225">
        <v>735277</v>
      </c>
      <c r="G1225">
        <v>0</v>
      </c>
      <c r="H1225">
        <v>0</v>
      </c>
      <c r="N1225">
        <v>410.4</v>
      </c>
    </row>
    <row r="1226" spans="1:14" x14ac:dyDescent="0.25">
      <c r="A1226" s="1">
        <v>44910</v>
      </c>
      <c r="B1226">
        <v>407.20323198027035</v>
      </c>
      <c r="C1226">
        <v>409.03614795237445</v>
      </c>
      <c r="D1226">
        <v>402.89341070415003</v>
      </c>
      <c r="E1226">
        <v>404.82540893554688</v>
      </c>
      <c r="F1226">
        <v>585464</v>
      </c>
      <c r="G1226">
        <v>0</v>
      </c>
      <c r="H1226">
        <v>0</v>
      </c>
      <c r="N1226">
        <v>408.6</v>
      </c>
    </row>
    <row r="1227" spans="1:14" x14ac:dyDescent="0.25">
      <c r="A1227" s="1">
        <v>44911</v>
      </c>
      <c r="B1227">
        <v>404.23094871513064</v>
      </c>
      <c r="C1227">
        <v>406.60877177808749</v>
      </c>
      <c r="D1227">
        <v>400.86236352296999</v>
      </c>
      <c r="E1227">
        <v>404.13186645507813</v>
      </c>
      <c r="F1227">
        <v>647685</v>
      </c>
      <c r="G1227">
        <v>0</v>
      </c>
      <c r="H1227">
        <v>0</v>
      </c>
      <c r="N1227">
        <v>407.9</v>
      </c>
    </row>
    <row r="1228" spans="1:14" x14ac:dyDescent="0.25">
      <c r="A1228" s="1">
        <v>44914</v>
      </c>
      <c r="B1228">
        <v>404.13185598224487</v>
      </c>
      <c r="C1228">
        <v>407.59952334459547</v>
      </c>
      <c r="D1228">
        <v>400.86235313486395</v>
      </c>
      <c r="E1228">
        <v>405.46939086914063</v>
      </c>
      <c r="F1228">
        <v>758508</v>
      </c>
      <c r="G1228">
        <v>0</v>
      </c>
      <c r="H1228">
        <v>0</v>
      </c>
      <c r="N1228">
        <v>409.25</v>
      </c>
    </row>
    <row r="1229" spans="1:14" x14ac:dyDescent="0.25">
      <c r="A1229" s="1">
        <v>44915</v>
      </c>
      <c r="B1229">
        <v>402.79431166596481</v>
      </c>
      <c r="C1229">
        <v>408.68935813822225</v>
      </c>
      <c r="D1229">
        <v>401.01095201562538</v>
      </c>
      <c r="E1229">
        <v>407.54998779296875</v>
      </c>
      <c r="F1229">
        <v>789245</v>
      </c>
      <c r="G1229">
        <v>0</v>
      </c>
      <c r="H1229">
        <v>0</v>
      </c>
      <c r="N1229">
        <v>411.35</v>
      </c>
    </row>
    <row r="1230" spans="1:14" x14ac:dyDescent="0.25">
      <c r="A1230" s="1">
        <v>44916</v>
      </c>
      <c r="B1230">
        <v>406.80693308176456</v>
      </c>
      <c r="C1230">
        <v>422.0646637037346</v>
      </c>
      <c r="D1230">
        <v>406.50968630395721</v>
      </c>
      <c r="E1230">
        <v>418.00253295898438</v>
      </c>
      <c r="F1230">
        <v>2697599</v>
      </c>
      <c r="G1230">
        <v>0</v>
      </c>
      <c r="H1230">
        <v>0</v>
      </c>
      <c r="N1230">
        <v>421.9</v>
      </c>
    </row>
    <row r="1231" spans="1:14" x14ac:dyDescent="0.25">
      <c r="A1231" s="1">
        <v>44917</v>
      </c>
      <c r="B1231">
        <v>423.9966454191574</v>
      </c>
      <c r="C1231">
        <v>423.9966454191574</v>
      </c>
      <c r="D1231">
        <v>412.40471695638973</v>
      </c>
      <c r="E1231">
        <v>419.63726806640625</v>
      </c>
      <c r="F1231">
        <v>1770189</v>
      </c>
      <c r="G1231">
        <v>0</v>
      </c>
      <c r="H1231">
        <v>0</v>
      </c>
      <c r="N1231">
        <v>423.55</v>
      </c>
    </row>
    <row r="1232" spans="1:14" x14ac:dyDescent="0.25">
      <c r="A1232" s="1">
        <v>44918</v>
      </c>
      <c r="B1232">
        <v>419.58774816861848</v>
      </c>
      <c r="C1232">
        <v>426.02770180048634</v>
      </c>
      <c r="D1232">
        <v>415.03023647431854</v>
      </c>
      <c r="E1232">
        <v>416.41729736328125</v>
      </c>
      <c r="F1232">
        <v>2075717</v>
      </c>
      <c r="G1232">
        <v>0</v>
      </c>
      <c r="H1232">
        <v>0</v>
      </c>
      <c r="N1232">
        <v>420.3</v>
      </c>
    </row>
    <row r="1233" spans="1:14" x14ac:dyDescent="0.25">
      <c r="A1233" s="1">
        <v>44921</v>
      </c>
      <c r="B1233">
        <v>417.11084970801767</v>
      </c>
      <c r="C1233">
        <v>419.43914672145337</v>
      </c>
      <c r="D1233">
        <v>412.30564741128023</v>
      </c>
      <c r="E1233">
        <v>416.8631591796875</v>
      </c>
      <c r="F1233">
        <v>762148</v>
      </c>
      <c r="G1233">
        <v>0</v>
      </c>
      <c r="H1233">
        <v>0</v>
      </c>
      <c r="N1233">
        <v>420.75</v>
      </c>
    </row>
    <row r="1234" spans="1:14" x14ac:dyDescent="0.25">
      <c r="A1234" s="1">
        <v>44922</v>
      </c>
      <c r="B1234">
        <v>419.09237612213786</v>
      </c>
      <c r="C1234">
        <v>419.09237612213786</v>
      </c>
      <c r="D1234">
        <v>413.29641168182729</v>
      </c>
      <c r="E1234">
        <v>415.42654418945313</v>
      </c>
      <c r="F1234">
        <v>547340</v>
      </c>
      <c r="G1234">
        <v>0</v>
      </c>
      <c r="H1234">
        <v>0</v>
      </c>
      <c r="N1234">
        <v>419.3</v>
      </c>
    </row>
    <row r="1235" spans="1:14" x14ac:dyDescent="0.25">
      <c r="A1235" s="1">
        <v>44923</v>
      </c>
      <c r="B1235">
        <v>416.66499809687986</v>
      </c>
      <c r="C1235">
        <v>416.96224487472205</v>
      </c>
      <c r="D1235">
        <v>410.52229108505986</v>
      </c>
      <c r="E1235">
        <v>411.41397094726563</v>
      </c>
      <c r="F1235">
        <v>518402</v>
      </c>
      <c r="G1235">
        <v>0</v>
      </c>
      <c r="H1235">
        <v>0</v>
      </c>
      <c r="N1235">
        <v>415.25</v>
      </c>
    </row>
    <row r="1236" spans="1:14" x14ac:dyDescent="0.25">
      <c r="A1236" s="1">
        <v>44924</v>
      </c>
      <c r="B1236">
        <v>411.41396141703643</v>
      </c>
      <c r="C1236">
        <v>418.84467715605575</v>
      </c>
      <c r="D1236">
        <v>410.17550879386653</v>
      </c>
      <c r="E1236">
        <v>413.49456787109375</v>
      </c>
      <c r="F1236">
        <v>1298900</v>
      </c>
      <c r="G1236">
        <v>0</v>
      </c>
      <c r="H1236">
        <v>0</v>
      </c>
      <c r="N1236">
        <v>417.35</v>
      </c>
    </row>
    <row r="1237" spans="1:14" x14ac:dyDescent="0.25">
      <c r="A1237" s="1">
        <v>44925</v>
      </c>
      <c r="B1237">
        <v>415.57517558984944</v>
      </c>
      <c r="C1237">
        <v>417.95299858644</v>
      </c>
      <c r="D1237">
        <v>409.72965500217043</v>
      </c>
      <c r="E1237">
        <v>416.070556640625</v>
      </c>
      <c r="F1237">
        <v>1222303</v>
      </c>
      <c r="G1237">
        <v>0</v>
      </c>
      <c r="H1237">
        <v>0</v>
      </c>
      <c r="N1237">
        <v>419.95</v>
      </c>
    </row>
    <row r="1238" spans="1:14" x14ac:dyDescent="0.25">
      <c r="A1238" s="1">
        <v>44928</v>
      </c>
      <c r="B1238">
        <v>415.97148671336407</v>
      </c>
      <c r="C1238">
        <v>417.5567121699662</v>
      </c>
      <c r="D1238">
        <v>410.32413047286298</v>
      </c>
      <c r="E1238">
        <v>416.21917724609375</v>
      </c>
      <c r="F1238">
        <v>562491</v>
      </c>
      <c r="G1238">
        <v>0</v>
      </c>
      <c r="H1238">
        <v>0</v>
      </c>
      <c r="N1238">
        <v>420.1</v>
      </c>
    </row>
    <row r="1239" spans="1:14" x14ac:dyDescent="0.25">
      <c r="A1239" s="1">
        <v>44929</v>
      </c>
      <c r="B1239">
        <v>416.21915644033174</v>
      </c>
      <c r="C1239">
        <v>421.61879164252809</v>
      </c>
      <c r="D1239">
        <v>414.83209557351341</v>
      </c>
      <c r="E1239">
        <v>420.72711181640625</v>
      </c>
      <c r="F1239">
        <v>626223</v>
      </c>
      <c r="G1239">
        <v>0</v>
      </c>
      <c r="H1239">
        <v>0</v>
      </c>
      <c r="N1239">
        <v>424.65</v>
      </c>
    </row>
    <row r="1240" spans="1:14" x14ac:dyDescent="0.25">
      <c r="A1240" s="1">
        <v>44930</v>
      </c>
      <c r="B1240">
        <v>422.01514633956583</v>
      </c>
      <c r="C1240">
        <v>423.40220729077475</v>
      </c>
      <c r="D1240">
        <v>415.92193497975256</v>
      </c>
      <c r="E1240">
        <v>419.93453979492188</v>
      </c>
      <c r="F1240">
        <v>482555</v>
      </c>
      <c r="G1240">
        <v>0</v>
      </c>
      <c r="H1240">
        <v>0</v>
      </c>
      <c r="N1240">
        <v>423.85</v>
      </c>
    </row>
    <row r="1241" spans="1:14" x14ac:dyDescent="0.25">
      <c r="A1241" s="1">
        <v>44931</v>
      </c>
      <c r="B1241">
        <v>421.07390605103654</v>
      </c>
      <c r="C1241">
        <v>429.29721965141601</v>
      </c>
      <c r="D1241">
        <v>419.48868059288873</v>
      </c>
      <c r="E1241">
        <v>428.30645751953125</v>
      </c>
      <c r="F1241">
        <v>2084601</v>
      </c>
      <c r="G1241">
        <v>0</v>
      </c>
      <c r="H1241">
        <v>0</v>
      </c>
      <c r="N1241">
        <v>432.3</v>
      </c>
    </row>
    <row r="1242" spans="1:14" x14ac:dyDescent="0.25">
      <c r="A1242" s="1">
        <v>44932</v>
      </c>
      <c r="B1242">
        <v>430.18891982291308</v>
      </c>
      <c r="C1242">
        <v>431.67506298641604</v>
      </c>
      <c r="D1242">
        <v>424.04618265283693</v>
      </c>
      <c r="E1242">
        <v>426.72125244140625</v>
      </c>
      <c r="F1242">
        <v>2088416</v>
      </c>
      <c r="G1242">
        <v>0</v>
      </c>
      <c r="H1242">
        <v>0</v>
      </c>
      <c r="N1242">
        <v>430.7</v>
      </c>
    </row>
    <row r="1243" spans="1:14" x14ac:dyDescent="0.25">
      <c r="A1243" s="1">
        <v>44935</v>
      </c>
      <c r="B1243">
        <v>431.97228353686404</v>
      </c>
      <c r="C1243">
        <v>441.13683313024939</v>
      </c>
      <c r="D1243">
        <v>428.65322439374921</v>
      </c>
      <c r="E1243">
        <v>439.94790649414063</v>
      </c>
      <c r="F1243">
        <v>2054103</v>
      </c>
      <c r="G1243">
        <v>0</v>
      </c>
      <c r="H1243">
        <v>0</v>
      </c>
      <c r="N1243">
        <v>444.05</v>
      </c>
    </row>
    <row r="1244" spans="1:14" x14ac:dyDescent="0.25">
      <c r="A1244" s="1">
        <v>44936</v>
      </c>
      <c r="B1244">
        <v>439.40299964401163</v>
      </c>
      <c r="C1244">
        <v>454.46259594253502</v>
      </c>
      <c r="D1244">
        <v>437.91685646595977</v>
      </c>
      <c r="E1244">
        <v>453.12506103515625</v>
      </c>
      <c r="F1244">
        <v>3556161</v>
      </c>
      <c r="G1244">
        <v>0</v>
      </c>
      <c r="H1244">
        <v>0</v>
      </c>
      <c r="N1244">
        <v>457.35</v>
      </c>
    </row>
    <row r="1245" spans="1:14" x14ac:dyDescent="0.25">
      <c r="A1245" s="1">
        <v>44937</v>
      </c>
      <c r="B1245">
        <v>454.75979593330595</v>
      </c>
      <c r="C1245">
        <v>454.75979593330595</v>
      </c>
      <c r="D1245">
        <v>443.41555799277569</v>
      </c>
      <c r="E1245">
        <v>448.17123413085938</v>
      </c>
      <c r="F1245">
        <v>1541731</v>
      </c>
      <c r="G1245">
        <v>0</v>
      </c>
      <c r="H1245">
        <v>0</v>
      </c>
      <c r="N1245">
        <v>452.35</v>
      </c>
    </row>
    <row r="1246" spans="1:14" x14ac:dyDescent="0.25">
      <c r="A1246" s="1">
        <v>44938</v>
      </c>
      <c r="B1246">
        <v>447.87400652367182</v>
      </c>
      <c r="C1246">
        <v>453.07550768005757</v>
      </c>
      <c r="D1246">
        <v>440.04699178309971</v>
      </c>
      <c r="E1246">
        <v>444.01004028320313</v>
      </c>
      <c r="F1246">
        <v>1554796</v>
      </c>
      <c r="G1246">
        <v>0</v>
      </c>
      <c r="H1246">
        <v>0</v>
      </c>
      <c r="N1246">
        <v>448.15</v>
      </c>
    </row>
    <row r="1247" spans="1:14" x14ac:dyDescent="0.25">
      <c r="A1247" s="1">
        <v>44939</v>
      </c>
      <c r="B1247">
        <v>445.14939819771399</v>
      </c>
      <c r="C1247">
        <v>445.14939819771399</v>
      </c>
      <c r="D1247">
        <v>436.13348730131628</v>
      </c>
      <c r="E1247">
        <v>437.27285766601563</v>
      </c>
      <c r="F1247">
        <v>950057</v>
      </c>
      <c r="G1247">
        <v>0</v>
      </c>
      <c r="H1247">
        <v>0</v>
      </c>
      <c r="N1247">
        <v>441.35</v>
      </c>
    </row>
    <row r="1248" spans="1:14" x14ac:dyDescent="0.25">
      <c r="A1248" s="1">
        <v>44942</v>
      </c>
      <c r="B1248">
        <v>438.65991572116735</v>
      </c>
      <c r="C1248">
        <v>439.94789434500069</v>
      </c>
      <c r="D1248">
        <v>433.26025023180392</v>
      </c>
      <c r="E1248">
        <v>435.04364013671875</v>
      </c>
      <c r="F1248">
        <v>408124</v>
      </c>
      <c r="G1248">
        <v>0</v>
      </c>
      <c r="H1248">
        <v>0</v>
      </c>
      <c r="N1248">
        <v>439.1</v>
      </c>
    </row>
    <row r="1249" spans="1:14" x14ac:dyDescent="0.25">
      <c r="A1249" s="1">
        <v>44943</v>
      </c>
      <c r="B1249">
        <v>434.94456679611204</v>
      </c>
      <c r="C1249">
        <v>435.93532890726493</v>
      </c>
      <c r="D1249">
        <v>426.02770779573615</v>
      </c>
      <c r="E1249">
        <v>427.46432495117188</v>
      </c>
      <c r="F1249">
        <v>989688</v>
      </c>
      <c r="G1249">
        <v>0</v>
      </c>
      <c r="H1249">
        <v>0</v>
      </c>
      <c r="N1249">
        <v>431.45</v>
      </c>
    </row>
    <row r="1250" spans="1:14" x14ac:dyDescent="0.25">
      <c r="A1250" s="1">
        <v>44944</v>
      </c>
      <c r="B1250">
        <v>428.7027920532073</v>
      </c>
      <c r="C1250">
        <v>441.48361767113255</v>
      </c>
      <c r="D1250">
        <v>428.00924645773819</v>
      </c>
      <c r="E1250">
        <v>439.35348510742188</v>
      </c>
      <c r="F1250">
        <v>1765081</v>
      </c>
      <c r="G1250">
        <v>0</v>
      </c>
      <c r="H1250">
        <v>0</v>
      </c>
      <c r="N1250">
        <v>443.45</v>
      </c>
    </row>
    <row r="1251" spans="1:14" x14ac:dyDescent="0.25">
      <c r="A1251" s="1">
        <v>44945</v>
      </c>
      <c r="B1251">
        <v>439.40300096535969</v>
      </c>
      <c r="C1251">
        <v>442.62297786082178</v>
      </c>
      <c r="D1251">
        <v>435.58856074975722</v>
      </c>
      <c r="E1251">
        <v>437.76824951171875</v>
      </c>
      <c r="F1251">
        <v>471685</v>
      </c>
      <c r="G1251">
        <v>0</v>
      </c>
      <c r="H1251">
        <v>0</v>
      </c>
      <c r="N1251">
        <v>441.85</v>
      </c>
    </row>
    <row r="1252" spans="1:14" x14ac:dyDescent="0.25">
      <c r="A1252" s="1">
        <v>44946</v>
      </c>
      <c r="B1252">
        <v>437.91686153948154</v>
      </c>
      <c r="C1252">
        <v>437.91686153948154</v>
      </c>
      <c r="D1252">
        <v>430.28798104283266</v>
      </c>
      <c r="E1252">
        <v>434.1519775390625</v>
      </c>
      <c r="F1252">
        <v>407298</v>
      </c>
      <c r="G1252">
        <v>0</v>
      </c>
      <c r="H1252">
        <v>0</v>
      </c>
      <c r="N1252">
        <v>438.2</v>
      </c>
    </row>
    <row r="1253" spans="1:14" x14ac:dyDescent="0.25">
      <c r="A1253" s="1">
        <v>44949</v>
      </c>
      <c r="B1253">
        <v>436.33162103093798</v>
      </c>
      <c r="C1253">
        <v>443.51464622693254</v>
      </c>
      <c r="D1253">
        <v>431.97227385567322</v>
      </c>
      <c r="E1253">
        <v>440.19558715820313</v>
      </c>
      <c r="F1253">
        <v>1112000</v>
      </c>
      <c r="G1253">
        <v>0</v>
      </c>
      <c r="H1253">
        <v>0</v>
      </c>
      <c r="N1253">
        <v>444.3</v>
      </c>
    </row>
    <row r="1254" spans="1:14" x14ac:dyDescent="0.25">
      <c r="A1254" s="1">
        <v>44950</v>
      </c>
      <c r="B1254">
        <v>438.90762431863448</v>
      </c>
      <c r="C1254">
        <v>440.0965509708725</v>
      </c>
      <c r="D1254">
        <v>430.28798167906064</v>
      </c>
      <c r="E1254">
        <v>433.0621337890625</v>
      </c>
      <c r="F1254">
        <v>546716</v>
      </c>
      <c r="G1254">
        <v>0</v>
      </c>
      <c r="H1254">
        <v>0</v>
      </c>
      <c r="N1254">
        <v>437.1</v>
      </c>
    </row>
    <row r="1255" spans="1:14" x14ac:dyDescent="0.25">
      <c r="A1255" s="1">
        <v>44951</v>
      </c>
      <c r="B1255">
        <v>433.95380469050139</v>
      </c>
      <c r="C1255">
        <v>434.49871175737837</v>
      </c>
      <c r="D1255">
        <v>421.37111378443512</v>
      </c>
      <c r="E1255">
        <v>422.70864868164063</v>
      </c>
      <c r="F1255">
        <v>750786</v>
      </c>
      <c r="G1255">
        <v>0</v>
      </c>
      <c r="H1255">
        <v>0</v>
      </c>
      <c r="N1255">
        <v>426.65</v>
      </c>
    </row>
    <row r="1256" spans="1:14" x14ac:dyDescent="0.25">
      <c r="A1256" s="1">
        <v>44953</v>
      </c>
      <c r="B1256">
        <v>422.11418171824903</v>
      </c>
      <c r="C1256">
        <v>429.94122651731288</v>
      </c>
      <c r="D1256">
        <v>417.40806173090147</v>
      </c>
      <c r="E1256">
        <v>426.32492065429688</v>
      </c>
      <c r="F1256">
        <v>1307641</v>
      </c>
      <c r="G1256">
        <v>0</v>
      </c>
      <c r="H1256">
        <v>0</v>
      </c>
      <c r="N1256">
        <v>430.3</v>
      </c>
    </row>
    <row r="1257" spans="1:14" x14ac:dyDescent="0.25">
      <c r="A1257" s="1">
        <v>44956</v>
      </c>
      <c r="B1257">
        <v>429.00001034010677</v>
      </c>
      <c r="C1257">
        <v>434.74641870767277</v>
      </c>
      <c r="D1257">
        <v>421.86651077598367</v>
      </c>
      <c r="E1257">
        <v>423.99667358398438</v>
      </c>
      <c r="F1257">
        <v>673077</v>
      </c>
      <c r="G1257">
        <v>0</v>
      </c>
      <c r="H1257">
        <v>0</v>
      </c>
      <c r="N1257">
        <v>427.95</v>
      </c>
    </row>
    <row r="1258" spans="1:14" x14ac:dyDescent="0.25">
      <c r="A1258" s="1">
        <v>44957</v>
      </c>
      <c r="B1258">
        <v>423.99666553110728</v>
      </c>
      <c r="C1258">
        <v>430.18892884219565</v>
      </c>
      <c r="D1258">
        <v>421.76745073911547</v>
      </c>
      <c r="E1258">
        <v>427.56338500976563</v>
      </c>
      <c r="F1258">
        <v>403639</v>
      </c>
      <c r="G1258">
        <v>0</v>
      </c>
      <c r="H1258">
        <v>0</v>
      </c>
      <c r="N1258">
        <v>431.55</v>
      </c>
    </row>
    <row r="1259" spans="1:14" x14ac:dyDescent="0.25">
      <c r="A1259" s="1">
        <v>44958</v>
      </c>
      <c r="B1259">
        <v>430.08983328309375</v>
      </c>
      <c r="C1259">
        <v>440.39375306700072</v>
      </c>
      <c r="D1259">
        <v>426.86985646089408</v>
      </c>
      <c r="E1259">
        <v>431.4273681640625</v>
      </c>
      <c r="F1259">
        <v>1197903</v>
      </c>
      <c r="G1259">
        <v>0</v>
      </c>
      <c r="H1259">
        <v>0</v>
      </c>
      <c r="N1259">
        <v>435.45</v>
      </c>
    </row>
    <row r="1260" spans="1:14" x14ac:dyDescent="0.25">
      <c r="A1260" s="1">
        <v>44959</v>
      </c>
      <c r="B1260">
        <v>429.99074975804854</v>
      </c>
      <c r="C1260">
        <v>436.87655842101844</v>
      </c>
      <c r="D1260">
        <v>426.62216467804365</v>
      </c>
      <c r="E1260">
        <v>428.85137939453125</v>
      </c>
      <c r="F1260">
        <v>425003</v>
      </c>
      <c r="G1260">
        <v>0</v>
      </c>
      <c r="H1260">
        <v>0</v>
      </c>
      <c r="N1260">
        <v>432.85</v>
      </c>
    </row>
    <row r="1261" spans="1:14" x14ac:dyDescent="0.25">
      <c r="A1261" s="1">
        <v>44960</v>
      </c>
      <c r="B1261">
        <v>429.94121978785307</v>
      </c>
      <c r="C1261">
        <v>437.91684249468022</v>
      </c>
      <c r="D1261">
        <v>422.65911240059472</v>
      </c>
      <c r="E1261">
        <v>430.63473510742188</v>
      </c>
      <c r="F1261">
        <v>1461408</v>
      </c>
      <c r="G1261">
        <v>0</v>
      </c>
      <c r="H1261">
        <v>0</v>
      </c>
      <c r="N1261">
        <v>434.65</v>
      </c>
    </row>
    <row r="1262" spans="1:14" x14ac:dyDescent="0.25">
      <c r="A1262" s="1">
        <v>44963</v>
      </c>
      <c r="B1262">
        <v>447.82446722435435</v>
      </c>
      <c r="C1262">
        <v>472.09813856726737</v>
      </c>
      <c r="D1262">
        <v>442.82113073569127</v>
      </c>
      <c r="E1262">
        <v>465.80679321289063</v>
      </c>
      <c r="F1262">
        <v>7081568</v>
      </c>
      <c r="G1262">
        <v>0</v>
      </c>
      <c r="H1262">
        <v>0</v>
      </c>
      <c r="N1262">
        <v>470.15</v>
      </c>
    </row>
    <row r="1263" spans="1:14" x14ac:dyDescent="0.25">
      <c r="A1263" s="1">
        <v>44964</v>
      </c>
      <c r="B1263">
        <v>465.85635504652726</v>
      </c>
      <c r="C1263">
        <v>476.25935717540597</v>
      </c>
      <c r="D1263">
        <v>464.66742842324857</v>
      </c>
      <c r="E1263">
        <v>475.02090454101563</v>
      </c>
      <c r="F1263">
        <v>2592361</v>
      </c>
      <c r="G1263">
        <v>0</v>
      </c>
      <c r="H1263">
        <v>0</v>
      </c>
      <c r="N1263">
        <v>479.45</v>
      </c>
    </row>
    <row r="1264" spans="1:14" x14ac:dyDescent="0.25">
      <c r="A1264" s="1">
        <v>44965</v>
      </c>
      <c r="B1264">
        <v>475.71442734767419</v>
      </c>
      <c r="C1264">
        <v>477.79503385326529</v>
      </c>
      <c r="D1264">
        <v>464.12252864908459</v>
      </c>
      <c r="E1264">
        <v>469.62124633789063</v>
      </c>
      <c r="F1264">
        <v>2189622</v>
      </c>
      <c r="G1264">
        <v>0</v>
      </c>
      <c r="H1264">
        <v>0</v>
      </c>
      <c r="N1264">
        <v>474</v>
      </c>
    </row>
    <row r="1265" spans="1:14" x14ac:dyDescent="0.25">
      <c r="A1265" s="1">
        <v>44966</v>
      </c>
      <c r="B1265">
        <v>465.36098374591688</v>
      </c>
      <c r="C1265">
        <v>476.06120263704298</v>
      </c>
      <c r="D1265">
        <v>464.6674381618588</v>
      </c>
      <c r="E1265">
        <v>470.01754760742188</v>
      </c>
      <c r="F1265">
        <v>1144429</v>
      </c>
      <c r="G1265">
        <v>0</v>
      </c>
      <c r="H1265">
        <v>0</v>
      </c>
      <c r="N1265">
        <v>474.4</v>
      </c>
    </row>
    <row r="1266" spans="1:14" x14ac:dyDescent="0.25">
      <c r="A1266" s="1">
        <v>44967</v>
      </c>
      <c r="B1266">
        <v>469.1258544921875</v>
      </c>
      <c r="C1266">
        <v>473.03937688263761</v>
      </c>
      <c r="D1266">
        <v>467.39202081666201</v>
      </c>
      <c r="E1266">
        <v>469.1258544921875</v>
      </c>
      <c r="F1266">
        <v>378658</v>
      </c>
      <c r="G1266">
        <v>0</v>
      </c>
      <c r="H1266">
        <v>0</v>
      </c>
      <c r="N1266">
        <v>473.5</v>
      </c>
    </row>
    <row r="1267" spans="1:14" x14ac:dyDescent="0.25">
      <c r="A1267" s="1">
        <v>44970</v>
      </c>
      <c r="B1267">
        <v>472.44492756818335</v>
      </c>
      <c r="C1267">
        <v>472.44492756818335</v>
      </c>
      <c r="D1267">
        <v>461.84376068672134</v>
      </c>
      <c r="E1267">
        <v>467.09481811523438</v>
      </c>
      <c r="F1267">
        <v>554984</v>
      </c>
      <c r="G1267">
        <v>0</v>
      </c>
      <c r="H1267">
        <v>0</v>
      </c>
      <c r="N1267">
        <v>471.45</v>
      </c>
    </row>
    <row r="1268" spans="1:14" x14ac:dyDescent="0.25">
      <c r="A1268" s="1">
        <v>44971</v>
      </c>
      <c r="B1268">
        <v>469.42306424026185</v>
      </c>
      <c r="C1268">
        <v>470.51290858196518</v>
      </c>
      <c r="D1268">
        <v>463.42896571438229</v>
      </c>
      <c r="E1268">
        <v>468.67999267578125</v>
      </c>
      <c r="F1268">
        <v>638807</v>
      </c>
      <c r="G1268">
        <v>0</v>
      </c>
      <c r="H1268">
        <v>0</v>
      </c>
      <c r="N1268">
        <v>473.05</v>
      </c>
    </row>
    <row r="1269" spans="1:14" x14ac:dyDescent="0.25">
      <c r="A1269" s="1">
        <v>44972</v>
      </c>
      <c r="B1269">
        <v>466.45080385592735</v>
      </c>
      <c r="C1269">
        <v>470.31480039408603</v>
      </c>
      <c r="D1269">
        <v>461.59607541249892</v>
      </c>
      <c r="E1269">
        <v>464.96466064453125</v>
      </c>
      <c r="F1269">
        <v>703302</v>
      </c>
      <c r="G1269">
        <v>0</v>
      </c>
      <c r="H1269">
        <v>0</v>
      </c>
      <c r="N1269">
        <v>469.3</v>
      </c>
    </row>
    <row r="1270" spans="1:14" x14ac:dyDescent="0.25">
      <c r="A1270" s="1">
        <v>44973</v>
      </c>
      <c r="B1270">
        <v>465.65819569945739</v>
      </c>
      <c r="C1270">
        <v>475.56581688455225</v>
      </c>
      <c r="D1270">
        <v>465.65819569945739</v>
      </c>
      <c r="E1270">
        <v>472.8907470703125</v>
      </c>
      <c r="F1270">
        <v>1319413</v>
      </c>
      <c r="G1270">
        <v>0</v>
      </c>
      <c r="H1270">
        <v>0</v>
      </c>
      <c r="N1270">
        <v>477.3</v>
      </c>
    </row>
    <row r="1271" spans="1:14" x14ac:dyDescent="0.25">
      <c r="A1271" s="1">
        <v>44974</v>
      </c>
      <c r="B1271">
        <v>472.89074709996288</v>
      </c>
      <c r="C1271">
        <v>474.72366306645239</v>
      </c>
      <c r="D1271">
        <v>465.11328865770406</v>
      </c>
      <c r="E1271">
        <v>466.30218505859375</v>
      </c>
      <c r="F1271">
        <v>591340</v>
      </c>
      <c r="G1271">
        <v>0</v>
      </c>
      <c r="H1271">
        <v>0</v>
      </c>
      <c r="N1271">
        <v>470.65</v>
      </c>
    </row>
    <row r="1272" spans="1:14" x14ac:dyDescent="0.25">
      <c r="A1272" s="1">
        <v>44977</v>
      </c>
      <c r="B1272">
        <v>468.97726180171105</v>
      </c>
      <c r="C1272">
        <v>468.97726180171105</v>
      </c>
      <c r="D1272">
        <v>457.48441500935206</v>
      </c>
      <c r="E1272">
        <v>460.15948486328125</v>
      </c>
      <c r="F1272">
        <v>738655</v>
      </c>
      <c r="G1272">
        <v>0</v>
      </c>
      <c r="H1272">
        <v>0</v>
      </c>
      <c r="N1272">
        <v>464.45</v>
      </c>
    </row>
    <row r="1273" spans="1:14" x14ac:dyDescent="0.25">
      <c r="A1273" s="1">
        <v>44978</v>
      </c>
      <c r="B1273">
        <v>462.38869436292964</v>
      </c>
      <c r="C1273">
        <v>467.93693805677651</v>
      </c>
      <c r="D1273">
        <v>459.02007896010201</v>
      </c>
      <c r="E1273">
        <v>464.12252807617188</v>
      </c>
      <c r="F1273">
        <v>693825</v>
      </c>
      <c r="G1273">
        <v>0</v>
      </c>
      <c r="H1273">
        <v>0</v>
      </c>
      <c r="N1273">
        <v>468.45</v>
      </c>
    </row>
    <row r="1274" spans="1:14" x14ac:dyDescent="0.25">
      <c r="A1274" s="1">
        <v>44979</v>
      </c>
      <c r="B1274">
        <v>463.37944504117928</v>
      </c>
      <c r="C1274">
        <v>465.11327871160285</v>
      </c>
      <c r="D1274">
        <v>455.84964705392213</v>
      </c>
      <c r="E1274">
        <v>459.9613037109375</v>
      </c>
      <c r="F1274">
        <v>715217</v>
      </c>
      <c r="G1274">
        <v>0</v>
      </c>
      <c r="H1274">
        <v>0</v>
      </c>
      <c r="N1274">
        <v>464.25</v>
      </c>
    </row>
    <row r="1275" spans="1:14" x14ac:dyDescent="0.25">
      <c r="A1275" s="1">
        <v>44980</v>
      </c>
      <c r="B1275">
        <v>461.34838735585265</v>
      </c>
      <c r="C1275">
        <v>465.60868272613982</v>
      </c>
      <c r="D1275">
        <v>454.80935114344669</v>
      </c>
      <c r="E1275">
        <v>463.528076171875</v>
      </c>
      <c r="F1275">
        <v>841905</v>
      </c>
      <c r="G1275">
        <v>0</v>
      </c>
      <c r="H1275">
        <v>0</v>
      </c>
      <c r="N1275">
        <v>467.85</v>
      </c>
    </row>
    <row r="1276" spans="1:14" x14ac:dyDescent="0.25">
      <c r="A1276" s="1">
        <v>44981</v>
      </c>
      <c r="B1276">
        <v>464.17204141100137</v>
      </c>
      <c r="C1276">
        <v>467.29293596247066</v>
      </c>
      <c r="D1276">
        <v>457.23670674744318</v>
      </c>
      <c r="E1276">
        <v>462.1409912109375</v>
      </c>
      <c r="F1276">
        <v>892849</v>
      </c>
      <c r="G1276">
        <v>0</v>
      </c>
      <c r="H1276">
        <v>0</v>
      </c>
      <c r="N1276">
        <v>466.45</v>
      </c>
    </row>
    <row r="1277" spans="1:14" x14ac:dyDescent="0.25">
      <c r="A1277" s="1">
        <v>44984</v>
      </c>
      <c r="B1277">
        <v>462.04190373531736</v>
      </c>
      <c r="C1277">
        <v>462.04190373531736</v>
      </c>
      <c r="D1277">
        <v>448.02262629946898</v>
      </c>
      <c r="E1277">
        <v>451.8370361328125</v>
      </c>
      <c r="F1277">
        <v>937558</v>
      </c>
      <c r="G1277">
        <v>0</v>
      </c>
      <c r="H1277">
        <v>0</v>
      </c>
      <c r="N1277">
        <v>456.05</v>
      </c>
    </row>
    <row r="1278" spans="1:14" x14ac:dyDescent="0.25">
      <c r="A1278" s="1">
        <v>44985</v>
      </c>
      <c r="B1278">
        <v>453.17458308260859</v>
      </c>
      <c r="C1278">
        <v>462.68590538607094</v>
      </c>
      <c r="D1278">
        <v>450.20229675250533</v>
      </c>
      <c r="E1278">
        <v>461.49697875976563</v>
      </c>
      <c r="F1278">
        <v>835580</v>
      </c>
      <c r="G1278">
        <v>0</v>
      </c>
      <c r="H1278">
        <v>0</v>
      </c>
      <c r="N1278">
        <v>465.8</v>
      </c>
    </row>
    <row r="1279" spans="1:14" x14ac:dyDescent="0.25">
      <c r="A1279" s="1">
        <v>44986</v>
      </c>
      <c r="B1279">
        <v>464.61790300959552</v>
      </c>
      <c r="C1279">
        <v>471.60276378227485</v>
      </c>
      <c r="D1279">
        <v>458.77238237922836</v>
      </c>
      <c r="E1279">
        <v>469.17538452148438</v>
      </c>
      <c r="F1279">
        <v>1468140</v>
      </c>
      <c r="G1279">
        <v>0</v>
      </c>
      <c r="H1279">
        <v>0</v>
      </c>
      <c r="N1279">
        <v>473.55</v>
      </c>
    </row>
    <row r="1280" spans="1:14" x14ac:dyDescent="0.25">
      <c r="A1280" s="1">
        <v>44987</v>
      </c>
      <c r="B1280">
        <v>469.62122700082853</v>
      </c>
      <c r="C1280">
        <v>472.0981322065291</v>
      </c>
      <c r="D1280">
        <v>460.90253277102624</v>
      </c>
      <c r="E1280">
        <v>462.43820190429688</v>
      </c>
      <c r="F1280">
        <v>652769</v>
      </c>
      <c r="G1280">
        <v>0</v>
      </c>
      <c r="H1280">
        <v>0</v>
      </c>
      <c r="N1280">
        <v>466.75</v>
      </c>
    </row>
    <row r="1281" spans="1:14" x14ac:dyDescent="0.25">
      <c r="A1281" s="1">
        <v>44988</v>
      </c>
      <c r="B1281">
        <v>464.76652287364482</v>
      </c>
      <c r="C1281">
        <v>470.26524062032519</v>
      </c>
      <c r="D1281">
        <v>463.77576074014127</v>
      </c>
      <c r="E1281">
        <v>468.58096313476563</v>
      </c>
      <c r="F1281">
        <v>708417</v>
      </c>
      <c r="G1281">
        <v>0</v>
      </c>
      <c r="H1281">
        <v>0</v>
      </c>
      <c r="N1281">
        <v>472.95</v>
      </c>
    </row>
    <row r="1282" spans="1:14" x14ac:dyDescent="0.25">
      <c r="A1282" s="1">
        <v>44991</v>
      </c>
      <c r="B1282">
        <v>470.76061117962604</v>
      </c>
      <c r="C1282">
        <v>475.26859692784467</v>
      </c>
      <c r="D1282">
        <v>469.72032305693102</v>
      </c>
      <c r="E1282">
        <v>471.75137329101563</v>
      </c>
      <c r="F1282">
        <v>696280</v>
      </c>
      <c r="G1282">
        <v>0</v>
      </c>
      <c r="H1282">
        <v>0</v>
      </c>
      <c r="N1282">
        <v>476.15</v>
      </c>
    </row>
    <row r="1283" spans="1:14" x14ac:dyDescent="0.25">
      <c r="A1283" s="1">
        <v>44993</v>
      </c>
      <c r="B1283">
        <v>470.61201158120861</v>
      </c>
      <c r="C1283">
        <v>474.92183289229496</v>
      </c>
      <c r="D1283">
        <v>465.90589146539651</v>
      </c>
      <c r="E1283">
        <v>467.09481811523438</v>
      </c>
      <c r="F1283">
        <v>732954</v>
      </c>
      <c r="G1283">
        <v>0</v>
      </c>
      <c r="H1283">
        <v>0</v>
      </c>
      <c r="N1283">
        <v>471.45</v>
      </c>
    </row>
    <row r="1284" spans="1:14" x14ac:dyDescent="0.25">
      <c r="A1284" s="1">
        <v>44994</v>
      </c>
      <c r="B1284">
        <v>467.14433052821647</v>
      </c>
      <c r="C1284">
        <v>471.00829667421294</v>
      </c>
      <c r="D1284">
        <v>462.68590107460682</v>
      </c>
      <c r="E1284">
        <v>464.37020874023438</v>
      </c>
      <c r="F1284">
        <v>551903</v>
      </c>
      <c r="G1284">
        <v>0</v>
      </c>
      <c r="H1284">
        <v>0</v>
      </c>
      <c r="N1284">
        <v>468.7</v>
      </c>
    </row>
    <row r="1285" spans="1:14" x14ac:dyDescent="0.25">
      <c r="A1285" s="1">
        <v>44995</v>
      </c>
      <c r="B1285">
        <v>464.66741867103883</v>
      </c>
      <c r="C1285">
        <v>474.03013248479363</v>
      </c>
      <c r="D1285">
        <v>461.74465842095509</v>
      </c>
      <c r="E1285">
        <v>470.51290893554688</v>
      </c>
      <c r="F1285">
        <v>1956817</v>
      </c>
      <c r="G1285">
        <v>0</v>
      </c>
      <c r="H1285">
        <v>0</v>
      </c>
      <c r="N1285">
        <v>474.9</v>
      </c>
    </row>
    <row r="1286" spans="1:14" x14ac:dyDescent="0.25">
      <c r="A1286" s="1">
        <v>44998</v>
      </c>
      <c r="B1286">
        <v>472.89074584531369</v>
      </c>
      <c r="C1286">
        <v>472.89074584531369</v>
      </c>
      <c r="D1286">
        <v>457.18719049614589</v>
      </c>
      <c r="E1286">
        <v>461.893310546875</v>
      </c>
      <c r="F1286">
        <v>764673</v>
      </c>
      <c r="G1286">
        <v>0</v>
      </c>
      <c r="H1286">
        <v>0</v>
      </c>
      <c r="N1286">
        <v>466.2</v>
      </c>
    </row>
    <row r="1287" spans="1:14" x14ac:dyDescent="0.25">
      <c r="A1287" s="1">
        <v>44999</v>
      </c>
      <c r="B1287">
        <v>461.89330353205145</v>
      </c>
      <c r="C1287">
        <v>468.23417493065489</v>
      </c>
      <c r="D1287">
        <v>459.81269707303755</v>
      </c>
      <c r="E1287">
        <v>466.20309448242188</v>
      </c>
      <c r="F1287">
        <v>910046</v>
      </c>
      <c r="G1287">
        <v>0</v>
      </c>
      <c r="H1287">
        <v>0</v>
      </c>
      <c r="N1287">
        <v>470.55</v>
      </c>
    </row>
    <row r="1288" spans="1:14" x14ac:dyDescent="0.25">
      <c r="A1288" s="1">
        <v>45000</v>
      </c>
      <c r="B1288">
        <v>468.13508408869279</v>
      </c>
      <c r="C1288">
        <v>471.60275137823868</v>
      </c>
      <c r="D1288">
        <v>464.8655813099561</v>
      </c>
      <c r="E1288">
        <v>469.02676391601563</v>
      </c>
      <c r="F1288">
        <v>835882</v>
      </c>
      <c r="G1288">
        <v>0</v>
      </c>
      <c r="H1288">
        <v>0</v>
      </c>
      <c r="N1288">
        <v>473.4</v>
      </c>
    </row>
    <row r="1289" spans="1:14" x14ac:dyDescent="0.25">
      <c r="A1289" s="1">
        <v>45001</v>
      </c>
      <c r="B1289">
        <v>469.02679179072294</v>
      </c>
      <c r="C1289">
        <v>483.78914165356974</v>
      </c>
      <c r="D1289">
        <v>465.70773256919949</v>
      </c>
      <c r="E1289">
        <v>475.21905517578125</v>
      </c>
      <c r="F1289">
        <v>1591279</v>
      </c>
      <c r="G1289">
        <v>0</v>
      </c>
      <c r="H1289">
        <v>0</v>
      </c>
      <c r="N1289">
        <v>479.65</v>
      </c>
    </row>
    <row r="1290" spans="1:14" x14ac:dyDescent="0.25">
      <c r="A1290" s="1">
        <v>45002</v>
      </c>
      <c r="B1290">
        <v>479.03348865428251</v>
      </c>
      <c r="C1290">
        <v>481.51039397307409</v>
      </c>
      <c r="D1290">
        <v>469.91846498686544</v>
      </c>
      <c r="E1290">
        <v>472.9403076171875</v>
      </c>
      <c r="F1290">
        <v>1061951</v>
      </c>
      <c r="G1290">
        <v>0</v>
      </c>
      <c r="H1290">
        <v>0</v>
      </c>
      <c r="N1290">
        <v>477.35</v>
      </c>
    </row>
    <row r="1291" spans="1:14" x14ac:dyDescent="0.25">
      <c r="A1291" s="1">
        <v>45005</v>
      </c>
      <c r="B1291">
        <v>467.68924684962258</v>
      </c>
      <c r="C1291">
        <v>473.58429356038101</v>
      </c>
      <c r="D1291">
        <v>464.51882620567739</v>
      </c>
      <c r="E1291">
        <v>471.80093383789063</v>
      </c>
      <c r="F1291">
        <v>637487</v>
      </c>
      <c r="G1291">
        <v>0</v>
      </c>
      <c r="H1291">
        <v>0</v>
      </c>
      <c r="N1291">
        <v>476.2</v>
      </c>
    </row>
    <row r="1292" spans="1:14" x14ac:dyDescent="0.25">
      <c r="A1292" s="1">
        <v>45006</v>
      </c>
      <c r="B1292">
        <v>474.17875131821535</v>
      </c>
      <c r="C1292">
        <v>475.56581222340157</v>
      </c>
      <c r="D1292">
        <v>468.97725024702186</v>
      </c>
      <c r="E1292">
        <v>473.93106079101563</v>
      </c>
      <c r="F1292">
        <v>792636</v>
      </c>
      <c r="G1292">
        <v>0</v>
      </c>
      <c r="H1292">
        <v>0</v>
      </c>
      <c r="N1292">
        <v>478.35</v>
      </c>
    </row>
    <row r="1293" spans="1:14" x14ac:dyDescent="0.25">
      <c r="A1293" s="1">
        <v>45007</v>
      </c>
      <c r="B1293">
        <v>474.5750442653125</v>
      </c>
      <c r="C1293">
        <v>479.2316382135366</v>
      </c>
      <c r="D1293">
        <v>468.97724446672623</v>
      </c>
      <c r="E1293">
        <v>474.228271484375</v>
      </c>
      <c r="F1293">
        <v>904657</v>
      </c>
      <c r="G1293">
        <v>0</v>
      </c>
      <c r="H1293">
        <v>0</v>
      </c>
      <c r="N1293">
        <v>478.65</v>
      </c>
    </row>
    <row r="1294" spans="1:14" x14ac:dyDescent="0.25">
      <c r="A1294" s="1">
        <v>45008</v>
      </c>
      <c r="B1294">
        <v>474.62456666760204</v>
      </c>
      <c r="C1294">
        <v>480.12331440325374</v>
      </c>
      <c r="D1294">
        <v>473.9310513466591</v>
      </c>
      <c r="E1294">
        <v>477.84454345703125</v>
      </c>
      <c r="F1294">
        <v>831785</v>
      </c>
      <c r="G1294">
        <v>0</v>
      </c>
      <c r="H1294">
        <v>0</v>
      </c>
      <c r="N1294">
        <v>482.3</v>
      </c>
    </row>
    <row r="1295" spans="1:14" x14ac:dyDescent="0.25">
      <c r="A1295" s="1">
        <v>45009</v>
      </c>
      <c r="B1295">
        <v>479.0334907715278</v>
      </c>
      <c r="C1295">
        <v>482.50115823316241</v>
      </c>
      <c r="D1295">
        <v>474.37689665735411</v>
      </c>
      <c r="E1295">
        <v>476.25936889648438</v>
      </c>
      <c r="F1295">
        <v>938602</v>
      </c>
      <c r="G1295">
        <v>0</v>
      </c>
      <c r="H1295">
        <v>0</v>
      </c>
      <c r="N1295">
        <v>480.7</v>
      </c>
    </row>
    <row r="1296" spans="1:14" x14ac:dyDescent="0.25">
      <c r="A1296" s="1">
        <v>45012</v>
      </c>
      <c r="B1296">
        <v>470.85968037665242</v>
      </c>
      <c r="C1296">
        <v>482.10483607612514</v>
      </c>
      <c r="D1296">
        <v>470.66151586560733</v>
      </c>
      <c r="E1296">
        <v>477.4482421875</v>
      </c>
      <c r="F1296">
        <v>843623</v>
      </c>
      <c r="G1296">
        <v>0</v>
      </c>
      <c r="H1296">
        <v>0</v>
      </c>
      <c r="N1296">
        <v>481.9</v>
      </c>
    </row>
    <row r="1297" spans="1:14" x14ac:dyDescent="0.25">
      <c r="A1297" s="1">
        <v>45013</v>
      </c>
      <c r="B1297">
        <v>477.44826402326697</v>
      </c>
      <c r="C1297">
        <v>484.48268118785052</v>
      </c>
      <c r="D1297">
        <v>473.7824622865549</v>
      </c>
      <c r="E1297">
        <v>480.27194213867188</v>
      </c>
      <c r="F1297">
        <v>707818</v>
      </c>
      <c r="G1297">
        <v>0</v>
      </c>
      <c r="H1297">
        <v>0</v>
      </c>
      <c r="N1297">
        <v>484.75</v>
      </c>
    </row>
    <row r="1298" spans="1:14" x14ac:dyDescent="0.25">
      <c r="A1298" s="1">
        <v>45014</v>
      </c>
      <c r="B1298">
        <v>482.6002439952407</v>
      </c>
      <c r="C1298">
        <v>488.5943428424381</v>
      </c>
      <c r="D1298">
        <v>479.03349424740395</v>
      </c>
      <c r="E1298">
        <v>485.82022094726563</v>
      </c>
      <c r="F1298">
        <v>1275317</v>
      </c>
      <c r="G1298">
        <v>0</v>
      </c>
      <c r="H1298">
        <v>0</v>
      </c>
      <c r="N1298">
        <v>490.35</v>
      </c>
    </row>
    <row r="1299" spans="1:14" x14ac:dyDescent="0.25">
      <c r="A1299" s="1">
        <v>45016</v>
      </c>
      <c r="B1299">
        <v>486.41466117159672</v>
      </c>
      <c r="C1299">
        <v>490.32815329368094</v>
      </c>
      <c r="D1299">
        <v>480.56914064014973</v>
      </c>
      <c r="E1299">
        <v>487.00909423828125</v>
      </c>
      <c r="F1299">
        <v>1115333</v>
      </c>
      <c r="G1299">
        <v>0</v>
      </c>
      <c r="H1299">
        <v>0</v>
      </c>
      <c r="N1299">
        <v>491.55</v>
      </c>
    </row>
    <row r="1300" spans="1:14" x14ac:dyDescent="0.25">
      <c r="A1300" s="1">
        <v>45019</v>
      </c>
      <c r="B1300">
        <v>493.39953119198356</v>
      </c>
      <c r="C1300">
        <v>493.39953119198356</v>
      </c>
      <c r="D1300">
        <v>484.68083671096753</v>
      </c>
      <c r="E1300">
        <v>487.85125732421875</v>
      </c>
      <c r="F1300">
        <v>708521</v>
      </c>
      <c r="G1300">
        <v>0</v>
      </c>
      <c r="H1300">
        <v>0</v>
      </c>
      <c r="N1300">
        <v>492.4</v>
      </c>
    </row>
    <row r="1301" spans="1:14" x14ac:dyDescent="0.25">
      <c r="A1301" s="1">
        <v>45021</v>
      </c>
      <c r="B1301">
        <v>483.49190702430968</v>
      </c>
      <c r="C1301">
        <v>489.63464416683331</v>
      </c>
      <c r="D1301">
        <v>481.51038281519362</v>
      </c>
      <c r="E1301">
        <v>488.5447998046875</v>
      </c>
      <c r="F1301">
        <v>690988</v>
      </c>
      <c r="G1301">
        <v>0</v>
      </c>
      <c r="H1301">
        <v>0</v>
      </c>
      <c r="N1301">
        <v>493.1</v>
      </c>
    </row>
    <row r="1302" spans="1:14" x14ac:dyDescent="0.25">
      <c r="A1302" s="1">
        <v>45022</v>
      </c>
      <c r="B1302">
        <v>487.4549505515181</v>
      </c>
      <c r="C1302">
        <v>492.45828703506959</v>
      </c>
      <c r="D1302">
        <v>485.96880740959273</v>
      </c>
      <c r="E1302">
        <v>489.5850830078125</v>
      </c>
      <c r="F1302">
        <v>904248</v>
      </c>
      <c r="G1302">
        <v>0</v>
      </c>
      <c r="H1302">
        <v>0</v>
      </c>
      <c r="N1302">
        <v>494.15</v>
      </c>
    </row>
    <row r="1303" spans="1:14" x14ac:dyDescent="0.25">
      <c r="A1303" s="1">
        <v>45026</v>
      </c>
      <c r="B1303">
        <v>489.58509409109138</v>
      </c>
      <c r="C1303">
        <v>495.18289400526857</v>
      </c>
      <c r="D1303">
        <v>487.45496158657477</v>
      </c>
      <c r="E1303">
        <v>491.91339111328125</v>
      </c>
      <c r="F1303">
        <v>969584</v>
      </c>
      <c r="G1303">
        <v>0</v>
      </c>
      <c r="H1303">
        <v>0</v>
      </c>
      <c r="N1303">
        <v>496.5</v>
      </c>
    </row>
    <row r="1304" spans="1:14" x14ac:dyDescent="0.25">
      <c r="A1304" s="1">
        <v>45027</v>
      </c>
      <c r="B1304">
        <v>492.35925164738455</v>
      </c>
      <c r="C1304">
        <v>497.36258829996257</v>
      </c>
      <c r="D1304">
        <v>489.18880074324005</v>
      </c>
      <c r="E1304">
        <v>496.371826171875</v>
      </c>
      <c r="F1304">
        <v>1219186</v>
      </c>
      <c r="G1304">
        <v>0</v>
      </c>
      <c r="H1304">
        <v>0</v>
      </c>
      <c r="N1304">
        <v>501</v>
      </c>
    </row>
    <row r="1305" spans="1:14" x14ac:dyDescent="0.25">
      <c r="A1305" s="1">
        <v>45028</v>
      </c>
      <c r="B1305">
        <v>498.35334268778331</v>
      </c>
      <c r="C1305">
        <v>501.22654676747948</v>
      </c>
      <c r="D1305">
        <v>493.79583092223419</v>
      </c>
      <c r="E1305">
        <v>499.93856811523438</v>
      </c>
      <c r="F1305">
        <v>1046214</v>
      </c>
      <c r="G1305">
        <v>0</v>
      </c>
      <c r="H1305">
        <v>0</v>
      </c>
      <c r="N1305">
        <v>504.6</v>
      </c>
    </row>
    <row r="1306" spans="1:14" x14ac:dyDescent="0.25">
      <c r="A1306" s="1">
        <v>45029</v>
      </c>
      <c r="B1306">
        <v>499.83949883549673</v>
      </c>
      <c r="C1306">
        <v>502.06871364695331</v>
      </c>
      <c r="D1306">
        <v>497.11490295482753</v>
      </c>
      <c r="E1306">
        <v>498.99734497070313</v>
      </c>
      <c r="F1306">
        <v>749244</v>
      </c>
      <c r="G1306">
        <v>0</v>
      </c>
      <c r="H1306">
        <v>0</v>
      </c>
      <c r="N1306">
        <v>503.65</v>
      </c>
    </row>
    <row r="1307" spans="1:14" x14ac:dyDescent="0.25">
      <c r="A1307" s="1">
        <v>45033</v>
      </c>
      <c r="B1307">
        <v>501.77149122066044</v>
      </c>
      <c r="C1307">
        <v>504.49608706940677</v>
      </c>
      <c r="D1307">
        <v>495.48014566824128</v>
      </c>
      <c r="E1307">
        <v>497.461669921875</v>
      </c>
      <c r="F1307">
        <v>1139909</v>
      </c>
      <c r="G1307">
        <v>0</v>
      </c>
      <c r="H1307">
        <v>0</v>
      </c>
      <c r="N1307">
        <v>502.1</v>
      </c>
    </row>
    <row r="1308" spans="1:14" x14ac:dyDescent="0.25">
      <c r="A1308" s="1">
        <v>45034</v>
      </c>
      <c r="B1308">
        <v>496.22319821345513</v>
      </c>
      <c r="C1308">
        <v>513.71014303332061</v>
      </c>
      <c r="D1308">
        <v>494.39028230207708</v>
      </c>
      <c r="E1308">
        <v>511.13418579101563</v>
      </c>
      <c r="F1308">
        <v>1727733</v>
      </c>
      <c r="G1308">
        <v>0</v>
      </c>
      <c r="H1308">
        <v>0</v>
      </c>
      <c r="N1308">
        <v>515.9</v>
      </c>
    </row>
    <row r="1309" spans="1:14" x14ac:dyDescent="0.25">
      <c r="A1309" s="1">
        <v>45035</v>
      </c>
      <c r="B1309">
        <v>513.95784073990046</v>
      </c>
      <c r="C1309">
        <v>514.60186029513864</v>
      </c>
      <c r="D1309">
        <v>508.75633970108709</v>
      </c>
      <c r="E1309">
        <v>512.32305908203125</v>
      </c>
      <c r="F1309">
        <v>1540176</v>
      </c>
      <c r="G1309">
        <v>0</v>
      </c>
      <c r="H1309">
        <v>0</v>
      </c>
      <c r="N1309">
        <v>517.1</v>
      </c>
    </row>
    <row r="1310" spans="1:14" x14ac:dyDescent="0.25">
      <c r="A1310" s="1">
        <v>45036</v>
      </c>
      <c r="B1310">
        <v>514.20552527956818</v>
      </c>
      <c r="C1310">
        <v>514.20552527956818</v>
      </c>
      <c r="D1310">
        <v>501.1274535828183</v>
      </c>
      <c r="E1310">
        <v>508.95449829101563</v>
      </c>
      <c r="F1310">
        <v>1264836</v>
      </c>
      <c r="G1310">
        <v>0</v>
      </c>
      <c r="H1310">
        <v>0</v>
      </c>
      <c r="N1310">
        <v>513.70000000000005</v>
      </c>
    </row>
    <row r="1311" spans="1:14" x14ac:dyDescent="0.25">
      <c r="A1311" s="1">
        <v>45037</v>
      </c>
      <c r="B1311">
        <v>507.27018072289155</v>
      </c>
      <c r="C1311">
        <v>515.84029683183473</v>
      </c>
      <c r="D1311">
        <v>504.44650277134525</v>
      </c>
      <c r="E1311">
        <v>513.95782470703125</v>
      </c>
      <c r="F1311">
        <v>1112338</v>
      </c>
      <c r="G1311">
        <v>0</v>
      </c>
      <c r="H1311">
        <v>0</v>
      </c>
      <c r="N1311">
        <v>518.75</v>
      </c>
    </row>
    <row r="1312" spans="1:14" x14ac:dyDescent="0.25">
      <c r="A1312" s="1">
        <v>45040</v>
      </c>
      <c r="B1312">
        <v>514.10649777575588</v>
      </c>
      <c r="C1312">
        <v>519.45657704002588</v>
      </c>
      <c r="D1312">
        <v>510.63883029154835</v>
      </c>
      <c r="E1312">
        <v>512.17449951171875</v>
      </c>
      <c r="F1312">
        <v>798318</v>
      </c>
      <c r="G1312">
        <v>0</v>
      </c>
      <c r="H1312">
        <v>0</v>
      </c>
      <c r="N1312">
        <v>516.95000000000005</v>
      </c>
    </row>
    <row r="1313" spans="1:14" x14ac:dyDescent="0.25">
      <c r="A1313" s="1">
        <v>45041</v>
      </c>
      <c r="B1313">
        <v>510.49014946875349</v>
      </c>
      <c r="C1313">
        <v>515.09721721871585</v>
      </c>
      <c r="D1313">
        <v>508.5581513648558</v>
      </c>
      <c r="E1313">
        <v>513.8587646484375</v>
      </c>
      <c r="F1313">
        <v>639723</v>
      </c>
      <c r="G1313">
        <v>0</v>
      </c>
      <c r="H1313">
        <v>0</v>
      </c>
      <c r="N1313">
        <v>518.65</v>
      </c>
    </row>
    <row r="1314" spans="1:14" x14ac:dyDescent="0.25">
      <c r="A1314" s="1">
        <v>45042</v>
      </c>
      <c r="B1314">
        <v>513.85878651619385</v>
      </c>
      <c r="C1314">
        <v>516.43474378346855</v>
      </c>
      <c r="D1314">
        <v>510.24248066855881</v>
      </c>
      <c r="E1314">
        <v>511.92678833007813</v>
      </c>
      <c r="F1314">
        <v>385699</v>
      </c>
      <c r="G1314">
        <v>0</v>
      </c>
      <c r="H1314">
        <v>0</v>
      </c>
      <c r="N1314">
        <v>516.70000000000005</v>
      </c>
    </row>
    <row r="1315" spans="1:14" x14ac:dyDescent="0.25">
      <c r="A1315" s="1">
        <v>45043</v>
      </c>
      <c r="B1315">
        <v>511.97632822764069</v>
      </c>
      <c r="C1315">
        <v>514.05690450215639</v>
      </c>
      <c r="D1315">
        <v>504.59513830019614</v>
      </c>
      <c r="E1315">
        <v>509.895751953125</v>
      </c>
      <c r="F1315">
        <v>865434</v>
      </c>
      <c r="G1315">
        <v>0</v>
      </c>
      <c r="H1315">
        <v>0</v>
      </c>
      <c r="N1315">
        <v>514.65</v>
      </c>
    </row>
    <row r="1316" spans="1:14" x14ac:dyDescent="0.25">
      <c r="A1316" s="1">
        <v>45044</v>
      </c>
      <c r="B1316">
        <v>510.24247062881352</v>
      </c>
      <c r="C1316">
        <v>516.03840460179799</v>
      </c>
      <c r="D1316">
        <v>510.19294461913267</v>
      </c>
      <c r="E1316">
        <v>515.09722900390625</v>
      </c>
      <c r="F1316">
        <v>428231</v>
      </c>
      <c r="G1316">
        <v>0</v>
      </c>
      <c r="H1316">
        <v>0</v>
      </c>
      <c r="N1316">
        <v>519.9</v>
      </c>
    </row>
    <row r="1317" spans="1:14" x14ac:dyDescent="0.25">
      <c r="A1317" s="1">
        <v>45048</v>
      </c>
      <c r="B1317">
        <v>515.09725991410096</v>
      </c>
      <c r="C1317">
        <v>523.12240904616681</v>
      </c>
      <c r="D1317">
        <v>497.21398517557685</v>
      </c>
      <c r="E1317">
        <v>512.17449951171875</v>
      </c>
      <c r="F1317">
        <v>1269429</v>
      </c>
      <c r="G1317">
        <v>0</v>
      </c>
      <c r="H1317">
        <v>0</v>
      </c>
      <c r="N1317">
        <v>516.95000000000005</v>
      </c>
    </row>
    <row r="1318" spans="1:14" x14ac:dyDescent="0.25">
      <c r="A1318" s="1">
        <v>45049</v>
      </c>
      <c r="B1318">
        <v>511.23327185474676</v>
      </c>
      <c r="C1318">
        <v>518.41629747673687</v>
      </c>
      <c r="D1318">
        <v>509.20222153175894</v>
      </c>
      <c r="E1318">
        <v>515.93939208984375</v>
      </c>
      <c r="F1318">
        <v>506509</v>
      </c>
      <c r="G1318">
        <v>0</v>
      </c>
      <c r="H1318">
        <v>0</v>
      </c>
      <c r="N1318">
        <v>520.75</v>
      </c>
    </row>
    <row r="1319" spans="1:14" x14ac:dyDescent="0.25">
      <c r="A1319" s="1">
        <v>45050</v>
      </c>
      <c r="B1319">
        <v>516.18708575636242</v>
      </c>
      <c r="C1319">
        <v>518.36677460430076</v>
      </c>
      <c r="D1319">
        <v>511.28280096633193</v>
      </c>
      <c r="E1319">
        <v>515.245849609375</v>
      </c>
      <c r="F1319">
        <v>530332</v>
      </c>
      <c r="G1319">
        <v>0</v>
      </c>
      <c r="H1319">
        <v>0</v>
      </c>
      <c r="N1319">
        <v>520.04999999999995</v>
      </c>
    </row>
    <row r="1320" spans="1:14" x14ac:dyDescent="0.25">
      <c r="A1320" s="1">
        <v>45051</v>
      </c>
      <c r="B1320">
        <v>517.77224252259134</v>
      </c>
      <c r="C1320">
        <v>519.75376669676325</v>
      </c>
      <c r="D1320">
        <v>510.04431033758465</v>
      </c>
      <c r="E1320">
        <v>512.2239990234375</v>
      </c>
      <c r="F1320">
        <v>451811</v>
      </c>
      <c r="G1320">
        <v>0</v>
      </c>
      <c r="H1320">
        <v>0</v>
      </c>
      <c r="N1320">
        <v>517</v>
      </c>
    </row>
    <row r="1321" spans="1:14" x14ac:dyDescent="0.25">
      <c r="A1321" s="1">
        <v>45054</v>
      </c>
      <c r="B1321">
        <v>512.42218618640993</v>
      </c>
      <c r="C1321">
        <v>521.3885713766274</v>
      </c>
      <c r="D1321">
        <v>511.23325953508731</v>
      </c>
      <c r="E1321">
        <v>520.54644775390625</v>
      </c>
      <c r="F1321">
        <v>661439</v>
      </c>
      <c r="G1321">
        <v>0</v>
      </c>
      <c r="H1321">
        <v>0</v>
      </c>
      <c r="N1321">
        <v>525.4</v>
      </c>
    </row>
    <row r="1322" spans="1:14" x14ac:dyDescent="0.25">
      <c r="A1322" s="1">
        <v>45055</v>
      </c>
      <c r="B1322">
        <v>520.44732849027116</v>
      </c>
      <c r="C1322">
        <v>525.94604615089793</v>
      </c>
      <c r="D1322">
        <v>516.68244453614159</v>
      </c>
      <c r="E1322">
        <v>520.1005859375</v>
      </c>
      <c r="F1322">
        <v>1042675</v>
      </c>
      <c r="G1322">
        <v>0</v>
      </c>
      <c r="H1322">
        <v>0</v>
      </c>
      <c r="N1322">
        <v>524.95000000000005</v>
      </c>
    </row>
    <row r="1323" spans="1:14" x14ac:dyDescent="0.25">
      <c r="A1323" s="1">
        <v>45056</v>
      </c>
      <c r="B1323">
        <v>520.10060874894339</v>
      </c>
      <c r="C1323">
        <v>523.8159668543916</v>
      </c>
      <c r="D1323">
        <v>516.7815192252823</v>
      </c>
      <c r="E1323">
        <v>520.74456787109375</v>
      </c>
      <c r="F1323">
        <v>904802</v>
      </c>
      <c r="G1323">
        <v>0</v>
      </c>
      <c r="H1323">
        <v>0</v>
      </c>
      <c r="N1323">
        <v>525.6</v>
      </c>
    </row>
    <row r="1324" spans="1:14" x14ac:dyDescent="0.25">
      <c r="A1324" s="1">
        <v>45057</v>
      </c>
      <c r="B1324">
        <v>524.11315032884727</v>
      </c>
      <c r="C1324">
        <v>524.11315032884727</v>
      </c>
      <c r="D1324">
        <v>506.87389585476575</v>
      </c>
      <c r="E1324">
        <v>509.0040283203125</v>
      </c>
      <c r="F1324">
        <v>1233986</v>
      </c>
      <c r="G1324">
        <v>0</v>
      </c>
      <c r="H1324">
        <v>0</v>
      </c>
      <c r="N1324">
        <v>513.75</v>
      </c>
    </row>
    <row r="1325" spans="1:14" x14ac:dyDescent="0.25">
      <c r="A1325" s="1">
        <v>45058</v>
      </c>
      <c r="B1325">
        <v>508.65730366514742</v>
      </c>
      <c r="C1325">
        <v>516.08801966840929</v>
      </c>
      <c r="D1325">
        <v>499.34411541919724</v>
      </c>
      <c r="E1325">
        <v>508.85540771484375</v>
      </c>
      <c r="F1325">
        <v>1015662</v>
      </c>
      <c r="G1325">
        <v>0</v>
      </c>
      <c r="H1325">
        <v>0</v>
      </c>
      <c r="N1325">
        <v>513.6</v>
      </c>
    </row>
    <row r="1326" spans="1:14" x14ac:dyDescent="0.25">
      <c r="A1326" s="1">
        <v>45061</v>
      </c>
      <c r="B1326">
        <v>508.85541494866317</v>
      </c>
      <c r="C1326">
        <v>514.55229729881671</v>
      </c>
      <c r="D1326">
        <v>507.76560077455412</v>
      </c>
      <c r="E1326">
        <v>512.96710205078125</v>
      </c>
      <c r="F1326">
        <v>532092</v>
      </c>
      <c r="G1326">
        <v>0</v>
      </c>
      <c r="H1326">
        <v>0</v>
      </c>
      <c r="N1326">
        <v>517.75</v>
      </c>
    </row>
    <row r="1327" spans="1:14" x14ac:dyDescent="0.25">
      <c r="A1327" s="1">
        <v>45062</v>
      </c>
      <c r="B1327">
        <v>513.21477812460159</v>
      </c>
      <c r="C1327">
        <v>517.17782660432829</v>
      </c>
      <c r="D1327">
        <v>510.24249176480657</v>
      </c>
      <c r="E1327">
        <v>511.33230590820313</v>
      </c>
      <c r="F1327">
        <v>352447</v>
      </c>
      <c r="G1327">
        <v>0</v>
      </c>
      <c r="H1327">
        <v>0</v>
      </c>
      <c r="N1327">
        <v>516.1</v>
      </c>
    </row>
    <row r="1328" spans="1:14" x14ac:dyDescent="0.25">
      <c r="A1328" s="1">
        <v>45063</v>
      </c>
      <c r="B1328">
        <v>510.73788229179252</v>
      </c>
      <c r="C1328">
        <v>515.19631191412623</v>
      </c>
      <c r="D1328">
        <v>508.80588402785014</v>
      </c>
      <c r="E1328">
        <v>514.00738525390625</v>
      </c>
      <c r="F1328">
        <v>414331</v>
      </c>
      <c r="G1328">
        <v>0</v>
      </c>
      <c r="H1328">
        <v>0</v>
      </c>
      <c r="N1328">
        <v>518.79999999999995</v>
      </c>
    </row>
    <row r="1329" spans="1:14" x14ac:dyDescent="0.25">
      <c r="A1329" s="1">
        <v>45064</v>
      </c>
      <c r="B1329">
        <v>515.19630903384007</v>
      </c>
      <c r="C1329">
        <v>517.97043091129649</v>
      </c>
      <c r="D1329">
        <v>501.22655691482879</v>
      </c>
      <c r="E1329">
        <v>503.356689453125</v>
      </c>
      <c r="F1329">
        <v>3376633</v>
      </c>
      <c r="G1329">
        <v>0</v>
      </c>
      <c r="H1329">
        <v>0</v>
      </c>
      <c r="N1329">
        <v>508.05</v>
      </c>
    </row>
    <row r="1330" spans="1:14" x14ac:dyDescent="0.25">
      <c r="A1330" s="1">
        <v>45065</v>
      </c>
      <c r="B1330">
        <v>506.27944594588763</v>
      </c>
      <c r="C1330">
        <v>509.99480391515783</v>
      </c>
      <c r="D1330">
        <v>486.9100584936898</v>
      </c>
      <c r="E1330">
        <v>490.13003540039063</v>
      </c>
      <c r="F1330">
        <v>3144835</v>
      </c>
      <c r="G1330">
        <v>0</v>
      </c>
      <c r="H1330">
        <v>0</v>
      </c>
      <c r="N1330">
        <v>494.7</v>
      </c>
    </row>
    <row r="1331" spans="1:14" x14ac:dyDescent="0.25">
      <c r="A1331" s="1">
        <v>45068</v>
      </c>
      <c r="B1331">
        <v>480.4701122371319</v>
      </c>
      <c r="C1331">
        <v>507.27021604938273</v>
      </c>
      <c r="D1331">
        <v>480.4701122371319</v>
      </c>
      <c r="E1331">
        <v>501.57333374023438</v>
      </c>
      <c r="F1331">
        <v>1230046</v>
      </c>
      <c r="G1331">
        <v>0</v>
      </c>
      <c r="H1331">
        <v>0</v>
      </c>
      <c r="N1331">
        <v>506.25</v>
      </c>
    </row>
    <row r="1332" spans="1:14" x14ac:dyDescent="0.25">
      <c r="A1332" s="1">
        <v>45069</v>
      </c>
      <c r="B1332">
        <v>505.23914278803676</v>
      </c>
      <c r="C1332">
        <v>508.55817162004854</v>
      </c>
      <c r="D1332">
        <v>501.42470267252355</v>
      </c>
      <c r="E1332">
        <v>502.76223754882813</v>
      </c>
      <c r="F1332">
        <v>943626</v>
      </c>
      <c r="G1332">
        <v>0</v>
      </c>
      <c r="H1332">
        <v>0</v>
      </c>
      <c r="N1332">
        <v>507.45</v>
      </c>
    </row>
    <row r="1333" spans="1:14" x14ac:dyDescent="0.25">
      <c r="A1333" s="1">
        <v>45070</v>
      </c>
      <c r="B1333">
        <v>502.76225362743054</v>
      </c>
      <c r="C1333">
        <v>504.79330389427179</v>
      </c>
      <c r="D1333">
        <v>498.20474179440311</v>
      </c>
      <c r="E1333">
        <v>499.29458618164063</v>
      </c>
      <c r="F1333">
        <v>775925</v>
      </c>
      <c r="G1333">
        <v>0</v>
      </c>
      <c r="H1333">
        <v>0</v>
      </c>
      <c r="N1333">
        <v>503.95</v>
      </c>
    </row>
    <row r="1334" spans="1:14" x14ac:dyDescent="0.25">
      <c r="A1334" s="1">
        <v>45071</v>
      </c>
      <c r="B1334">
        <v>499.29457817015987</v>
      </c>
      <c r="C1334">
        <v>503.80253368308962</v>
      </c>
      <c r="D1334">
        <v>494.8856746798491</v>
      </c>
      <c r="E1334">
        <v>501.02841186523438</v>
      </c>
      <c r="F1334">
        <v>963307</v>
      </c>
      <c r="G1334">
        <v>0</v>
      </c>
      <c r="H1334">
        <v>0</v>
      </c>
      <c r="N1334">
        <v>505.7</v>
      </c>
    </row>
    <row r="1335" spans="1:14" x14ac:dyDescent="0.25">
      <c r="A1335" s="1">
        <v>45072</v>
      </c>
      <c r="B1335">
        <v>503.30714956153156</v>
      </c>
      <c r="C1335">
        <v>509.00403166778909</v>
      </c>
      <c r="D1335">
        <v>499.64131767715406</v>
      </c>
      <c r="E1335">
        <v>503.55484008789063</v>
      </c>
      <c r="F1335">
        <v>977223</v>
      </c>
      <c r="G1335">
        <v>0</v>
      </c>
      <c r="H1335">
        <v>0</v>
      </c>
      <c r="N1335">
        <v>508.25</v>
      </c>
    </row>
    <row r="1336" spans="1:14" x14ac:dyDescent="0.25">
      <c r="A1336" s="1">
        <v>45075</v>
      </c>
      <c r="B1336">
        <v>504.24839427519265</v>
      </c>
      <c r="C1336">
        <v>509.2517308989041</v>
      </c>
      <c r="D1336">
        <v>502.3659220541586</v>
      </c>
      <c r="E1336">
        <v>507.31973266601563</v>
      </c>
      <c r="F1336">
        <v>489946</v>
      </c>
      <c r="G1336">
        <v>0</v>
      </c>
      <c r="H1336">
        <v>0</v>
      </c>
      <c r="N1336">
        <v>512.04999999999995</v>
      </c>
    </row>
    <row r="1337" spans="1:14" x14ac:dyDescent="0.25">
      <c r="A1337" s="1">
        <v>45076</v>
      </c>
      <c r="B1337">
        <v>505.28868090204833</v>
      </c>
      <c r="C1337">
        <v>511.97632520810487</v>
      </c>
      <c r="D1337">
        <v>500.08717977511549</v>
      </c>
      <c r="E1337">
        <v>501.07794189453125</v>
      </c>
      <c r="F1337">
        <v>468836</v>
      </c>
      <c r="G1337">
        <v>0</v>
      </c>
      <c r="H1337">
        <v>0</v>
      </c>
      <c r="N1337">
        <v>505.75</v>
      </c>
    </row>
    <row r="1338" spans="1:14" x14ac:dyDescent="0.25">
      <c r="A1338" s="1">
        <v>45077</v>
      </c>
      <c r="B1338">
        <v>502.31638399680764</v>
      </c>
      <c r="C1338">
        <v>505.88313359894653</v>
      </c>
      <c r="D1338">
        <v>494.24167894024339</v>
      </c>
      <c r="E1338">
        <v>497.6597900390625</v>
      </c>
      <c r="F1338">
        <v>1103206</v>
      </c>
      <c r="G1338">
        <v>0</v>
      </c>
      <c r="H1338">
        <v>0</v>
      </c>
      <c r="N1338">
        <v>502.3</v>
      </c>
    </row>
    <row r="1339" spans="1:14" x14ac:dyDescent="0.25">
      <c r="A1339" s="1">
        <v>45078</v>
      </c>
      <c r="B1339">
        <v>497.65979197742513</v>
      </c>
      <c r="C1339">
        <v>509.64804970012824</v>
      </c>
      <c r="D1339">
        <v>496.17364882371709</v>
      </c>
      <c r="E1339">
        <v>508.65728759765625</v>
      </c>
      <c r="F1339">
        <v>888694</v>
      </c>
      <c r="G1339">
        <v>0</v>
      </c>
      <c r="H1339">
        <v>0</v>
      </c>
      <c r="N1339">
        <v>513.4</v>
      </c>
    </row>
    <row r="1340" spans="1:14" x14ac:dyDescent="0.25">
      <c r="A1340" s="1">
        <v>45079</v>
      </c>
      <c r="B1340">
        <v>508.75635313527465</v>
      </c>
      <c r="C1340">
        <v>516.03843059337567</v>
      </c>
      <c r="D1340">
        <v>508.65730111092387</v>
      </c>
      <c r="E1340">
        <v>513.21478271484375</v>
      </c>
      <c r="F1340">
        <v>1418223</v>
      </c>
      <c r="G1340">
        <v>0</v>
      </c>
      <c r="H1340">
        <v>0</v>
      </c>
      <c r="N1340">
        <v>518</v>
      </c>
    </row>
    <row r="1341" spans="1:14" x14ac:dyDescent="0.25">
      <c r="A1341" s="1">
        <v>45082</v>
      </c>
      <c r="B1341">
        <v>518.56491049963245</v>
      </c>
      <c r="C1341">
        <v>518.76301454378824</v>
      </c>
      <c r="D1341">
        <v>503.30714987780107</v>
      </c>
      <c r="E1341">
        <v>505.38775634765625</v>
      </c>
      <c r="F1341">
        <v>914296</v>
      </c>
      <c r="G1341">
        <v>0</v>
      </c>
      <c r="H1341">
        <v>0</v>
      </c>
      <c r="N1341">
        <v>510.1</v>
      </c>
    </row>
    <row r="1342" spans="1:14" x14ac:dyDescent="0.25">
      <c r="A1342" s="1">
        <v>45083</v>
      </c>
      <c r="B1342">
        <v>506.52714143163877</v>
      </c>
      <c r="C1342">
        <v>511.97633317320162</v>
      </c>
      <c r="D1342">
        <v>504.74378168320982</v>
      </c>
      <c r="E1342">
        <v>510.6883544921875</v>
      </c>
      <c r="F1342">
        <v>835026</v>
      </c>
      <c r="G1342">
        <v>0</v>
      </c>
      <c r="H1342">
        <v>0</v>
      </c>
      <c r="N1342">
        <v>515.45000000000005</v>
      </c>
    </row>
    <row r="1343" spans="1:14" x14ac:dyDescent="0.25">
      <c r="A1343" s="1">
        <v>45084</v>
      </c>
      <c r="B1343">
        <v>510.68835576522287</v>
      </c>
      <c r="C1343">
        <v>513.95785872404645</v>
      </c>
      <c r="D1343">
        <v>508.0132859002502</v>
      </c>
      <c r="E1343">
        <v>510.341552734375</v>
      </c>
      <c r="F1343">
        <v>831746</v>
      </c>
      <c r="G1343">
        <v>0</v>
      </c>
      <c r="H1343">
        <v>0</v>
      </c>
      <c r="N1343">
        <v>515.1</v>
      </c>
    </row>
    <row r="1344" spans="1:14" x14ac:dyDescent="0.25">
      <c r="A1344" s="1">
        <v>45085</v>
      </c>
      <c r="B1344">
        <v>514.10647230662323</v>
      </c>
      <c r="C1344">
        <v>515.69166746091491</v>
      </c>
      <c r="D1344">
        <v>505.58588205617792</v>
      </c>
      <c r="E1344">
        <v>508.21142578125</v>
      </c>
      <c r="F1344">
        <v>1002681</v>
      </c>
      <c r="G1344">
        <v>0</v>
      </c>
      <c r="H1344">
        <v>0</v>
      </c>
      <c r="N1344">
        <v>512.95000000000005</v>
      </c>
    </row>
    <row r="1345" spans="1:14" x14ac:dyDescent="0.25">
      <c r="A1345" s="1">
        <v>45086</v>
      </c>
      <c r="B1345">
        <v>508.26098001725217</v>
      </c>
      <c r="C1345">
        <v>511.92681204536422</v>
      </c>
      <c r="D1345">
        <v>501.32564500727017</v>
      </c>
      <c r="E1345">
        <v>503.05947875976563</v>
      </c>
      <c r="F1345">
        <v>648256</v>
      </c>
      <c r="G1345">
        <v>0</v>
      </c>
      <c r="H1345">
        <v>0</v>
      </c>
      <c r="N1345">
        <v>507.75</v>
      </c>
    </row>
    <row r="1346" spans="1:14" x14ac:dyDescent="0.25">
      <c r="A1346" s="1">
        <v>45089</v>
      </c>
      <c r="B1346">
        <v>506.27942786123242</v>
      </c>
      <c r="C1346">
        <v>508.21142603050481</v>
      </c>
      <c r="D1346">
        <v>499.34409323299633</v>
      </c>
      <c r="E1346">
        <v>505.28866577148438</v>
      </c>
      <c r="F1346">
        <v>756873</v>
      </c>
      <c r="G1346">
        <v>0</v>
      </c>
      <c r="H1346">
        <v>0</v>
      </c>
      <c r="N1346">
        <v>510</v>
      </c>
    </row>
    <row r="1347" spans="1:14" x14ac:dyDescent="0.25">
      <c r="A1347" s="1">
        <v>45090</v>
      </c>
      <c r="B1347">
        <v>506.18036736325968</v>
      </c>
      <c r="C1347">
        <v>514.30459870701725</v>
      </c>
      <c r="D1347">
        <v>503.80254429278574</v>
      </c>
      <c r="E1347">
        <v>512.8680419921875</v>
      </c>
      <c r="F1347">
        <v>1471514</v>
      </c>
      <c r="G1347">
        <v>0</v>
      </c>
      <c r="H1347">
        <v>0</v>
      </c>
      <c r="N1347">
        <v>517.65</v>
      </c>
    </row>
    <row r="1348" spans="1:14" x14ac:dyDescent="0.25">
      <c r="A1348" s="1">
        <v>45091</v>
      </c>
      <c r="B1348">
        <v>519.06029841163854</v>
      </c>
      <c r="C1348">
        <v>528.62111657865137</v>
      </c>
      <c r="D1348">
        <v>510.83692444563013</v>
      </c>
      <c r="E1348">
        <v>527.43218994140625</v>
      </c>
      <c r="F1348">
        <v>3017132</v>
      </c>
      <c r="G1348">
        <v>0</v>
      </c>
      <c r="H1348">
        <v>0</v>
      </c>
      <c r="N1348">
        <v>532.35</v>
      </c>
    </row>
    <row r="1349" spans="1:14" x14ac:dyDescent="0.25">
      <c r="A1349" s="1">
        <v>45092</v>
      </c>
      <c r="B1349">
        <v>530.05771859343179</v>
      </c>
      <c r="C1349">
        <v>544.91914995586444</v>
      </c>
      <c r="D1349">
        <v>528.1257204220517</v>
      </c>
      <c r="E1349">
        <v>544.0770263671875</v>
      </c>
      <c r="F1349">
        <v>2854217</v>
      </c>
      <c r="G1349">
        <v>0</v>
      </c>
      <c r="H1349">
        <v>0</v>
      </c>
      <c r="N1349">
        <v>549.15</v>
      </c>
    </row>
    <row r="1350" spans="1:14" x14ac:dyDescent="0.25">
      <c r="A1350" s="1">
        <v>45093</v>
      </c>
      <c r="B1350">
        <v>547.04934730802211</v>
      </c>
      <c r="C1350">
        <v>554.13326042358824</v>
      </c>
      <c r="D1350">
        <v>543.03671220881597</v>
      </c>
      <c r="E1350">
        <v>545.95947265625</v>
      </c>
      <c r="F1350">
        <v>1620321</v>
      </c>
      <c r="G1350">
        <v>0</v>
      </c>
      <c r="H1350">
        <v>0</v>
      </c>
      <c r="N1350">
        <v>551.04999999999995</v>
      </c>
    </row>
    <row r="1351" spans="1:14" x14ac:dyDescent="0.25">
      <c r="A1351" s="1">
        <v>45096</v>
      </c>
      <c r="B1351">
        <v>545.95942406824167</v>
      </c>
      <c r="C1351">
        <v>557.30366181183047</v>
      </c>
      <c r="D1351">
        <v>545.95942406824167</v>
      </c>
      <c r="E1351">
        <v>549.03082275390625</v>
      </c>
      <c r="F1351">
        <v>918036</v>
      </c>
      <c r="G1351">
        <v>0</v>
      </c>
      <c r="H1351">
        <v>0</v>
      </c>
      <c r="N1351">
        <v>554.15</v>
      </c>
    </row>
    <row r="1352" spans="1:14" x14ac:dyDescent="0.25">
      <c r="A1352" s="1">
        <v>45097</v>
      </c>
      <c r="B1352">
        <v>551.5572886145369</v>
      </c>
      <c r="C1352">
        <v>552.59757675441369</v>
      </c>
      <c r="D1352">
        <v>548.23819920377048</v>
      </c>
      <c r="E1352">
        <v>550.91326904296875</v>
      </c>
      <c r="F1352">
        <v>643193</v>
      </c>
      <c r="G1352">
        <v>0</v>
      </c>
      <c r="H1352">
        <v>0</v>
      </c>
      <c r="N1352">
        <v>556.04999999999995</v>
      </c>
    </row>
    <row r="1353" spans="1:14" x14ac:dyDescent="0.25">
      <c r="A1353" s="1">
        <v>45098</v>
      </c>
      <c r="B1353">
        <v>552.25083292345414</v>
      </c>
      <c r="C1353">
        <v>559.5824363691122</v>
      </c>
      <c r="D1353">
        <v>547.19790980078324</v>
      </c>
      <c r="E1353">
        <v>554.92584228515625</v>
      </c>
      <c r="F1353">
        <v>1124378</v>
      </c>
      <c r="G1353">
        <v>0</v>
      </c>
      <c r="H1353">
        <v>0</v>
      </c>
      <c r="N1353">
        <v>560.1</v>
      </c>
    </row>
    <row r="1354" spans="1:14" x14ac:dyDescent="0.25">
      <c r="A1354" s="1">
        <v>45099</v>
      </c>
      <c r="B1354">
        <v>555.61940417166454</v>
      </c>
      <c r="C1354">
        <v>557.45235044035689</v>
      </c>
      <c r="D1354">
        <v>542.83860866089469</v>
      </c>
      <c r="E1354">
        <v>547.79241943359375</v>
      </c>
      <c r="F1354">
        <v>484665</v>
      </c>
      <c r="G1354">
        <v>0</v>
      </c>
      <c r="H1354">
        <v>0</v>
      </c>
      <c r="N1354">
        <v>552.9</v>
      </c>
    </row>
    <row r="1355" spans="1:14" x14ac:dyDescent="0.25">
      <c r="A1355" s="1">
        <v>45100</v>
      </c>
      <c r="B1355">
        <v>546.99974165163474</v>
      </c>
      <c r="C1355">
        <v>556.11476523970339</v>
      </c>
      <c r="D1355">
        <v>542.83858912934579</v>
      </c>
      <c r="E1355">
        <v>551.95355224609375</v>
      </c>
      <c r="F1355">
        <v>1062160</v>
      </c>
      <c r="G1355">
        <v>0</v>
      </c>
      <c r="H1355">
        <v>0</v>
      </c>
      <c r="N1355">
        <v>557.1</v>
      </c>
    </row>
    <row r="1356" spans="1:14" x14ac:dyDescent="0.25">
      <c r="A1356" s="1">
        <v>45103</v>
      </c>
      <c r="B1356">
        <v>554.67817015401795</v>
      </c>
      <c r="C1356">
        <v>558.29447622046143</v>
      </c>
      <c r="D1356">
        <v>552.15173874453421</v>
      </c>
      <c r="E1356">
        <v>556.61016845703125</v>
      </c>
      <c r="F1356">
        <v>685429</v>
      </c>
      <c r="G1356">
        <v>0</v>
      </c>
      <c r="H1356">
        <v>0</v>
      </c>
      <c r="N1356">
        <v>561.79999999999995</v>
      </c>
    </row>
    <row r="1357" spans="1:14" x14ac:dyDescent="0.25">
      <c r="A1357" s="1">
        <v>45104</v>
      </c>
      <c r="B1357">
        <v>555.81757344030689</v>
      </c>
      <c r="C1357">
        <v>569.34150115372074</v>
      </c>
      <c r="D1357">
        <v>555.81757344030689</v>
      </c>
      <c r="E1357">
        <v>565.427978515625</v>
      </c>
      <c r="F1357">
        <v>1246943</v>
      </c>
      <c r="G1357">
        <v>0</v>
      </c>
      <c r="H1357">
        <v>0</v>
      </c>
      <c r="N1357">
        <v>570.70000000000005</v>
      </c>
    </row>
    <row r="1358" spans="1:14" x14ac:dyDescent="0.25">
      <c r="A1358" s="1">
        <v>45105</v>
      </c>
      <c r="B1358">
        <v>566.7159209381756</v>
      </c>
      <c r="C1358">
        <v>583.65792865182061</v>
      </c>
      <c r="D1358">
        <v>560.02827676626532</v>
      </c>
      <c r="E1358">
        <v>577.06939697265625</v>
      </c>
      <c r="F1358">
        <v>2442498</v>
      </c>
      <c r="G1358">
        <v>0</v>
      </c>
      <c r="H1358">
        <v>0</v>
      </c>
      <c r="N1358">
        <v>582.45000000000005</v>
      </c>
    </row>
    <row r="1359" spans="1:14" x14ac:dyDescent="0.25">
      <c r="A1359" s="1">
        <v>45107</v>
      </c>
      <c r="B1359">
        <v>582.5681027471735</v>
      </c>
      <c r="C1359">
        <v>582.5681027471735</v>
      </c>
      <c r="D1359">
        <v>572.66048195215353</v>
      </c>
      <c r="E1359">
        <v>577.663818359375</v>
      </c>
      <c r="F1359">
        <v>1567590</v>
      </c>
      <c r="G1359">
        <v>0</v>
      </c>
      <c r="H1359">
        <v>0</v>
      </c>
      <c r="N1359">
        <v>583.04999999999995</v>
      </c>
    </row>
    <row r="1360" spans="1:14" x14ac:dyDescent="0.25">
      <c r="A1360" s="1">
        <v>45110</v>
      </c>
      <c r="B1360">
        <v>581.52782760453738</v>
      </c>
      <c r="C1360">
        <v>588.80990486247094</v>
      </c>
      <c r="D1360">
        <v>572.16511365053748</v>
      </c>
      <c r="E1360">
        <v>573.05682373046875</v>
      </c>
      <c r="F1360">
        <v>1123850</v>
      </c>
      <c r="G1360">
        <v>0</v>
      </c>
      <c r="H1360">
        <v>0</v>
      </c>
      <c r="N1360">
        <v>578.4</v>
      </c>
    </row>
    <row r="1361" spans="1:14" x14ac:dyDescent="0.25">
      <c r="A1361" s="1">
        <v>45111</v>
      </c>
      <c r="B1361">
        <v>576.02912064066436</v>
      </c>
      <c r="C1361">
        <v>577.46567733731877</v>
      </c>
      <c r="D1361">
        <v>565.82422242966038</v>
      </c>
      <c r="E1361">
        <v>568.7965087890625</v>
      </c>
      <c r="F1361">
        <v>704262</v>
      </c>
      <c r="G1361">
        <v>0</v>
      </c>
      <c r="H1361">
        <v>0</v>
      </c>
      <c r="N1361">
        <v>574.1</v>
      </c>
    </row>
    <row r="1362" spans="1:14" x14ac:dyDescent="0.25">
      <c r="A1362" s="1">
        <v>45112</v>
      </c>
      <c r="B1362">
        <v>570.67896634615386</v>
      </c>
      <c r="C1362">
        <v>581.57734938401438</v>
      </c>
      <c r="D1362">
        <v>568.69744215745186</v>
      </c>
      <c r="E1362">
        <v>579.5958251953125</v>
      </c>
      <c r="F1362">
        <v>641465</v>
      </c>
      <c r="G1362">
        <v>0</v>
      </c>
      <c r="H1362">
        <v>0</v>
      </c>
      <c r="N1362">
        <v>585</v>
      </c>
    </row>
    <row r="1363" spans="1:14" x14ac:dyDescent="0.25">
      <c r="A1363" s="1">
        <v>45113</v>
      </c>
      <c r="B1363">
        <v>579.59583692684191</v>
      </c>
      <c r="C1363">
        <v>586.53117172767588</v>
      </c>
      <c r="D1363">
        <v>570.67897789719814</v>
      </c>
      <c r="E1363">
        <v>582.66717529296875</v>
      </c>
      <c r="F1363">
        <v>773658</v>
      </c>
      <c r="G1363">
        <v>0</v>
      </c>
      <c r="H1363">
        <v>0</v>
      </c>
      <c r="N1363">
        <v>588.1</v>
      </c>
    </row>
    <row r="1364" spans="1:14" x14ac:dyDescent="0.25">
      <c r="A1364" s="1">
        <v>45114</v>
      </c>
      <c r="B1364">
        <v>580.58657358643734</v>
      </c>
      <c r="C1364">
        <v>584.50009586101908</v>
      </c>
      <c r="D1364">
        <v>574.69152716992244</v>
      </c>
      <c r="E1364">
        <v>576.8712158203125</v>
      </c>
      <c r="F1364">
        <v>448177</v>
      </c>
      <c r="G1364">
        <v>0</v>
      </c>
      <c r="H1364">
        <v>0</v>
      </c>
      <c r="N1364">
        <v>582.25</v>
      </c>
    </row>
    <row r="1365" spans="1:14" x14ac:dyDescent="0.25">
      <c r="A1365" s="1">
        <v>45117</v>
      </c>
      <c r="B1365">
        <v>579.79401385773554</v>
      </c>
      <c r="C1365">
        <v>582.6671877682337</v>
      </c>
      <c r="D1365">
        <v>574.74109068329221</v>
      </c>
      <c r="E1365">
        <v>576.22723388671875</v>
      </c>
      <c r="F1365">
        <v>721120</v>
      </c>
      <c r="G1365">
        <v>0</v>
      </c>
      <c r="H1365">
        <v>0</v>
      </c>
      <c r="N1365">
        <v>581.6</v>
      </c>
    </row>
    <row r="1366" spans="1:14" x14ac:dyDescent="0.25">
      <c r="A1366" s="1">
        <v>45118</v>
      </c>
      <c r="B1366">
        <v>576.22722768374865</v>
      </c>
      <c r="C1366">
        <v>586.28348744054324</v>
      </c>
      <c r="D1366">
        <v>576.22722768374865</v>
      </c>
      <c r="E1366">
        <v>579.44720458984375</v>
      </c>
      <c r="F1366">
        <v>774090</v>
      </c>
      <c r="G1366">
        <v>0</v>
      </c>
      <c r="H1366">
        <v>0</v>
      </c>
      <c r="N1366">
        <v>584.85</v>
      </c>
    </row>
    <row r="1367" spans="1:14" x14ac:dyDescent="0.25">
      <c r="A1367" s="1">
        <v>45119</v>
      </c>
      <c r="B1367">
        <v>581.57737208589026</v>
      </c>
      <c r="C1367">
        <v>589.89979819183202</v>
      </c>
      <c r="D1367">
        <v>577.91154009943216</v>
      </c>
      <c r="E1367">
        <v>587.91827392578125</v>
      </c>
      <c r="F1367">
        <v>1073272</v>
      </c>
      <c r="G1367">
        <v>0</v>
      </c>
      <c r="H1367">
        <v>0</v>
      </c>
      <c r="N1367">
        <v>593.4</v>
      </c>
    </row>
    <row r="1368" spans="1:14" x14ac:dyDescent="0.25">
      <c r="A1368" s="1">
        <v>45120</v>
      </c>
      <c r="B1368">
        <v>588.51269839779229</v>
      </c>
      <c r="C1368">
        <v>591.48498475333668</v>
      </c>
      <c r="D1368">
        <v>583.41024929891285</v>
      </c>
      <c r="E1368">
        <v>585.98626708984375</v>
      </c>
      <c r="F1368">
        <v>729376</v>
      </c>
      <c r="G1368">
        <v>0</v>
      </c>
      <c r="H1368">
        <v>0</v>
      </c>
      <c r="N1368">
        <v>591.45000000000005</v>
      </c>
    </row>
    <row r="1369" spans="1:14" x14ac:dyDescent="0.25">
      <c r="A1369" s="1">
        <v>45121</v>
      </c>
      <c r="B1369">
        <v>585.63948060396376</v>
      </c>
      <c r="C1369">
        <v>592.37671157717966</v>
      </c>
      <c r="D1369">
        <v>583.65795631097615</v>
      </c>
      <c r="E1369">
        <v>589.8502197265625</v>
      </c>
      <c r="F1369">
        <v>954798</v>
      </c>
      <c r="G1369">
        <v>0</v>
      </c>
      <c r="H1369">
        <v>0</v>
      </c>
      <c r="N1369">
        <v>595.35</v>
      </c>
    </row>
    <row r="1370" spans="1:14" x14ac:dyDescent="0.25">
      <c r="A1370" s="1">
        <v>45124</v>
      </c>
      <c r="B1370">
        <v>588.21546360919172</v>
      </c>
      <c r="C1370">
        <v>600.40182519462076</v>
      </c>
      <c r="D1370">
        <v>587.52191805348195</v>
      </c>
      <c r="E1370">
        <v>597.47906494140625</v>
      </c>
      <c r="F1370">
        <v>929744</v>
      </c>
      <c r="G1370">
        <v>0</v>
      </c>
      <c r="H1370">
        <v>0</v>
      </c>
      <c r="N1370">
        <v>603.04999999999995</v>
      </c>
    </row>
    <row r="1371" spans="1:14" x14ac:dyDescent="0.25">
      <c r="A1371" s="1">
        <v>45125</v>
      </c>
      <c r="B1371">
        <v>597.47910443843159</v>
      </c>
      <c r="C1371">
        <v>600.20370035993881</v>
      </c>
      <c r="D1371">
        <v>589.20626464711154</v>
      </c>
      <c r="E1371">
        <v>596.48834228515625</v>
      </c>
      <c r="F1371">
        <v>602135</v>
      </c>
      <c r="G1371">
        <v>0</v>
      </c>
      <c r="H1371">
        <v>0</v>
      </c>
      <c r="N1371">
        <v>602.04999999999995</v>
      </c>
    </row>
    <row r="1372" spans="1:14" x14ac:dyDescent="0.25">
      <c r="A1372" s="1">
        <v>45126</v>
      </c>
      <c r="B1372">
        <v>597.38004484226303</v>
      </c>
      <c r="C1372">
        <v>603.17597917695468</v>
      </c>
      <c r="D1372">
        <v>589.80069027721515</v>
      </c>
      <c r="E1372">
        <v>601.88800048828125</v>
      </c>
      <c r="F1372">
        <v>599435</v>
      </c>
      <c r="G1372">
        <v>0</v>
      </c>
      <c r="H1372">
        <v>0</v>
      </c>
      <c r="N1372">
        <v>607.5</v>
      </c>
    </row>
    <row r="1373" spans="1:14" x14ac:dyDescent="0.25">
      <c r="A1373" s="1">
        <v>45127</v>
      </c>
      <c r="B1373">
        <v>603.22551100692931</v>
      </c>
      <c r="C1373">
        <v>613.18271899425974</v>
      </c>
      <c r="D1373">
        <v>600.00553401853267</v>
      </c>
      <c r="E1373">
        <v>611.84515380859375</v>
      </c>
      <c r="F1373">
        <v>1260480</v>
      </c>
      <c r="G1373">
        <v>0</v>
      </c>
      <c r="H1373">
        <v>0</v>
      </c>
      <c r="N1373">
        <v>617.54999999999995</v>
      </c>
    </row>
    <row r="1374" spans="1:14" x14ac:dyDescent="0.25">
      <c r="A1374" s="1">
        <v>45128</v>
      </c>
      <c r="B1374">
        <v>611.30022328793757</v>
      </c>
      <c r="C1374">
        <v>612.78636645638471</v>
      </c>
      <c r="D1374">
        <v>605.70239316492507</v>
      </c>
      <c r="E1374">
        <v>607.53533935546875</v>
      </c>
      <c r="F1374">
        <v>382346</v>
      </c>
      <c r="G1374">
        <v>0</v>
      </c>
      <c r="H1374">
        <v>0</v>
      </c>
      <c r="N1374">
        <v>613.20000000000005</v>
      </c>
    </row>
    <row r="1375" spans="1:14" x14ac:dyDescent="0.25">
      <c r="A1375" s="1">
        <v>45131</v>
      </c>
      <c r="B1375">
        <v>607.53532767476554</v>
      </c>
      <c r="C1375">
        <v>610.80483048822452</v>
      </c>
      <c r="D1375">
        <v>606.09871054529015</v>
      </c>
      <c r="E1375">
        <v>608.1297607421875</v>
      </c>
      <c r="F1375">
        <v>476304</v>
      </c>
      <c r="G1375">
        <v>0</v>
      </c>
      <c r="H1375">
        <v>0</v>
      </c>
      <c r="N1375">
        <v>613.79999999999995</v>
      </c>
    </row>
    <row r="1376" spans="1:14" x14ac:dyDescent="0.25">
      <c r="A1376" s="1">
        <v>45132</v>
      </c>
      <c r="B1376">
        <v>609.26917733947676</v>
      </c>
      <c r="C1376">
        <v>618.23556242460802</v>
      </c>
      <c r="D1376">
        <v>607.33717911263568</v>
      </c>
      <c r="E1376">
        <v>616.00634765625</v>
      </c>
      <c r="F1376">
        <v>743777</v>
      </c>
      <c r="G1376">
        <v>0</v>
      </c>
      <c r="H1376">
        <v>0</v>
      </c>
      <c r="N1376">
        <v>621.75</v>
      </c>
    </row>
    <row r="1377" spans="1:14" x14ac:dyDescent="0.25">
      <c r="A1377" s="1">
        <v>45133</v>
      </c>
      <c r="B1377">
        <v>617.24482188613388</v>
      </c>
      <c r="C1377">
        <v>619.3253982208164</v>
      </c>
      <c r="D1377">
        <v>613.18272124363068</v>
      </c>
      <c r="E1377">
        <v>616.99713134765625</v>
      </c>
      <c r="F1377">
        <v>670959</v>
      </c>
      <c r="G1377">
        <v>0</v>
      </c>
      <c r="H1377">
        <v>0</v>
      </c>
      <c r="N1377">
        <v>622.75</v>
      </c>
    </row>
    <row r="1378" spans="1:14" x14ac:dyDescent="0.25">
      <c r="A1378" s="1">
        <v>45134</v>
      </c>
      <c r="B1378">
        <v>619.22632794457274</v>
      </c>
      <c r="C1378">
        <v>650.63349939218574</v>
      </c>
      <c r="D1378">
        <v>617.74018475750574</v>
      </c>
      <c r="E1378">
        <v>643.5</v>
      </c>
      <c r="F1378">
        <v>2686026</v>
      </c>
      <c r="G1378">
        <v>0</v>
      </c>
      <c r="H1378">
        <v>0</v>
      </c>
      <c r="N1378">
        <v>649.5</v>
      </c>
    </row>
    <row r="1379" spans="1:14" x14ac:dyDescent="0.25">
      <c r="A1379" s="1">
        <v>45135</v>
      </c>
      <c r="B1379">
        <v>645.20001220703125</v>
      </c>
      <c r="C1379">
        <v>646.75</v>
      </c>
      <c r="D1379">
        <v>637.79998779296875</v>
      </c>
      <c r="E1379">
        <v>640.5</v>
      </c>
      <c r="F1379">
        <v>570657</v>
      </c>
      <c r="G1379">
        <v>6</v>
      </c>
      <c r="H1379">
        <v>0</v>
      </c>
      <c r="N1379">
        <v>640.5</v>
      </c>
    </row>
    <row r="1380" spans="1:14" x14ac:dyDescent="0.25">
      <c r="A1380" s="1">
        <v>45138</v>
      </c>
      <c r="B1380">
        <v>640</v>
      </c>
      <c r="C1380">
        <v>643.95001220703125</v>
      </c>
      <c r="D1380">
        <v>626.8499755859375</v>
      </c>
      <c r="E1380">
        <v>632.25</v>
      </c>
      <c r="F1380">
        <v>833188</v>
      </c>
      <c r="G1380">
        <v>0</v>
      </c>
      <c r="H1380">
        <v>0</v>
      </c>
      <c r="N1380">
        <v>632.25</v>
      </c>
    </row>
    <row r="1381" spans="1:14" x14ac:dyDescent="0.25">
      <c r="A1381" s="1">
        <v>45139</v>
      </c>
      <c r="B1381">
        <v>635</v>
      </c>
      <c r="C1381">
        <v>641.9000244140625</v>
      </c>
      <c r="D1381">
        <v>629.29998779296875</v>
      </c>
      <c r="E1381">
        <v>633.9000244140625</v>
      </c>
      <c r="F1381">
        <v>1159496</v>
      </c>
      <c r="G1381">
        <v>0</v>
      </c>
      <c r="H1381">
        <v>0</v>
      </c>
      <c r="N1381">
        <v>633.9</v>
      </c>
    </row>
    <row r="1382" spans="1:14" x14ac:dyDescent="0.25">
      <c r="A1382" s="1">
        <v>45140</v>
      </c>
      <c r="B1382">
        <v>633.95001220703125</v>
      </c>
      <c r="C1382">
        <v>635</v>
      </c>
      <c r="D1382">
        <v>622</v>
      </c>
      <c r="E1382">
        <v>628.5999755859375</v>
      </c>
      <c r="F1382">
        <v>855457</v>
      </c>
      <c r="G1382">
        <v>0</v>
      </c>
      <c r="H1382">
        <v>0</v>
      </c>
      <c r="N1382">
        <v>628.6</v>
      </c>
    </row>
    <row r="1383" spans="1:14" x14ac:dyDescent="0.25">
      <c r="A1383" s="1">
        <v>45141</v>
      </c>
      <c r="B1383">
        <v>625.04998779296875</v>
      </c>
      <c r="C1383">
        <v>651.3499755859375</v>
      </c>
      <c r="D1383">
        <v>625.04998779296875</v>
      </c>
      <c r="E1383">
        <v>640</v>
      </c>
      <c r="F1383">
        <v>1434513</v>
      </c>
      <c r="G1383">
        <v>0</v>
      </c>
      <c r="H1383">
        <v>0</v>
      </c>
      <c r="N1383">
        <v>640</v>
      </c>
    </row>
    <row r="1384" spans="1:14" x14ac:dyDescent="0.25">
      <c r="A1384" s="1">
        <v>45142</v>
      </c>
      <c r="B1384">
        <v>648.4000244140625</v>
      </c>
      <c r="C1384">
        <v>655.5999755859375</v>
      </c>
      <c r="D1384">
        <v>642.45001220703125</v>
      </c>
      <c r="E1384">
        <v>649.75</v>
      </c>
      <c r="F1384">
        <v>1324483</v>
      </c>
      <c r="G1384">
        <v>0</v>
      </c>
      <c r="H1384">
        <v>0</v>
      </c>
      <c r="N1384">
        <v>649.75</v>
      </c>
    </row>
    <row r="1385" spans="1:14" x14ac:dyDescent="0.25">
      <c r="A1385" s="1">
        <v>45145</v>
      </c>
      <c r="B1385">
        <v>650</v>
      </c>
      <c r="C1385">
        <v>665</v>
      </c>
      <c r="D1385">
        <v>649.45001220703125</v>
      </c>
      <c r="E1385">
        <v>655.20001220703125</v>
      </c>
      <c r="F1385">
        <v>1163676</v>
      </c>
      <c r="G1385">
        <v>0</v>
      </c>
      <c r="H1385">
        <v>0</v>
      </c>
      <c r="N1385">
        <v>655.20000000000005</v>
      </c>
    </row>
    <row r="1386" spans="1:14" x14ac:dyDescent="0.25">
      <c r="A1386" s="1">
        <v>45146</v>
      </c>
      <c r="B1386">
        <v>658.75</v>
      </c>
      <c r="C1386">
        <v>663.29998779296875</v>
      </c>
      <c r="D1386">
        <v>649.6500244140625</v>
      </c>
      <c r="E1386">
        <v>655.3499755859375</v>
      </c>
      <c r="F1386">
        <v>1214653</v>
      </c>
      <c r="G1386">
        <v>0</v>
      </c>
      <c r="H1386">
        <v>0</v>
      </c>
      <c r="N1386">
        <v>655.35</v>
      </c>
    </row>
    <row r="1387" spans="1:14" x14ac:dyDescent="0.25">
      <c r="A1387" s="1">
        <v>45147</v>
      </c>
      <c r="B1387">
        <v>657.5</v>
      </c>
      <c r="C1387">
        <v>664.75</v>
      </c>
      <c r="D1387">
        <v>654.5999755859375</v>
      </c>
      <c r="E1387">
        <v>661.54998779296875</v>
      </c>
      <c r="F1387">
        <v>1444623</v>
      </c>
      <c r="G1387">
        <v>0</v>
      </c>
      <c r="H1387">
        <v>0</v>
      </c>
      <c r="N1387">
        <v>661.55</v>
      </c>
    </row>
    <row r="1388" spans="1:14" x14ac:dyDescent="0.25">
      <c r="A1388" s="1">
        <v>45148</v>
      </c>
      <c r="B1388">
        <v>661.54998779296875</v>
      </c>
      <c r="C1388">
        <v>668.75</v>
      </c>
      <c r="D1388">
        <v>653.25</v>
      </c>
      <c r="E1388">
        <v>657.8499755859375</v>
      </c>
      <c r="F1388">
        <v>1305954</v>
      </c>
      <c r="G1388">
        <v>0</v>
      </c>
      <c r="H1388">
        <v>0</v>
      </c>
      <c r="N1388">
        <v>657.85</v>
      </c>
    </row>
    <row r="1389" spans="1:14" x14ac:dyDescent="0.25">
      <c r="A1389" s="1">
        <v>45149</v>
      </c>
      <c r="B1389">
        <v>661.79998779296875</v>
      </c>
      <c r="C1389">
        <v>666.5999755859375</v>
      </c>
      <c r="D1389">
        <v>644.95001220703125</v>
      </c>
      <c r="E1389">
        <v>650.95001220703125</v>
      </c>
      <c r="F1389">
        <v>3093437</v>
      </c>
      <c r="G1389">
        <v>0</v>
      </c>
      <c r="H1389">
        <v>0</v>
      </c>
      <c r="N1389">
        <v>650.95000000000005</v>
      </c>
    </row>
    <row r="1390" spans="1:14" x14ac:dyDescent="0.25">
      <c r="A1390" s="1">
        <v>45152</v>
      </c>
      <c r="B1390">
        <v>656.9000244140625</v>
      </c>
      <c r="C1390">
        <v>657.0999755859375</v>
      </c>
      <c r="D1390">
        <v>636.5999755859375</v>
      </c>
      <c r="E1390">
        <v>641.6500244140625</v>
      </c>
      <c r="F1390">
        <v>1309342</v>
      </c>
      <c r="G1390">
        <v>0</v>
      </c>
      <c r="H1390">
        <v>0</v>
      </c>
      <c r="N1390">
        <v>641.65</v>
      </c>
    </row>
    <row r="1391" spans="1:14" x14ac:dyDescent="0.25">
      <c r="A1391" s="1">
        <v>45154</v>
      </c>
      <c r="B1391">
        <v>640</v>
      </c>
      <c r="C1391">
        <v>659.79998779296875</v>
      </c>
      <c r="D1391">
        <v>637.5999755859375</v>
      </c>
      <c r="E1391">
        <v>657.4000244140625</v>
      </c>
      <c r="F1391">
        <v>1810847</v>
      </c>
      <c r="G1391">
        <v>0</v>
      </c>
      <c r="H1391">
        <v>0</v>
      </c>
      <c r="N1391">
        <v>657.4</v>
      </c>
    </row>
    <row r="1392" spans="1:14" x14ac:dyDescent="0.25">
      <c r="A1392" s="1">
        <v>45155</v>
      </c>
      <c r="B1392">
        <v>658</v>
      </c>
      <c r="C1392">
        <v>659.6500244140625</v>
      </c>
      <c r="D1392">
        <v>643</v>
      </c>
      <c r="E1392">
        <v>644.8499755859375</v>
      </c>
      <c r="F1392">
        <v>816030</v>
      </c>
      <c r="G1392">
        <v>0</v>
      </c>
      <c r="H1392">
        <v>0</v>
      </c>
      <c r="N1392">
        <v>644.85</v>
      </c>
    </row>
    <row r="1393" spans="1:14" x14ac:dyDescent="0.25">
      <c r="A1393" s="1">
        <v>45156</v>
      </c>
      <c r="B1393">
        <v>650.9000244140625</v>
      </c>
      <c r="C1393">
        <v>659</v>
      </c>
      <c r="D1393">
        <v>643.8499755859375</v>
      </c>
      <c r="E1393">
        <v>647.8499755859375</v>
      </c>
      <c r="F1393">
        <v>2031459</v>
      </c>
      <c r="G1393">
        <v>0</v>
      </c>
      <c r="H1393">
        <v>0</v>
      </c>
      <c r="N1393">
        <v>647.85</v>
      </c>
    </row>
    <row r="1394" spans="1:14" x14ac:dyDescent="0.25">
      <c r="A1394" s="1">
        <v>45159</v>
      </c>
      <c r="B1394">
        <v>649.95001220703125</v>
      </c>
      <c r="C1394">
        <v>656.70001220703125</v>
      </c>
      <c r="D1394">
        <v>645.0999755859375</v>
      </c>
      <c r="E1394">
        <v>653.0999755859375</v>
      </c>
      <c r="F1394">
        <v>1328521</v>
      </c>
      <c r="G1394">
        <v>0</v>
      </c>
      <c r="H1394">
        <v>0</v>
      </c>
      <c r="N1394">
        <v>653.1</v>
      </c>
    </row>
    <row r="1395" spans="1:14" x14ac:dyDescent="0.25">
      <c r="A1395" s="1">
        <v>45160</v>
      </c>
      <c r="B1395">
        <v>653.45001220703125</v>
      </c>
      <c r="C1395">
        <v>660.8499755859375</v>
      </c>
      <c r="D1395">
        <v>647.79998779296875</v>
      </c>
      <c r="E1395">
        <v>650.9000244140625</v>
      </c>
      <c r="F1395">
        <v>899216</v>
      </c>
      <c r="G1395">
        <v>0</v>
      </c>
      <c r="H1395">
        <v>0</v>
      </c>
      <c r="N1395">
        <v>650.9</v>
      </c>
    </row>
    <row r="1396" spans="1:14" x14ac:dyDescent="0.25">
      <c r="A1396" s="1">
        <v>45161</v>
      </c>
      <c r="B1396">
        <v>652.9000244140625</v>
      </c>
      <c r="C1396">
        <v>656.45001220703125</v>
      </c>
      <c r="D1396">
        <v>641.8499755859375</v>
      </c>
      <c r="E1396">
        <v>645.3499755859375</v>
      </c>
      <c r="F1396">
        <v>730040</v>
      </c>
      <c r="G1396">
        <v>0</v>
      </c>
      <c r="H1396">
        <v>0</v>
      </c>
      <c r="N1396">
        <v>645.35</v>
      </c>
    </row>
    <row r="1397" spans="1:14" x14ac:dyDescent="0.25">
      <c r="A1397" s="1">
        <v>45162</v>
      </c>
      <c r="B1397">
        <v>648.0999755859375</v>
      </c>
      <c r="C1397">
        <v>652.5</v>
      </c>
      <c r="D1397">
        <v>639</v>
      </c>
      <c r="E1397">
        <v>640.8499755859375</v>
      </c>
      <c r="F1397">
        <v>840328</v>
      </c>
      <c r="G1397">
        <v>0</v>
      </c>
      <c r="H1397">
        <v>0</v>
      </c>
      <c r="N1397">
        <v>640.85</v>
      </c>
    </row>
    <row r="1398" spans="1:14" x14ac:dyDescent="0.25">
      <c r="A1398" s="1">
        <v>45163</v>
      </c>
      <c r="B1398">
        <v>640.8499755859375</v>
      </c>
      <c r="C1398">
        <v>644.20001220703125</v>
      </c>
      <c r="D1398">
        <v>627.5</v>
      </c>
      <c r="E1398">
        <v>629.29998779296875</v>
      </c>
      <c r="F1398">
        <v>801024</v>
      </c>
      <c r="G1398">
        <v>0</v>
      </c>
      <c r="H1398">
        <v>0</v>
      </c>
      <c r="N1398">
        <v>629.29999999999995</v>
      </c>
    </row>
    <row r="1399" spans="1:14" x14ac:dyDescent="0.25">
      <c r="A1399" s="1">
        <v>45166</v>
      </c>
      <c r="B1399">
        <v>630.95001220703125</v>
      </c>
      <c r="C1399">
        <v>639.25</v>
      </c>
      <c r="D1399">
        <v>627</v>
      </c>
      <c r="E1399">
        <v>634.29998779296875</v>
      </c>
      <c r="F1399">
        <v>1129082</v>
      </c>
      <c r="G1399">
        <v>0</v>
      </c>
      <c r="H1399">
        <v>0</v>
      </c>
      <c r="N1399">
        <v>634.29999999999995</v>
      </c>
    </row>
    <row r="1400" spans="1:14" x14ac:dyDescent="0.25">
      <c r="A1400" s="1">
        <v>45167</v>
      </c>
      <c r="B1400">
        <v>636</v>
      </c>
      <c r="C1400">
        <v>641</v>
      </c>
      <c r="D1400">
        <v>629.5</v>
      </c>
      <c r="E1400">
        <v>631.95001220703125</v>
      </c>
      <c r="F1400">
        <v>1042536</v>
      </c>
      <c r="G1400">
        <v>0</v>
      </c>
      <c r="H1400">
        <v>0</v>
      </c>
      <c r="N1400">
        <v>631.95000000000005</v>
      </c>
    </row>
    <row r="1401" spans="1:14" x14ac:dyDescent="0.25">
      <c r="A1401" s="1">
        <v>45168</v>
      </c>
      <c r="B1401">
        <v>633.54998779296875</v>
      </c>
      <c r="C1401">
        <v>637.79998779296875</v>
      </c>
      <c r="D1401">
        <v>624.79998779296875</v>
      </c>
      <c r="E1401">
        <v>628.0999755859375</v>
      </c>
      <c r="F1401">
        <v>609277</v>
      </c>
      <c r="G1401">
        <v>0</v>
      </c>
      <c r="H1401">
        <v>0</v>
      </c>
      <c r="N1401">
        <v>628.1</v>
      </c>
    </row>
    <row r="1402" spans="1:14" x14ac:dyDescent="0.25">
      <c r="A1402" s="1">
        <v>45169</v>
      </c>
      <c r="B1402">
        <v>632.0999755859375</v>
      </c>
      <c r="C1402">
        <v>633.9000244140625</v>
      </c>
      <c r="D1402">
        <v>622</v>
      </c>
      <c r="E1402">
        <v>625.8499755859375</v>
      </c>
      <c r="F1402">
        <v>1094063</v>
      </c>
      <c r="G1402">
        <v>0</v>
      </c>
      <c r="H1402">
        <v>0</v>
      </c>
      <c r="N1402">
        <v>625.85</v>
      </c>
    </row>
    <row r="1403" spans="1:14" x14ac:dyDescent="0.25">
      <c r="A1403" s="1">
        <v>45170</v>
      </c>
      <c r="B1403">
        <v>625.8499755859375</v>
      </c>
      <c r="C1403">
        <v>629.0999755859375</v>
      </c>
      <c r="D1403">
        <v>612.5999755859375</v>
      </c>
      <c r="E1403">
        <v>613.95001220703125</v>
      </c>
      <c r="F1403">
        <v>1008229</v>
      </c>
      <c r="G1403">
        <v>0</v>
      </c>
      <c r="H1403">
        <v>0</v>
      </c>
      <c r="N1403">
        <v>613.95000000000005</v>
      </c>
    </row>
    <row r="1404" spans="1:14" x14ac:dyDescent="0.25">
      <c r="A1404" s="1">
        <v>45173</v>
      </c>
      <c r="B1404">
        <v>615.95001220703125</v>
      </c>
      <c r="C1404">
        <v>625.54998779296875</v>
      </c>
      <c r="D1404">
        <v>615.04998779296875</v>
      </c>
      <c r="E1404">
        <v>620.5</v>
      </c>
      <c r="F1404">
        <v>1201335</v>
      </c>
      <c r="G1404">
        <v>0</v>
      </c>
      <c r="H1404">
        <v>0</v>
      </c>
      <c r="N1404">
        <v>620.5</v>
      </c>
    </row>
    <row r="1405" spans="1:14" x14ac:dyDescent="0.25">
      <c r="A1405" s="1">
        <v>45174</v>
      </c>
      <c r="B1405">
        <v>623.79998779296875</v>
      </c>
      <c r="C1405">
        <v>636.29998779296875</v>
      </c>
      <c r="D1405">
        <v>622.8499755859375</v>
      </c>
      <c r="E1405">
        <v>634.04998779296875</v>
      </c>
      <c r="F1405">
        <v>1144729</v>
      </c>
      <c r="G1405">
        <v>0</v>
      </c>
      <c r="H1405">
        <v>0</v>
      </c>
      <c r="N1405">
        <v>634.04999999999995</v>
      </c>
    </row>
    <row r="1406" spans="1:14" x14ac:dyDescent="0.25">
      <c r="A1406" s="1">
        <v>45175</v>
      </c>
      <c r="B1406">
        <v>638</v>
      </c>
      <c r="C1406">
        <v>643.95001220703125</v>
      </c>
      <c r="D1406">
        <v>634.4000244140625</v>
      </c>
      <c r="E1406">
        <v>636.4000244140625</v>
      </c>
      <c r="F1406">
        <v>943628</v>
      </c>
      <c r="G1406">
        <v>0</v>
      </c>
      <c r="H1406">
        <v>0</v>
      </c>
      <c r="N1406">
        <v>636.4</v>
      </c>
    </row>
    <row r="1407" spans="1:14" x14ac:dyDescent="0.25">
      <c r="A1407" s="1">
        <v>45176</v>
      </c>
      <c r="B1407">
        <v>639.75</v>
      </c>
      <c r="C1407">
        <v>643.70001220703125</v>
      </c>
      <c r="D1407">
        <v>631.25</v>
      </c>
      <c r="E1407">
        <v>633</v>
      </c>
      <c r="F1407">
        <v>990927</v>
      </c>
      <c r="G1407">
        <v>0</v>
      </c>
      <c r="H1407">
        <v>0</v>
      </c>
      <c r="N1407">
        <v>633</v>
      </c>
    </row>
    <row r="1408" spans="1:14" x14ac:dyDescent="0.25">
      <c r="A1408" s="1">
        <v>45177</v>
      </c>
      <c r="B1408">
        <v>635.70001220703125</v>
      </c>
      <c r="C1408">
        <v>635.75</v>
      </c>
      <c r="D1408">
        <v>622.29998779296875</v>
      </c>
      <c r="E1408">
        <v>628.1500244140625</v>
      </c>
      <c r="F1408">
        <v>544572</v>
      </c>
      <c r="G1408">
        <v>0</v>
      </c>
      <c r="H1408">
        <v>0</v>
      </c>
      <c r="N1408">
        <v>628.15</v>
      </c>
    </row>
    <row r="1409" spans="1:14" x14ac:dyDescent="0.25">
      <c r="A1409" s="1">
        <v>45180</v>
      </c>
      <c r="B1409">
        <v>632</v>
      </c>
      <c r="C1409">
        <v>634.9000244140625</v>
      </c>
      <c r="D1409">
        <v>626.4000244140625</v>
      </c>
      <c r="E1409">
        <v>628.54998779296875</v>
      </c>
      <c r="F1409">
        <v>701381</v>
      </c>
      <c r="G1409">
        <v>0</v>
      </c>
      <c r="H1409">
        <v>0</v>
      </c>
      <c r="N1409">
        <v>628.54999999999995</v>
      </c>
    </row>
    <row r="1410" spans="1:14" x14ac:dyDescent="0.25">
      <c r="A1410" s="1">
        <v>45181</v>
      </c>
      <c r="B1410">
        <v>629.75</v>
      </c>
      <c r="C1410">
        <v>643</v>
      </c>
      <c r="D1410">
        <v>623.79998779296875</v>
      </c>
      <c r="E1410">
        <v>627.75</v>
      </c>
      <c r="F1410">
        <v>879018</v>
      </c>
      <c r="G1410">
        <v>0</v>
      </c>
      <c r="H1410">
        <v>0</v>
      </c>
      <c r="N1410">
        <v>627.75</v>
      </c>
    </row>
    <row r="1411" spans="1:14" x14ac:dyDescent="0.25">
      <c r="A1411" s="1">
        <v>45182</v>
      </c>
      <c r="B1411">
        <v>625.1500244140625</v>
      </c>
      <c r="C1411">
        <v>644.45001220703125</v>
      </c>
      <c r="D1411">
        <v>625.1500244140625</v>
      </c>
      <c r="E1411">
        <v>643.25</v>
      </c>
      <c r="F1411">
        <v>1167179</v>
      </c>
      <c r="G1411">
        <v>0</v>
      </c>
      <c r="H1411">
        <v>0</v>
      </c>
      <c r="N1411">
        <v>643.25</v>
      </c>
    </row>
    <row r="1412" spans="1:14" x14ac:dyDescent="0.25">
      <c r="A1412" s="1">
        <v>45183</v>
      </c>
      <c r="B1412">
        <v>648.29998779296875</v>
      </c>
      <c r="C1412">
        <v>648.5</v>
      </c>
      <c r="D1412">
        <v>637.25</v>
      </c>
      <c r="E1412">
        <v>639.9000244140625</v>
      </c>
      <c r="F1412">
        <v>780283</v>
      </c>
      <c r="G1412">
        <v>0</v>
      </c>
      <c r="H1412">
        <v>0</v>
      </c>
      <c r="N1412">
        <v>639.9</v>
      </c>
    </row>
    <row r="1413" spans="1:14" x14ac:dyDescent="0.25">
      <c r="A1413" s="1">
        <v>45184</v>
      </c>
      <c r="B1413">
        <v>642.95001220703125</v>
      </c>
      <c r="C1413">
        <v>648.95001220703125</v>
      </c>
      <c r="D1413">
        <v>640.3499755859375</v>
      </c>
      <c r="E1413">
        <v>645.3499755859375</v>
      </c>
      <c r="F1413">
        <v>1436938</v>
      </c>
      <c r="G1413">
        <v>0</v>
      </c>
      <c r="H1413">
        <v>0</v>
      </c>
      <c r="N1413">
        <v>645.35</v>
      </c>
    </row>
    <row r="1414" spans="1:14" x14ac:dyDescent="0.25">
      <c r="A1414" s="1">
        <v>45187</v>
      </c>
      <c r="B1414">
        <v>645.3499755859375</v>
      </c>
      <c r="C1414">
        <v>653.9000244140625</v>
      </c>
      <c r="D1414">
        <v>640.5999755859375</v>
      </c>
      <c r="E1414">
        <v>643.4000244140625</v>
      </c>
      <c r="F1414">
        <v>1030256</v>
      </c>
      <c r="G1414">
        <v>0</v>
      </c>
      <c r="H1414">
        <v>0</v>
      </c>
      <c r="N1414">
        <v>643.4</v>
      </c>
    </row>
    <row r="1415" spans="1:14" x14ac:dyDescent="0.25">
      <c r="A1415" s="1">
        <v>45189</v>
      </c>
      <c r="B1415">
        <v>645</v>
      </c>
      <c r="C1415">
        <v>646.95001220703125</v>
      </c>
      <c r="D1415">
        <v>623.5999755859375</v>
      </c>
      <c r="E1415">
        <v>624.75</v>
      </c>
      <c r="F1415">
        <v>1228062</v>
      </c>
      <c r="G1415">
        <v>0</v>
      </c>
      <c r="H1415">
        <v>0</v>
      </c>
      <c r="N1415">
        <v>624.75</v>
      </c>
    </row>
    <row r="1416" spans="1:14" x14ac:dyDescent="0.25">
      <c r="A1416" s="1">
        <v>45190</v>
      </c>
      <c r="B1416">
        <v>628.5</v>
      </c>
      <c r="C1416">
        <v>635.29998779296875</v>
      </c>
      <c r="D1416">
        <v>613.8499755859375</v>
      </c>
      <c r="E1416">
        <v>615.6500244140625</v>
      </c>
      <c r="F1416">
        <v>1390821</v>
      </c>
      <c r="G1416">
        <v>0</v>
      </c>
      <c r="H1416">
        <v>0</v>
      </c>
      <c r="N1416">
        <v>615.65</v>
      </c>
    </row>
    <row r="1417" spans="1:14" x14ac:dyDescent="0.25">
      <c r="A1417" s="1">
        <v>45191</v>
      </c>
      <c r="B1417">
        <v>616</v>
      </c>
      <c r="C1417">
        <v>618.79998779296875</v>
      </c>
      <c r="D1417">
        <v>594.29998779296875</v>
      </c>
      <c r="E1417">
        <v>595.5999755859375</v>
      </c>
      <c r="F1417">
        <v>1581468</v>
      </c>
      <c r="G1417">
        <v>0</v>
      </c>
      <c r="H1417">
        <v>0</v>
      </c>
      <c r="N1417">
        <v>595.6</v>
      </c>
    </row>
    <row r="1418" spans="1:14" x14ac:dyDescent="0.25">
      <c r="A1418" s="1">
        <v>45194</v>
      </c>
      <c r="B1418">
        <v>591.0999755859375</v>
      </c>
      <c r="C1418">
        <v>606</v>
      </c>
      <c r="D1418">
        <v>589.1500244140625</v>
      </c>
      <c r="E1418">
        <v>603.3499755859375</v>
      </c>
      <c r="F1418">
        <v>1428844</v>
      </c>
      <c r="G1418">
        <v>0</v>
      </c>
      <c r="H1418">
        <v>0</v>
      </c>
      <c r="N1418">
        <v>603.35</v>
      </c>
    </row>
    <row r="1419" spans="1:14" x14ac:dyDescent="0.25">
      <c r="A1419" s="1">
        <v>45195</v>
      </c>
      <c r="B1419">
        <v>603.45001220703125</v>
      </c>
      <c r="C1419">
        <v>605.95001220703125</v>
      </c>
      <c r="D1419">
        <v>596.5</v>
      </c>
      <c r="E1419">
        <v>598.04998779296875</v>
      </c>
      <c r="F1419">
        <v>963978</v>
      </c>
      <c r="G1419">
        <v>0</v>
      </c>
      <c r="H1419">
        <v>0</v>
      </c>
      <c r="N1419">
        <v>598.04999999999995</v>
      </c>
    </row>
    <row r="1420" spans="1:14" x14ac:dyDescent="0.25">
      <c r="A1420" s="1">
        <v>45196</v>
      </c>
      <c r="B1420">
        <v>599.1500244140625</v>
      </c>
      <c r="C1420">
        <v>607.9000244140625</v>
      </c>
      <c r="D1420">
        <v>596.25</v>
      </c>
      <c r="E1420">
        <v>605.1500244140625</v>
      </c>
      <c r="F1420">
        <v>1299692</v>
      </c>
      <c r="G1420">
        <v>0</v>
      </c>
      <c r="H1420">
        <v>0</v>
      </c>
      <c r="N1420">
        <v>605.15</v>
      </c>
    </row>
    <row r="1421" spans="1:14" x14ac:dyDescent="0.25">
      <c r="A1421" s="1">
        <v>45197</v>
      </c>
      <c r="B1421">
        <v>609.95001220703125</v>
      </c>
      <c r="C1421">
        <v>609.95001220703125</v>
      </c>
      <c r="D1421">
        <v>599.0999755859375</v>
      </c>
      <c r="E1421">
        <v>602.75</v>
      </c>
      <c r="F1421">
        <v>5303814</v>
      </c>
      <c r="G1421">
        <v>0</v>
      </c>
      <c r="H1421">
        <v>0</v>
      </c>
      <c r="N1421">
        <v>602.75</v>
      </c>
    </row>
    <row r="1422" spans="1:14" x14ac:dyDescent="0.25">
      <c r="A1422" s="1">
        <v>45198</v>
      </c>
      <c r="B1422">
        <v>604</v>
      </c>
      <c r="C1422">
        <v>621.95001220703125</v>
      </c>
      <c r="D1422">
        <v>601.5</v>
      </c>
      <c r="E1422">
        <v>615</v>
      </c>
      <c r="F1422">
        <v>1132784</v>
      </c>
      <c r="G1422">
        <v>0</v>
      </c>
      <c r="H1422">
        <v>0</v>
      </c>
      <c r="N1422">
        <v>615</v>
      </c>
    </row>
    <row r="1423" spans="1:14" x14ac:dyDescent="0.25">
      <c r="A1423" s="1">
        <v>45202</v>
      </c>
      <c r="B1423">
        <v>616.4000244140625</v>
      </c>
      <c r="C1423">
        <v>618</v>
      </c>
      <c r="D1423">
        <v>608.0999755859375</v>
      </c>
      <c r="E1423">
        <v>611.04998779296875</v>
      </c>
      <c r="F1423">
        <v>1221938</v>
      </c>
      <c r="G1423">
        <v>0</v>
      </c>
      <c r="H1423">
        <v>0</v>
      </c>
      <c r="N1423">
        <v>611.04999999999995</v>
      </c>
    </row>
    <row r="1424" spans="1:14" x14ac:dyDescent="0.25">
      <c r="A1424" s="1">
        <v>45203</v>
      </c>
      <c r="B1424">
        <v>611</v>
      </c>
      <c r="C1424">
        <v>613.5999755859375</v>
      </c>
      <c r="D1424">
        <v>597.8499755859375</v>
      </c>
      <c r="E1424">
        <v>603.45001220703125</v>
      </c>
      <c r="F1424">
        <v>2247374</v>
      </c>
      <c r="G1424">
        <v>0</v>
      </c>
      <c r="H1424">
        <v>0</v>
      </c>
      <c r="N1424">
        <v>603.45000000000005</v>
      </c>
    </row>
    <row r="1425" spans="1:14" x14ac:dyDescent="0.25">
      <c r="A1425" s="1">
        <v>45204</v>
      </c>
      <c r="B1425">
        <v>605.04998779296875</v>
      </c>
      <c r="C1425">
        <v>613.20001220703125</v>
      </c>
      <c r="D1425">
        <v>600.5</v>
      </c>
      <c r="E1425">
        <v>605.04998779296875</v>
      </c>
      <c r="F1425">
        <v>1294635</v>
      </c>
      <c r="G1425">
        <v>0</v>
      </c>
      <c r="H1425">
        <v>0</v>
      </c>
      <c r="N1425">
        <v>605.04999999999995</v>
      </c>
    </row>
    <row r="1426" spans="1:14" x14ac:dyDescent="0.25">
      <c r="A1426" s="1">
        <v>45205</v>
      </c>
      <c r="B1426">
        <v>607.29998779296875</v>
      </c>
      <c r="C1426">
        <v>610.6500244140625</v>
      </c>
      <c r="D1426">
        <v>599.5999755859375</v>
      </c>
      <c r="E1426">
        <v>603.75</v>
      </c>
      <c r="F1426">
        <v>1145725</v>
      </c>
      <c r="G1426">
        <v>0</v>
      </c>
      <c r="H1426">
        <v>0</v>
      </c>
      <c r="N1426">
        <v>603.75</v>
      </c>
    </row>
    <row r="1427" spans="1:14" x14ac:dyDescent="0.25">
      <c r="A1427" s="1">
        <v>45208</v>
      </c>
      <c r="B1427">
        <v>600.04998779296875</v>
      </c>
      <c r="C1427">
        <v>607.20001220703125</v>
      </c>
      <c r="D1427">
        <v>595.0999755859375</v>
      </c>
      <c r="E1427">
        <v>601.20001220703125</v>
      </c>
      <c r="F1427">
        <v>720986</v>
      </c>
      <c r="G1427">
        <v>0</v>
      </c>
      <c r="H1427">
        <v>0</v>
      </c>
      <c r="N1427">
        <v>601.20000000000005</v>
      </c>
    </row>
    <row r="1428" spans="1:14" x14ac:dyDescent="0.25">
      <c r="A1428" s="1">
        <v>45209</v>
      </c>
      <c r="B1428">
        <v>601.95001220703125</v>
      </c>
      <c r="C1428">
        <v>604.95001220703125</v>
      </c>
      <c r="D1428">
        <v>597.1500244140625</v>
      </c>
      <c r="E1428">
        <v>600</v>
      </c>
      <c r="F1428">
        <v>852136</v>
      </c>
      <c r="G1428">
        <v>0</v>
      </c>
      <c r="H1428">
        <v>0</v>
      </c>
      <c r="N1428">
        <v>600</v>
      </c>
    </row>
    <row r="1429" spans="1:14" x14ac:dyDescent="0.25">
      <c r="A1429" s="1">
        <v>45210</v>
      </c>
      <c r="B1429">
        <v>603.29998779296875</v>
      </c>
      <c r="C1429">
        <v>607</v>
      </c>
      <c r="D1429">
        <v>598</v>
      </c>
      <c r="E1429">
        <v>599.8499755859375</v>
      </c>
      <c r="F1429">
        <v>1380342</v>
      </c>
      <c r="G1429">
        <v>0</v>
      </c>
      <c r="H1429">
        <v>0</v>
      </c>
      <c r="N1429">
        <v>599.85</v>
      </c>
    </row>
    <row r="1430" spans="1:14" x14ac:dyDescent="0.25">
      <c r="A1430" s="1">
        <v>45211</v>
      </c>
      <c r="B1430">
        <v>604.9000244140625</v>
      </c>
      <c r="C1430">
        <v>604.9000244140625</v>
      </c>
      <c r="D1430">
        <v>591.79998779296875</v>
      </c>
      <c r="E1430">
        <v>593.95001220703125</v>
      </c>
      <c r="F1430">
        <v>1231587</v>
      </c>
      <c r="G1430">
        <v>0</v>
      </c>
      <c r="H1430">
        <v>0</v>
      </c>
      <c r="N1430">
        <v>593.95000000000005</v>
      </c>
    </row>
    <row r="1431" spans="1:14" x14ac:dyDescent="0.25">
      <c r="A1431" s="1">
        <v>45212</v>
      </c>
      <c r="B1431">
        <v>588.5</v>
      </c>
      <c r="C1431">
        <v>594.75</v>
      </c>
      <c r="D1431">
        <v>587.5</v>
      </c>
      <c r="E1431">
        <v>591.95001220703125</v>
      </c>
      <c r="F1431">
        <v>1033792</v>
      </c>
      <c r="G1431">
        <v>0</v>
      </c>
      <c r="H1431">
        <v>0</v>
      </c>
      <c r="N1431">
        <v>591.95000000000005</v>
      </c>
    </row>
    <row r="1432" spans="1:14" x14ac:dyDescent="0.25">
      <c r="A1432" s="1">
        <v>45215</v>
      </c>
      <c r="B1432">
        <v>591</v>
      </c>
      <c r="C1432">
        <v>592.0999755859375</v>
      </c>
      <c r="D1432">
        <v>586</v>
      </c>
      <c r="E1432">
        <v>591.20001220703125</v>
      </c>
      <c r="F1432">
        <v>509125</v>
      </c>
      <c r="G1432">
        <v>0</v>
      </c>
      <c r="H1432">
        <v>0</v>
      </c>
      <c r="N1432">
        <v>591.20000000000005</v>
      </c>
    </row>
    <row r="1433" spans="1:14" x14ac:dyDescent="0.25">
      <c r="A1433" s="1">
        <v>45216</v>
      </c>
      <c r="B1433">
        <v>593.29998779296875</v>
      </c>
      <c r="C1433">
        <v>597.4000244140625</v>
      </c>
      <c r="D1433">
        <v>588.45001220703125</v>
      </c>
      <c r="E1433">
        <v>590.29998779296875</v>
      </c>
      <c r="F1433">
        <v>1122317</v>
      </c>
      <c r="G1433">
        <v>0</v>
      </c>
      <c r="H1433">
        <v>0</v>
      </c>
      <c r="N1433">
        <v>590.29999999999995</v>
      </c>
    </row>
    <row r="1434" spans="1:14" x14ac:dyDescent="0.25">
      <c r="A1434" s="1">
        <v>45217</v>
      </c>
      <c r="B1434">
        <v>590.29998779296875</v>
      </c>
      <c r="C1434">
        <v>596.54998779296875</v>
      </c>
      <c r="D1434">
        <v>581.5</v>
      </c>
      <c r="E1434">
        <v>583.79998779296875</v>
      </c>
      <c r="F1434">
        <v>880308</v>
      </c>
      <c r="G1434">
        <v>0</v>
      </c>
      <c r="H1434">
        <v>0</v>
      </c>
      <c r="N1434">
        <v>583.79999999999995</v>
      </c>
    </row>
    <row r="1435" spans="1:14" x14ac:dyDescent="0.25">
      <c r="A1435" s="1">
        <v>45218</v>
      </c>
      <c r="B1435">
        <v>583.79998779296875</v>
      </c>
      <c r="C1435">
        <v>591.29998779296875</v>
      </c>
      <c r="D1435">
        <v>580.6500244140625</v>
      </c>
      <c r="E1435">
        <v>590.20001220703125</v>
      </c>
      <c r="F1435">
        <v>1011894</v>
      </c>
      <c r="G1435">
        <v>0</v>
      </c>
      <c r="H1435">
        <v>0</v>
      </c>
      <c r="N1435">
        <v>590.20000000000005</v>
      </c>
    </row>
    <row r="1436" spans="1:14" x14ac:dyDescent="0.25">
      <c r="A1436" s="1">
        <v>45219</v>
      </c>
      <c r="B1436">
        <v>590</v>
      </c>
      <c r="C1436">
        <v>590.20001220703125</v>
      </c>
      <c r="D1436">
        <v>573.5</v>
      </c>
      <c r="E1436">
        <v>578.9000244140625</v>
      </c>
      <c r="F1436">
        <v>1265465</v>
      </c>
      <c r="G1436">
        <v>0</v>
      </c>
      <c r="H1436">
        <v>0</v>
      </c>
      <c r="N1436">
        <v>578.9</v>
      </c>
    </row>
    <row r="1437" spans="1:14" x14ac:dyDescent="0.25">
      <c r="A1437" s="1">
        <v>45222</v>
      </c>
      <c r="B1437">
        <v>585</v>
      </c>
      <c r="C1437">
        <v>592.45001220703125</v>
      </c>
      <c r="D1437">
        <v>567.95001220703125</v>
      </c>
      <c r="E1437">
        <v>570.3499755859375</v>
      </c>
      <c r="F1437">
        <v>1100411</v>
      </c>
      <c r="G1437">
        <v>0</v>
      </c>
      <c r="H1437">
        <v>0</v>
      </c>
      <c r="N1437">
        <v>570.35</v>
      </c>
    </row>
    <row r="1438" spans="1:14" x14ac:dyDescent="0.25">
      <c r="A1438" s="1">
        <v>45224</v>
      </c>
      <c r="B1438">
        <v>569.5999755859375</v>
      </c>
      <c r="C1438">
        <v>576.54998779296875</v>
      </c>
      <c r="D1438">
        <v>569.0999755859375</v>
      </c>
      <c r="E1438">
        <v>574.70001220703125</v>
      </c>
      <c r="F1438">
        <v>719859</v>
      </c>
      <c r="G1438">
        <v>0</v>
      </c>
      <c r="H1438">
        <v>0</v>
      </c>
      <c r="N1438">
        <v>574.70000000000005</v>
      </c>
    </row>
    <row r="1439" spans="1:14" x14ac:dyDescent="0.25">
      <c r="A1439" s="1">
        <v>45225</v>
      </c>
      <c r="B1439">
        <v>571.9000244140625</v>
      </c>
      <c r="C1439">
        <v>574.4000244140625</v>
      </c>
      <c r="D1439">
        <v>567.75</v>
      </c>
      <c r="E1439">
        <v>571.29998779296875</v>
      </c>
      <c r="F1439">
        <v>452936</v>
      </c>
      <c r="G1439">
        <v>0</v>
      </c>
      <c r="H1439">
        <v>0</v>
      </c>
      <c r="N1439">
        <v>571.29999999999995</v>
      </c>
    </row>
    <row r="1440" spans="1:14" x14ac:dyDescent="0.25">
      <c r="A1440" s="1">
        <v>45226</v>
      </c>
      <c r="B1440">
        <v>574</v>
      </c>
      <c r="C1440">
        <v>579.8499755859375</v>
      </c>
      <c r="D1440">
        <v>572.5</v>
      </c>
      <c r="E1440">
        <v>575.04998779296875</v>
      </c>
      <c r="F1440">
        <v>544189</v>
      </c>
      <c r="G1440">
        <v>0</v>
      </c>
      <c r="H1440">
        <v>0</v>
      </c>
      <c r="N1440">
        <v>575.04999999999995</v>
      </c>
    </row>
    <row r="1441" spans="1:14" x14ac:dyDescent="0.25">
      <c r="A1441" s="1">
        <v>45229</v>
      </c>
      <c r="B1441">
        <v>578</v>
      </c>
      <c r="C1441">
        <v>582.45001220703125</v>
      </c>
      <c r="D1441">
        <v>574.25</v>
      </c>
      <c r="E1441">
        <v>580.25</v>
      </c>
      <c r="F1441">
        <v>788028</v>
      </c>
      <c r="G1441">
        <v>0</v>
      </c>
      <c r="H1441">
        <v>0</v>
      </c>
      <c r="N1441">
        <v>580.25</v>
      </c>
    </row>
    <row r="1442" spans="1:14" x14ac:dyDescent="0.25">
      <c r="A1442" s="1">
        <v>45230</v>
      </c>
      <c r="B1442">
        <v>580.0999755859375</v>
      </c>
      <c r="C1442">
        <v>583</v>
      </c>
      <c r="D1442">
        <v>572</v>
      </c>
      <c r="E1442">
        <v>573.54998779296875</v>
      </c>
      <c r="F1442">
        <v>876894</v>
      </c>
      <c r="G1442">
        <v>0</v>
      </c>
      <c r="H1442">
        <v>0</v>
      </c>
      <c r="N1442">
        <v>573.54999999999995</v>
      </c>
    </row>
    <row r="1443" spans="1:14" x14ac:dyDescent="0.25">
      <c r="A1443" s="1">
        <v>45231</v>
      </c>
      <c r="B1443">
        <v>575.4000244140625</v>
      </c>
      <c r="C1443">
        <v>577</v>
      </c>
      <c r="D1443">
        <v>570.25</v>
      </c>
      <c r="E1443">
        <v>575.4000244140625</v>
      </c>
      <c r="F1443">
        <v>369416</v>
      </c>
      <c r="G1443">
        <v>0</v>
      </c>
      <c r="H1443">
        <v>0</v>
      </c>
      <c r="N1443">
        <v>575.4</v>
      </c>
    </row>
    <row r="1444" spans="1:14" x14ac:dyDescent="0.25">
      <c r="A1444" s="1">
        <v>45232</v>
      </c>
      <c r="B1444">
        <v>578.9000244140625</v>
      </c>
      <c r="C1444">
        <v>580.5</v>
      </c>
      <c r="D1444">
        <v>571.54998779296875</v>
      </c>
      <c r="E1444">
        <v>577.79998779296875</v>
      </c>
      <c r="F1444">
        <v>858339</v>
      </c>
      <c r="G1444">
        <v>0</v>
      </c>
      <c r="H1444">
        <v>0</v>
      </c>
      <c r="N1444">
        <v>577.79999999999995</v>
      </c>
    </row>
    <row r="1445" spans="1:14" x14ac:dyDescent="0.25">
      <c r="A1445" s="1">
        <v>45233</v>
      </c>
      <c r="B1445">
        <v>579.0999755859375</v>
      </c>
      <c r="C1445">
        <v>588</v>
      </c>
      <c r="D1445">
        <v>579.0999755859375</v>
      </c>
      <c r="E1445">
        <v>584.8499755859375</v>
      </c>
      <c r="F1445">
        <v>667824</v>
      </c>
      <c r="G1445">
        <v>0</v>
      </c>
      <c r="H1445">
        <v>0</v>
      </c>
      <c r="N1445">
        <v>584.85</v>
      </c>
    </row>
    <row r="1446" spans="1:14" x14ac:dyDescent="0.25">
      <c r="A1446" s="1">
        <v>45236</v>
      </c>
      <c r="B1446">
        <v>587.0999755859375</v>
      </c>
      <c r="C1446">
        <v>589.5</v>
      </c>
      <c r="D1446">
        <v>579.3499755859375</v>
      </c>
      <c r="E1446">
        <v>584.8499755859375</v>
      </c>
      <c r="F1446">
        <v>943223</v>
      </c>
      <c r="G1446">
        <v>0</v>
      </c>
      <c r="H1446">
        <v>0</v>
      </c>
      <c r="N1446">
        <v>584.85</v>
      </c>
    </row>
    <row r="1447" spans="1:14" x14ac:dyDescent="0.25">
      <c r="A1447" s="1">
        <v>45237</v>
      </c>
      <c r="B1447">
        <v>588</v>
      </c>
      <c r="C1447">
        <v>602.4000244140625</v>
      </c>
      <c r="D1447">
        <v>587.6500244140625</v>
      </c>
      <c r="E1447">
        <v>597.29998779296875</v>
      </c>
      <c r="F1447">
        <v>2232265</v>
      </c>
      <c r="G1447">
        <v>0</v>
      </c>
      <c r="H1447">
        <v>0</v>
      </c>
      <c r="N1447">
        <v>597.29999999999995</v>
      </c>
    </row>
    <row r="1448" spans="1:14" x14ac:dyDescent="0.25">
      <c r="A1448" s="1">
        <v>45238</v>
      </c>
      <c r="B1448">
        <v>601.5</v>
      </c>
      <c r="C1448">
        <v>634</v>
      </c>
      <c r="D1448">
        <v>598.04998779296875</v>
      </c>
      <c r="E1448">
        <v>625.20001220703125</v>
      </c>
      <c r="F1448">
        <v>4262389</v>
      </c>
      <c r="G1448">
        <v>0</v>
      </c>
      <c r="H1448">
        <v>0</v>
      </c>
      <c r="N1448">
        <v>625.20000000000005</v>
      </c>
    </row>
    <row r="1449" spans="1:14" x14ac:dyDescent="0.25">
      <c r="A1449" s="1">
        <v>45239</v>
      </c>
      <c r="B1449">
        <v>625.20001220703125</v>
      </c>
      <c r="C1449">
        <v>627.54998779296875</v>
      </c>
      <c r="D1449">
        <v>609.1500244140625</v>
      </c>
      <c r="E1449">
        <v>612.45001220703125</v>
      </c>
      <c r="F1449">
        <v>1601334</v>
      </c>
      <c r="G1449">
        <v>0</v>
      </c>
      <c r="H1449">
        <v>0</v>
      </c>
      <c r="N1449">
        <v>612.45000000000005</v>
      </c>
    </row>
    <row r="1450" spans="1:14" x14ac:dyDescent="0.25">
      <c r="A1450" s="1">
        <v>45240</v>
      </c>
      <c r="B1450">
        <v>609.5</v>
      </c>
      <c r="C1450">
        <v>621.1500244140625</v>
      </c>
      <c r="D1450">
        <v>606.04998779296875</v>
      </c>
      <c r="E1450">
        <v>619.9000244140625</v>
      </c>
      <c r="F1450">
        <v>1024488</v>
      </c>
      <c r="G1450">
        <v>0</v>
      </c>
      <c r="H1450">
        <v>0</v>
      </c>
      <c r="N1450">
        <v>619.9</v>
      </c>
    </row>
    <row r="1451" spans="1:14" x14ac:dyDescent="0.25">
      <c r="A1451" s="1">
        <v>45243</v>
      </c>
      <c r="B1451">
        <v>622.04998779296875</v>
      </c>
      <c r="C1451">
        <v>622.4000244140625</v>
      </c>
      <c r="D1451">
        <v>616.04998779296875</v>
      </c>
      <c r="E1451">
        <v>620.25</v>
      </c>
      <c r="F1451">
        <v>845300</v>
      </c>
      <c r="G1451">
        <v>0</v>
      </c>
      <c r="H1451">
        <v>0</v>
      </c>
      <c r="N1451">
        <v>620.25</v>
      </c>
    </row>
    <row r="1452" spans="1:14" x14ac:dyDescent="0.25">
      <c r="A1452" s="1">
        <v>45245</v>
      </c>
      <c r="B1452">
        <v>624</v>
      </c>
      <c r="C1452">
        <v>625.54998779296875</v>
      </c>
      <c r="D1452">
        <v>618.8499755859375</v>
      </c>
      <c r="E1452">
        <v>621.1500244140625</v>
      </c>
      <c r="F1452">
        <v>458592</v>
      </c>
      <c r="G1452">
        <v>0</v>
      </c>
      <c r="H1452">
        <v>0</v>
      </c>
      <c r="N1452">
        <v>621.15</v>
      </c>
    </row>
    <row r="1453" spans="1:14" x14ac:dyDescent="0.25">
      <c r="A1453" s="1">
        <v>45246</v>
      </c>
      <c r="B1453">
        <v>622.70001220703125</v>
      </c>
      <c r="C1453">
        <v>635.45001220703125</v>
      </c>
      <c r="D1453">
        <v>619</v>
      </c>
      <c r="E1453">
        <v>631.8499755859375</v>
      </c>
      <c r="F1453">
        <v>1293030</v>
      </c>
      <c r="G1453">
        <v>0</v>
      </c>
      <c r="H1453">
        <v>0</v>
      </c>
      <c r="N1453">
        <v>631.85</v>
      </c>
    </row>
    <row r="1454" spans="1:14" x14ac:dyDescent="0.25">
      <c r="A1454" s="1">
        <v>45247</v>
      </c>
      <c r="B1454">
        <v>634.79998779296875</v>
      </c>
      <c r="C1454">
        <v>639.9000244140625</v>
      </c>
      <c r="D1454">
        <v>632.8499755859375</v>
      </c>
      <c r="E1454">
        <v>636.54998779296875</v>
      </c>
      <c r="F1454">
        <v>996812</v>
      </c>
      <c r="G1454">
        <v>0</v>
      </c>
      <c r="H1454">
        <v>0</v>
      </c>
      <c r="N1454">
        <v>636.54999999999995</v>
      </c>
    </row>
    <row r="1455" spans="1:14" x14ac:dyDescent="0.25">
      <c r="A1455" s="1">
        <v>45250</v>
      </c>
      <c r="B1455">
        <v>640</v>
      </c>
      <c r="C1455">
        <v>644.5999755859375</v>
      </c>
      <c r="D1455">
        <v>633.45001220703125</v>
      </c>
      <c r="E1455">
        <v>636</v>
      </c>
      <c r="F1455">
        <v>834768</v>
      </c>
      <c r="G1455">
        <v>0</v>
      </c>
      <c r="H1455">
        <v>0</v>
      </c>
      <c r="N1455">
        <v>636</v>
      </c>
    </row>
    <row r="1456" spans="1:14" x14ac:dyDescent="0.25">
      <c r="A1456" s="1">
        <v>45251</v>
      </c>
      <c r="B1456">
        <v>639.95001220703125</v>
      </c>
      <c r="C1456">
        <v>644.4000244140625</v>
      </c>
      <c r="D1456">
        <v>636.5999755859375</v>
      </c>
      <c r="E1456">
        <v>639.04998779296875</v>
      </c>
      <c r="F1456">
        <v>698901</v>
      </c>
      <c r="G1456">
        <v>0</v>
      </c>
      <c r="H1456">
        <v>0</v>
      </c>
      <c r="N1456">
        <v>639.04999999999995</v>
      </c>
    </row>
    <row r="1457" spans="1:14" x14ac:dyDescent="0.25">
      <c r="A1457" s="1">
        <v>45252</v>
      </c>
      <c r="B1457">
        <v>642.4000244140625</v>
      </c>
      <c r="C1457">
        <v>649.04998779296875</v>
      </c>
      <c r="D1457">
        <v>639.4000244140625</v>
      </c>
      <c r="E1457">
        <v>642.04998779296875</v>
      </c>
      <c r="F1457">
        <v>798769</v>
      </c>
      <c r="G1457">
        <v>0</v>
      </c>
      <c r="H1457">
        <v>0</v>
      </c>
      <c r="N1457">
        <v>642.04999999999995</v>
      </c>
    </row>
    <row r="1458" spans="1:14" x14ac:dyDescent="0.25">
      <c r="A1458" s="1">
        <v>45253</v>
      </c>
      <c r="B1458">
        <v>645.45001220703125</v>
      </c>
      <c r="C1458">
        <v>645.45001220703125</v>
      </c>
      <c r="D1458">
        <v>629.45001220703125</v>
      </c>
      <c r="E1458">
        <v>631.5999755859375</v>
      </c>
      <c r="F1458">
        <v>1008710</v>
      </c>
      <c r="G1458">
        <v>0</v>
      </c>
      <c r="H1458">
        <v>0</v>
      </c>
      <c r="N1458">
        <v>631.6</v>
      </c>
    </row>
    <row r="1459" spans="1:14" x14ac:dyDescent="0.25">
      <c r="A1459" s="1">
        <v>45254</v>
      </c>
      <c r="B1459">
        <v>634.79998779296875</v>
      </c>
      <c r="C1459">
        <v>648</v>
      </c>
      <c r="D1459">
        <v>634</v>
      </c>
      <c r="E1459">
        <v>639.9000244140625</v>
      </c>
      <c r="F1459">
        <v>690395</v>
      </c>
      <c r="G1459">
        <v>0</v>
      </c>
      <c r="H1459">
        <v>0</v>
      </c>
      <c r="N1459">
        <v>639.9</v>
      </c>
    </row>
    <row r="1460" spans="1:14" x14ac:dyDescent="0.25">
      <c r="A1460" s="1">
        <v>45258</v>
      </c>
      <c r="B1460">
        <v>639.9000244140625</v>
      </c>
      <c r="C1460">
        <v>641.04998779296875</v>
      </c>
      <c r="D1460">
        <v>628.0999755859375</v>
      </c>
      <c r="E1460">
        <v>629.79998779296875</v>
      </c>
      <c r="F1460">
        <v>606266</v>
      </c>
      <c r="G1460">
        <v>0</v>
      </c>
      <c r="H1460">
        <v>0</v>
      </c>
      <c r="N1460">
        <v>629.79999999999995</v>
      </c>
    </row>
    <row r="1461" spans="1:14" x14ac:dyDescent="0.25">
      <c r="A1461" s="1">
        <v>45259</v>
      </c>
      <c r="B1461">
        <v>633.25</v>
      </c>
      <c r="C1461">
        <v>637.8499755859375</v>
      </c>
      <c r="D1461">
        <v>630.04998779296875</v>
      </c>
      <c r="E1461">
        <v>635.04998779296875</v>
      </c>
      <c r="F1461">
        <v>777475</v>
      </c>
      <c r="G1461">
        <v>0</v>
      </c>
      <c r="H1461">
        <v>0</v>
      </c>
      <c r="N1461">
        <v>635.04999999999995</v>
      </c>
    </row>
    <row r="1462" spans="1:14" x14ac:dyDescent="0.25">
      <c r="A1462" s="1">
        <v>45260</v>
      </c>
      <c r="B1462">
        <v>635.54998779296875</v>
      </c>
      <c r="C1462">
        <v>640.75</v>
      </c>
      <c r="D1462">
        <v>633.45001220703125</v>
      </c>
      <c r="E1462">
        <v>637.54998779296875</v>
      </c>
      <c r="F1462">
        <v>1357375</v>
      </c>
      <c r="G1462">
        <v>0</v>
      </c>
      <c r="H1462">
        <v>0</v>
      </c>
      <c r="N1462">
        <v>637.54999999999995</v>
      </c>
    </row>
    <row r="1463" spans="1:14" x14ac:dyDescent="0.25">
      <c r="A1463" s="1">
        <v>45261</v>
      </c>
      <c r="B1463">
        <v>641.70001220703125</v>
      </c>
      <c r="C1463">
        <v>648.95001220703125</v>
      </c>
      <c r="D1463">
        <v>637.5</v>
      </c>
      <c r="E1463">
        <v>639.70001220703125</v>
      </c>
      <c r="F1463">
        <v>1135068</v>
      </c>
      <c r="G1463">
        <v>0</v>
      </c>
      <c r="H1463">
        <v>0</v>
      </c>
      <c r="N1463">
        <v>639.70000000000005</v>
      </c>
    </row>
    <row r="1464" spans="1:14" x14ac:dyDescent="0.25">
      <c r="A1464" s="1">
        <v>45264</v>
      </c>
      <c r="B1464">
        <v>648</v>
      </c>
      <c r="C1464">
        <v>648.3499755859375</v>
      </c>
      <c r="D1464">
        <v>630</v>
      </c>
      <c r="E1464">
        <v>633.4000244140625</v>
      </c>
      <c r="F1464">
        <v>883822</v>
      </c>
      <c r="G1464">
        <v>0</v>
      </c>
      <c r="H1464">
        <v>0</v>
      </c>
      <c r="N1464">
        <v>633.4</v>
      </c>
    </row>
    <row r="1465" spans="1:14" x14ac:dyDescent="0.25">
      <c r="A1465" s="1">
        <v>45265</v>
      </c>
      <c r="B1465">
        <v>637.9000244140625</v>
      </c>
      <c r="C1465">
        <v>643.45001220703125</v>
      </c>
      <c r="D1465">
        <v>632.4000244140625</v>
      </c>
      <c r="E1465">
        <v>634.04998779296875</v>
      </c>
      <c r="F1465">
        <v>718008</v>
      </c>
      <c r="G1465">
        <v>0</v>
      </c>
      <c r="H1465">
        <v>0</v>
      </c>
      <c r="N1465">
        <v>634.04999999999995</v>
      </c>
    </row>
    <row r="1466" spans="1:14" x14ac:dyDescent="0.25">
      <c r="A1466" s="1">
        <v>45266</v>
      </c>
      <c r="B1466">
        <v>637.6500244140625</v>
      </c>
      <c r="C1466">
        <v>644</v>
      </c>
      <c r="D1466">
        <v>634</v>
      </c>
      <c r="E1466">
        <v>635.45001220703125</v>
      </c>
      <c r="F1466">
        <v>1501698</v>
      </c>
      <c r="G1466">
        <v>0</v>
      </c>
      <c r="H1466">
        <v>0</v>
      </c>
      <c r="N1466">
        <v>635.45000000000005</v>
      </c>
    </row>
    <row r="1467" spans="1:14" x14ac:dyDescent="0.25">
      <c r="A1467" s="1">
        <v>45267</v>
      </c>
      <c r="B1467">
        <v>639.20001220703125</v>
      </c>
      <c r="C1467">
        <v>659.5999755859375</v>
      </c>
      <c r="D1467">
        <v>634.9000244140625</v>
      </c>
      <c r="E1467">
        <v>657.95001220703125</v>
      </c>
      <c r="F1467">
        <v>2533954</v>
      </c>
      <c r="G1467">
        <v>0</v>
      </c>
      <c r="H1467">
        <v>0</v>
      </c>
      <c r="N1467">
        <v>657.95</v>
      </c>
    </row>
    <row r="1468" spans="1:14" x14ac:dyDescent="0.25">
      <c r="A1468" s="1">
        <v>45268</v>
      </c>
      <c r="B1468">
        <v>661.29998779296875</v>
      </c>
      <c r="C1468">
        <v>664.95001220703125</v>
      </c>
      <c r="D1468">
        <v>630.8499755859375</v>
      </c>
      <c r="E1468">
        <v>638.54998779296875</v>
      </c>
      <c r="F1468">
        <v>2333950</v>
      </c>
      <c r="G1468">
        <v>0</v>
      </c>
      <c r="H1468">
        <v>0</v>
      </c>
      <c r="N1468">
        <v>638.54999999999995</v>
      </c>
    </row>
    <row r="1469" spans="1:14" x14ac:dyDescent="0.25">
      <c r="A1469" s="1">
        <v>45271</v>
      </c>
      <c r="B1469">
        <v>644.45001220703125</v>
      </c>
      <c r="C1469">
        <v>645.29998779296875</v>
      </c>
      <c r="D1469">
        <v>632</v>
      </c>
      <c r="E1469">
        <v>633.5999755859375</v>
      </c>
      <c r="F1469">
        <v>1399797</v>
      </c>
      <c r="G1469">
        <v>0</v>
      </c>
      <c r="H1469">
        <v>0</v>
      </c>
      <c r="N1469">
        <v>633.6</v>
      </c>
    </row>
    <row r="1470" spans="1:14" x14ac:dyDescent="0.25">
      <c r="A1470" s="1">
        <v>45272</v>
      </c>
      <c r="B1470">
        <v>636.79998779296875</v>
      </c>
      <c r="C1470">
        <v>640.29998779296875</v>
      </c>
      <c r="D1470">
        <v>633.5999755859375</v>
      </c>
      <c r="E1470">
        <v>635.4000244140625</v>
      </c>
      <c r="F1470">
        <v>1109868</v>
      </c>
      <c r="G1470">
        <v>0</v>
      </c>
      <c r="H1470">
        <v>0</v>
      </c>
      <c r="N1470">
        <v>635.4</v>
      </c>
    </row>
    <row r="1471" spans="1:14" x14ac:dyDescent="0.25">
      <c r="A1471" s="1">
        <v>45273</v>
      </c>
      <c r="B1471">
        <v>635</v>
      </c>
      <c r="C1471">
        <v>648.5999755859375</v>
      </c>
      <c r="D1471">
        <v>633.29998779296875</v>
      </c>
      <c r="E1471">
        <v>642.4000244140625</v>
      </c>
      <c r="F1471">
        <v>1415919</v>
      </c>
      <c r="G1471">
        <v>0</v>
      </c>
      <c r="H1471">
        <v>0</v>
      </c>
      <c r="N1471">
        <v>642.4</v>
      </c>
    </row>
    <row r="1472" spans="1:14" x14ac:dyDescent="0.25">
      <c r="A1472" s="1">
        <v>45274</v>
      </c>
      <c r="B1472">
        <v>647</v>
      </c>
      <c r="C1472">
        <v>650</v>
      </c>
      <c r="D1472">
        <v>640.95001220703125</v>
      </c>
      <c r="E1472">
        <v>643.79998779296875</v>
      </c>
      <c r="F1472">
        <v>1194291</v>
      </c>
      <c r="G1472">
        <v>0</v>
      </c>
      <c r="H1472">
        <v>0</v>
      </c>
      <c r="N1472">
        <v>643.79999999999995</v>
      </c>
    </row>
    <row r="1473" spans="1:14" x14ac:dyDescent="0.25">
      <c r="A1473" s="1">
        <v>45275</v>
      </c>
      <c r="B1473">
        <v>647</v>
      </c>
      <c r="C1473">
        <v>650.54998779296875</v>
      </c>
      <c r="D1473">
        <v>642.3499755859375</v>
      </c>
      <c r="E1473">
        <v>645.9000244140625</v>
      </c>
      <c r="F1473">
        <v>953712</v>
      </c>
      <c r="G1473">
        <v>0</v>
      </c>
      <c r="H1473">
        <v>0</v>
      </c>
      <c r="N1473">
        <v>645.9</v>
      </c>
    </row>
    <row r="1474" spans="1:14" x14ac:dyDescent="0.25">
      <c r="A1474" s="1">
        <v>45278</v>
      </c>
      <c r="B1474">
        <v>655</v>
      </c>
      <c r="C1474">
        <v>682.3499755859375</v>
      </c>
      <c r="D1474">
        <v>651.0999755859375</v>
      </c>
      <c r="E1474">
        <v>680.5999755859375</v>
      </c>
      <c r="F1474">
        <v>6969702</v>
      </c>
      <c r="G1474">
        <v>0</v>
      </c>
      <c r="H1474">
        <v>0</v>
      </c>
      <c r="N1474">
        <v>680.6</v>
      </c>
    </row>
    <row r="1475" spans="1:14" x14ac:dyDescent="0.25">
      <c r="A1475" s="1">
        <v>45279</v>
      </c>
      <c r="B1475">
        <v>684.79998779296875</v>
      </c>
      <c r="C1475">
        <v>694</v>
      </c>
      <c r="D1475">
        <v>671.3499755859375</v>
      </c>
      <c r="E1475">
        <v>685.8499755859375</v>
      </c>
      <c r="F1475">
        <v>2817353</v>
      </c>
      <c r="G1475">
        <v>0</v>
      </c>
      <c r="H1475">
        <v>0</v>
      </c>
      <c r="N1475">
        <v>685.85</v>
      </c>
    </row>
    <row r="1476" spans="1:14" x14ac:dyDescent="0.25">
      <c r="A1476" s="1">
        <v>45280</v>
      </c>
      <c r="B1476">
        <v>686</v>
      </c>
      <c r="C1476">
        <v>696.5</v>
      </c>
      <c r="D1476">
        <v>659.0999755859375</v>
      </c>
      <c r="E1476">
        <v>663.75</v>
      </c>
      <c r="F1476">
        <v>2162161</v>
      </c>
      <c r="G1476">
        <v>0</v>
      </c>
      <c r="H1476">
        <v>0</v>
      </c>
      <c r="N1476">
        <v>663.75</v>
      </c>
    </row>
    <row r="1477" spans="1:14" x14ac:dyDescent="0.25">
      <c r="A1477" s="1">
        <v>45281</v>
      </c>
      <c r="B1477">
        <v>657.54998779296875</v>
      </c>
      <c r="C1477">
        <v>674.5</v>
      </c>
      <c r="D1477">
        <v>648.1500244140625</v>
      </c>
      <c r="E1477">
        <v>671.45001220703125</v>
      </c>
      <c r="F1477">
        <v>1404289</v>
      </c>
      <c r="G1477">
        <v>0</v>
      </c>
      <c r="H1477">
        <v>0</v>
      </c>
      <c r="N1477">
        <v>671.45</v>
      </c>
    </row>
    <row r="1478" spans="1:14" x14ac:dyDescent="0.25">
      <c r="A1478" s="1">
        <v>45282</v>
      </c>
      <c r="B1478">
        <v>675</v>
      </c>
      <c r="C1478">
        <v>689.4000244140625</v>
      </c>
      <c r="D1478">
        <v>673.04998779296875</v>
      </c>
      <c r="E1478">
        <v>679.95001220703125</v>
      </c>
      <c r="F1478">
        <v>2027527</v>
      </c>
      <c r="G1478">
        <v>0</v>
      </c>
      <c r="H1478">
        <v>0</v>
      </c>
      <c r="N1478">
        <v>679.95</v>
      </c>
    </row>
    <row r="1479" spans="1:14" x14ac:dyDescent="0.25">
      <c r="A1479" s="1">
        <v>45286</v>
      </c>
      <c r="B1479">
        <v>679</v>
      </c>
      <c r="C1479">
        <v>686.8499755859375</v>
      </c>
      <c r="D1479">
        <v>674.5</v>
      </c>
      <c r="E1479">
        <v>676.20001220703125</v>
      </c>
      <c r="F1479">
        <v>1323845</v>
      </c>
      <c r="G1479">
        <v>0</v>
      </c>
      <c r="H1479">
        <v>0</v>
      </c>
      <c r="N1479">
        <v>676.2</v>
      </c>
    </row>
    <row r="1480" spans="1:14" x14ac:dyDescent="0.25">
      <c r="A1480" s="1">
        <v>45287</v>
      </c>
      <c r="B1480">
        <v>673</v>
      </c>
      <c r="C1480">
        <v>693.25</v>
      </c>
      <c r="D1480">
        <v>666.75</v>
      </c>
      <c r="E1480">
        <v>688.6500244140625</v>
      </c>
      <c r="F1480">
        <v>2108751</v>
      </c>
      <c r="G1480">
        <v>0</v>
      </c>
      <c r="H1480">
        <v>0</v>
      </c>
      <c r="N1480">
        <v>688.65</v>
      </c>
    </row>
    <row r="1481" spans="1:14" x14ac:dyDescent="0.25">
      <c r="A1481" s="1">
        <v>45288</v>
      </c>
      <c r="B1481">
        <v>688.6500244140625</v>
      </c>
      <c r="C1481">
        <v>692.3499755859375</v>
      </c>
      <c r="D1481">
        <v>681.4000244140625</v>
      </c>
      <c r="E1481">
        <v>686.4000244140625</v>
      </c>
      <c r="F1481">
        <v>972278</v>
      </c>
      <c r="G1481">
        <v>0</v>
      </c>
      <c r="H1481">
        <v>0</v>
      </c>
      <c r="N1481">
        <v>686.4</v>
      </c>
    </row>
    <row r="1482" spans="1:14" x14ac:dyDescent="0.25">
      <c r="A1482" s="1">
        <v>45289</v>
      </c>
      <c r="B1482">
        <v>687.95001220703125</v>
      </c>
      <c r="C1482">
        <v>691.79998779296875</v>
      </c>
      <c r="D1482">
        <v>683.3499755859375</v>
      </c>
      <c r="E1482">
        <v>689.20001220703125</v>
      </c>
      <c r="F1482">
        <v>786848</v>
      </c>
      <c r="G1482">
        <v>0</v>
      </c>
      <c r="H1482">
        <v>0</v>
      </c>
      <c r="N1482">
        <v>689.2</v>
      </c>
    </row>
    <row r="1483" spans="1:14" x14ac:dyDescent="0.25">
      <c r="A1483" s="1">
        <v>45292</v>
      </c>
      <c r="B1483">
        <v>688.0999755859375</v>
      </c>
      <c r="C1483">
        <v>707.20001220703125</v>
      </c>
      <c r="D1483">
        <v>685</v>
      </c>
      <c r="E1483">
        <v>699.1500244140625</v>
      </c>
      <c r="F1483">
        <v>2371842</v>
      </c>
      <c r="G1483">
        <v>0</v>
      </c>
      <c r="H1483">
        <v>0</v>
      </c>
      <c r="N1483">
        <v>699.15</v>
      </c>
    </row>
    <row r="1484" spans="1:14" x14ac:dyDescent="0.25">
      <c r="A1484" s="1">
        <v>45293</v>
      </c>
      <c r="B1484">
        <v>707.45001220703125</v>
      </c>
      <c r="C1484">
        <v>715</v>
      </c>
      <c r="D1484">
        <v>699.6500244140625</v>
      </c>
      <c r="E1484">
        <v>712.25</v>
      </c>
      <c r="F1484">
        <v>2433838</v>
      </c>
      <c r="G1484">
        <v>0</v>
      </c>
      <c r="H1484">
        <v>0</v>
      </c>
      <c r="N1484">
        <v>712.25</v>
      </c>
    </row>
    <row r="1485" spans="1:14" x14ac:dyDescent="0.25">
      <c r="A1485" s="1">
        <v>45294</v>
      </c>
      <c r="B1485">
        <v>712.4000244140625</v>
      </c>
      <c r="C1485">
        <v>716</v>
      </c>
      <c r="D1485">
        <v>708.95001220703125</v>
      </c>
      <c r="E1485">
        <v>710.4000244140625</v>
      </c>
      <c r="F1485">
        <v>921911</v>
      </c>
      <c r="G1485">
        <v>0</v>
      </c>
      <c r="H1485">
        <v>0</v>
      </c>
      <c r="N1485">
        <v>710.4</v>
      </c>
    </row>
    <row r="1486" spans="1:14" x14ac:dyDescent="0.25">
      <c r="A1486" s="1">
        <v>45295</v>
      </c>
      <c r="B1486">
        <v>712</v>
      </c>
      <c r="C1486">
        <v>715.8499755859375</v>
      </c>
      <c r="D1486">
        <v>707</v>
      </c>
      <c r="E1486">
        <v>709.1500244140625</v>
      </c>
      <c r="F1486">
        <v>1116138</v>
      </c>
      <c r="G1486">
        <v>0</v>
      </c>
      <c r="H1486">
        <v>0</v>
      </c>
      <c r="N1486">
        <v>709.15</v>
      </c>
    </row>
    <row r="1487" spans="1:14" x14ac:dyDescent="0.25">
      <c r="A1487" s="1">
        <v>45296</v>
      </c>
      <c r="B1487">
        <v>713</v>
      </c>
      <c r="C1487">
        <v>715.3499755859375</v>
      </c>
      <c r="D1487">
        <v>706</v>
      </c>
      <c r="E1487">
        <v>714.25</v>
      </c>
      <c r="F1487">
        <v>1041423</v>
      </c>
      <c r="G1487">
        <v>0</v>
      </c>
      <c r="H1487">
        <v>0</v>
      </c>
      <c r="N1487">
        <v>714.25</v>
      </c>
    </row>
    <row r="1488" spans="1:14" x14ac:dyDescent="0.25">
      <c r="A1488" s="1">
        <v>45299</v>
      </c>
      <c r="B1488">
        <v>717</v>
      </c>
      <c r="C1488">
        <v>720.70001220703125</v>
      </c>
      <c r="D1488">
        <v>708.5999755859375</v>
      </c>
      <c r="E1488">
        <v>710.70001220703125</v>
      </c>
      <c r="F1488">
        <v>1499381</v>
      </c>
      <c r="G1488">
        <v>0</v>
      </c>
      <c r="H1488">
        <v>0</v>
      </c>
      <c r="N1488">
        <v>710.7</v>
      </c>
    </row>
    <row r="1489" spans="1:14" x14ac:dyDescent="0.25">
      <c r="A1489" s="1">
        <v>45300</v>
      </c>
      <c r="B1489">
        <v>714.75</v>
      </c>
      <c r="C1489">
        <v>719</v>
      </c>
      <c r="D1489">
        <v>711.0999755859375</v>
      </c>
      <c r="E1489">
        <v>713</v>
      </c>
      <c r="F1489">
        <v>689023</v>
      </c>
      <c r="G1489">
        <v>0</v>
      </c>
      <c r="H1489">
        <v>0</v>
      </c>
      <c r="N1489">
        <v>713</v>
      </c>
    </row>
    <row r="1490" spans="1:14" x14ac:dyDescent="0.25">
      <c r="A1490" s="1">
        <v>45301</v>
      </c>
      <c r="B1490">
        <v>713.6500244140625</v>
      </c>
      <c r="C1490">
        <v>718</v>
      </c>
      <c r="D1490">
        <v>699.0999755859375</v>
      </c>
      <c r="E1490">
        <v>706.9000244140625</v>
      </c>
      <c r="F1490">
        <v>1083582</v>
      </c>
      <c r="G1490">
        <v>0</v>
      </c>
      <c r="H1490">
        <v>0</v>
      </c>
      <c r="N1490">
        <v>706.9</v>
      </c>
    </row>
    <row r="1491" spans="1:14" x14ac:dyDescent="0.25">
      <c r="A1491" s="1">
        <v>45302</v>
      </c>
      <c r="B1491">
        <v>706.5999755859375</v>
      </c>
      <c r="C1491">
        <v>711.5999755859375</v>
      </c>
      <c r="D1491">
        <v>700.9000244140625</v>
      </c>
      <c r="E1491">
        <v>704.25</v>
      </c>
      <c r="F1491">
        <v>535437</v>
      </c>
      <c r="G1491">
        <v>0</v>
      </c>
      <c r="H1491">
        <v>0</v>
      </c>
      <c r="N1491">
        <v>704.25</v>
      </c>
    </row>
    <row r="1492" spans="1:14" x14ac:dyDescent="0.25">
      <c r="A1492" s="1">
        <v>45303</v>
      </c>
      <c r="B1492">
        <v>708.04998779296875</v>
      </c>
      <c r="C1492">
        <v>708.25</v>
      </c>
      <c r="D1492">
        <v>696.6500244140625</v>
      </c>
      <c r="E1492">
        <v>703.95001220703125</v>
      </c>
      <c r="F1492">
        <v>642155</v>
      </c>
      <c r="G1492">
        <v>0</v>
      </c>
      <c r="H1492">
        <v>0</v>
      </c>
      <c r="N1492">
        <v>703.95</v>
      </c>
    </row>
    <row r="1493" spans="1:14" x14ac:dyDescent="0.25">
      <c r="A1493" s="1">
        <v>45306</v>
      </c>
      <c r="B1493">
        <v>703.95001220703125</v>
      </c>
      <c r="C1493">
        <v>703.95001220703125</v>
      </c>
      <c r="D1493">
        <v>703.95001220703125</v>
      </c>
      <c r="E1493">
        <v>703.95001220703125</v>
      </c>
      <c r="F1493">
        <v>0</v>
      </c>
      <c r="G1493">
        <v>0</v>
      </c>
      <c r="H1493">
        <v>0</v>
      </c>
      <c r="N1493">
        <v>716.85</v>
      </c>
    </row>
    <row r="1494" spans="1:14" x14ac:dyDescent="0.25">
      <c r="A1494" s="1">
        <v>45307</v>
      </c>
      <c r="B1494">
        <v>716.95001220703125</v>
      </c>
      <c r="C1494">
        <v>717.04998779296875</v>
      </c>
      <c r="D1494">
        <v>698.9000244140625</v>
      </c>
      <c r="E1494">
        <v>706.8499755859375</v>
      </c>
      <c r="F1494">
        <v>1115241</v>
      </c>
      <c r="G1494">
        <v>0</v>
      </c>
      <c r="H1494">
        <v>0</v>
      </c>
      <c r="N1494">
        <v>706.85</v>
      </c>
    </row>
    <row r="1495" spans="1:14" x14ac:dyDescent="0.25">
      <c r="A1495" s="1">
        <v>45308</v>
      </c>
      <c r="B1495">
        <v>705.9000244140625</v>
      </c>
      <c r="C1495">
        <v>711</v>
      </c>
      <c r="D1495">
        <v>698.79998779296875</v>
      </c>
      <c r="E1495">
        <v>709.70001220703125</v>
      </c>
      <c r="F1495">
        <v>918668</v>
      </c>
      <c r="G1495">
        <v>0</v>
      </c>
      <c r="H1495">
        <v>0</v>
      </c>
      <c r="N1495">
        <v>709.7</v>
      </c>
    </row>
    <row r="1496" spans="1:14" x14ac:dyDescent="0.25">
      <c r="A1496" s="1">
        <v>45309</v>
      </c>
      <c r="B1496">
        <v>711.4000244140625</v>
      </c>
      <c r="C1496">
        <v>713.6500244140625</v>
      </c>
      <c r="D1496">
        <v>686</v>
      </c>
      <c r="E1496">
        <v>708.9000244140625</v>
      </c>
      <c r="F1496">
        <v>768445</v>
      </c>
      <c r="G1496">
        <v>0</v>
      </c>
      <c r="H1496">
        <v>0</v>
      </c>
      <c r="N1496">
        <v>708.9</v>
      </c>
    </row>
    <row r="1497" spans="1:14" x14ac:dyDescent="0.25">
      <c r="A1497" s="1">
        <v>45310</v>
      </c>
      <c r="B1497">
        <v>714.45001220703125</v>
      </c>
      <c r="C1497">
        <v>727.5</v>
      </c>
      <c r="D1497">
        <v>710</v>
      </c>
      <c r="E1497">
        <v>720.54998779296875</v>
      </c>
      <c r="F1497">
        <v>1158529</v>
      </c>
      <c r="G1497">
        <v>0</v>
      </c>
      <c r="H1497">
        <v>0</v>
      </c>
      <c r="N1497">
        <v>720.55</v>
      </c>
    </row>
    <row r="1498" spans="1:14" x14ac:dyDescent="0.25">
      <c r="A1498" s="1">
        <v>45314</v>
      </c>
      <c r="B1498">
        <v>706.5999755859375</v>
      </c>
      <c r="C1498">
        <v>732.5</v>
      </c>
      <c r="D1498">
        <v>706.5999755859375</v>
      </c>
      <c r="E1498">
        <v>729.1500244140625</v>
      </c>
      <c r="F1498">
        <v>2533646</v>
      </c>
      <c r="G1498">
        <v>0</v>
      </c>
      <c r="H1498">
        <v>0</v>
      </c>
      <c r="N1498">
        <v>729.15</v>
      </c>
    </row>
    <row r="1499" spans="1:14" x14ac:dyDescent="0.25">
      <c r="A1499" s="1">
        <v>45315</v>
      </c>
      <c r="B1499">
        <v>733.79998779296875</v>
      </c>
      <c r="C1499">
        <v>753.9000244140625</v>
      </c>
      <c r="D1499">
        <v>726.45001220703125</v>
      </c>
      <c r="E1499">
        <v>752.4000244140625</v>
      </c>
      <c r="F1499">
        <v>2330199</v>
      </c>
      <c r="G1499">
        <v>0</v>
      </c>
      <c r="H1499">
        <v>0</v>
      </c>
      <c r="N1499">
        <v>752.4</v>
      </c>
    </row>
    <row r="1500" spans="1:14" x14ac:dyDescent="0.25">
      <c r="A1500" s="1">
        <v>45316</v>
      </c>
      <c r="B1500">
        <v>753.4000244140625</v>
      </c>
      <c r="C1500">
        <v>753.4000244140625</v>
      </c>
      <c r="D1500">
        <v>732.9000244140625</v>
      </c>
      <c r="E1500">
        <v>736.5</v>
      </c>
      <c r="F1500">
        <v>768082</v>
      </c>
      <c r="G1500">
        <v>0</v>
      </c>
      <c r="H1500">
        <v>0</v>
      </c>
      <c r="N1500">
        <v>736.5</v>
      </c>
    </row>
    <row r="1501" spans="1:14" x14ac:dyDescent="0.25">
      <c r="A1501" s="1">
        <v>45320</v>
      </c>
      <c r="B1501">
        <v>739.9000244140625</v>
      </c>
      <c r="C1501">
        <v>750.45001220703125</v>
      </c>
      <c r="D1501">
        <v>733.54998779296875</v>
      </c>
      <c r="E1501">
        <v>748.5</v>
      </c>
      <c r="F1501">
        <v>517784</v>
      </c>
      <c r="G1501">
        <v>0</v>
      </c>
      <c r="H1501">
        <v>0</v>
      </c>
      <c r="N1501">
        <v>748.5</v>
      </c>
    </row>
    <row r="1502" spans="1:14" x14ac:dyDescent="0.25">
      <c r="A1502" s="1">
        <v>45321</v>
      </c>
      <c r="B1502">
        <v>750.29998779296875</v>
      </c>
      <c r="C1502">
        <v>764.5</v>
      </c>
      <c r="D1502">
        <v>750</v>
      </c>
      <c r="E1502">
        <v>755.9000244140625</v>
      </c>
      <c r="F1502">
        <v>1126826</v>
      </c>
      <c r="G1502">
        <v>0</v>
      </c>
      <c r="H1502">
        <v>0</v>
      </c>
      <c r="N1502">
        <v>755.9</v>
      </c>
    </row>
    <row r="1503" spans="1:14" x14ac:dyDescent="0.25">
      <c r="A1503" s="1">
        <v>45322</v>
      </c>
      <c r="B1503">
        <v>755.9000244140625</v>
      </c>
      <c r="C1503">
        <v>766</v>
      </c>
      <c r="D1503">
        <v>745</v>
      </c>
      <c r="E1503">
        <v>760.79998779296875</v>
      </c>
      <c r="F1503">
        <v>993266</v>
      </c>
      <c r="G1503">
        <v>0</v>
      </c>
      <c r="H1503">
        <v>0</v>
      </c>
      <c r="N1503">
        <v>760.8</v>
      </c>
    </row>
    <row r="1504" spans="1:14" x14ac:dyDescent="0.25">
      <c r="A1504" s="1">
        <v>45323</v>
      </c>
      <c r="B1504">
        <v>763</v>
      </c>
      <c r="C1504">
        <v>766.95001220703125</v>
      </c>
      <c r="D1504">
        <v>749.20001220703125</v>
      </c>
      <c r="E1504">
        <v>759.54998779296875</v>
      </c>
      <c r="F1504">
        <v>471177</v>
      </c>
      <c r="G1504">
        <v>0</v>
      </c>
      <c r="H1504">
        <v>0</v>
      </c>
      <c r="N1504">
        <v>759.55</v>
      </c>
    </row>
    <row r="1505" spans="1:14" x14ac:dyDescent="0.25">
      <c r="A1505" s="1">
        <v>45324</v>
      </c>
      <c r="B1505">
        <v>760</v>
      </c>
      <c r="C1505">
        <v>766.9000244140625</v>
      </c>
      <c r="D1505">
        <v>752</v>
      </c>
      <c r="E1505">
        <v>761.1500244140625</v>
      </c>
      <c r="F1505">
        <v>511333</v>
      </c>
      <c r="G1505">
        <v>0</v>
      </c>
      <c r="H1505">
        <v>0</v>
      </c>
      <c r="N1505">
        <v>761.15</v>
      </c>
    </row>
    <row r="1506" spans="1:14" x14ac:dyDescent="0.25">
      <c r="A1506" s="1">
        <v>45327</v>
      </c>
      <c r="B1506">
        <v>761.5</v>
      </c>
      <c r="C1506">
        <v>777.95001220703125</v>
      </c>
      <c r="D1506">
        <v>754.0999755859375</v>
      </c>
      <c r="E1506">
        <v>760.9000244140625</v>
      </c>
      <c r="F1506">
        <v>1160781</v>
      </c>
      <c r="G1506">
        <v>0</v>
      </c>
      <c r="H1506">
        <v>0</v>
      </c>
      <c r="N1506">
        <v>760.9</v>
      </c>
    </row>
    <row r="1507" spans="1:14" x14ac:dyDescent="0.25">
      <c r="A1507" s="1">
        <v>45328</v>
      </c>
      <c r="B1507">
        <v>780</v>
      </c>
      <c r="C1507">
        <v>809.20001220703125</v>
      </c>
      <c r="D1507">
        <v>775</v>
      </c>
      <c r="E1507">
        <v>797.4000244140625</v>
      </c>
      <c r="F1507">
        <v>3627017</v>
      </c>
      <c r="G1507">
        <v>0</v>
      </c>
      <c r="H1507">
        <v>0</v>
      </c>
      <c r="N1507">
        <v>797.4</v>
      </c>
    </row>
    <row r="1508" spans="1:14" x14ac:dyDescent="0.25">
      <c r="A1508" s="1">
        <v>45329</v>
      </c>
      <c r="B1508">
        <v>804.8499755859375</v>
      </c>
      <c r="C1508">
        <v>804.8499755859375</v>
      </c>
      <c r="D1508">
        <v>786.54998779296875</v>
      </c>
      <c r="E1508">
        <v>791.5999755859375</v>
      </c>
      <c r="F1508">
        <v>1103135</v>
      </c>
      <c r="G1508">
        <v>0</v>
      </c>
      <c r="H1508">
        <v>0</v>
      </c>
      <c r="N1508">
        <v>791.6</v>
      </c>
    </row>
    <row r="1509" spans="1:14" x14ac:dyDescent="0.25">
      <c r="A1509" s="1">
        <v>45330</v>
      </c>
      <c r="B1509">
        <v>795.45001220703125</v>
      </c>
      <c r="C1509">
        <v>808</v>
      </c>
      <c r="D1509">
        <v>792.29998779296875</v>
      </c>
      <c r="E1509">
        <v>802.04998779296875</v>
      </c>
      <c r="F1509">
        <v>746665</v>
      </c>
      <c r="G1509">
        <v>0</v>
      </c>
      <c r="H1509">
        <v>0</v>
      </c>
      <c r="N1509">
        <v>802.05</v>
      </c>
    </row>
    <row r="1510" spans="1:14" x14ac:dyDescent="0.25">
      <c r="A1510" s="1">
        <v>45331</v>
      </c>
      <c r="B1510">
        <v>806</v>
      </c>
      <c r="C1510">
        <v>820.95001220703125</v>
      </c>
      <c r="D1510">
        <v>768.79998779296875</v>
      </c>
      <c r="E1510">
        <v>805.04998779296875</v>
      </c>
      <c r="F1510">
        <v>2721642</v>
      </c>
      <c r="G1510">
        <v>0</v>
      </c>
      <c r="H1510">
        <v>0</v>
      </c>
      <c r="N1510">
        <v>805.05</v>
      </c>
    </row>
    <row r="1511" spans="1:14" x14ac:dyDescent="0.25">
      <c r="A1511" s="1">
        <v>45334</v>
      </c>
      <c r="B1511">
        <v>809.75</v>
      </c>
      <c r="C1511">
        <v>863.3499755859375</v>
      </c>
      <c r="D1511">
        <v>803.04998779296875</v>
      </c>
      <c r="E1511">
        <v>856.6500244140625</v>
      </c>
      <c r="F1511">
        <v>6951210</v>
      </c>
      <c r="G1511">
        <v>0</v>
      </c>
      <c r="H1511">
        <v>0</v>
      </c>
      <c r="N1511">
        <v>856.65</v>
      </c>
    </row>
    <row r="1512" spans="1:14" x14ac:dyDescent="0.25">
      <c r="A1512" s="1">
        <v>45335</v>
      </c>
      <c r="B1512">
        <v>856</v>
      </c>
      <c r="C1512">
        <v>866.8499755859375</v>
      </c>
      <c r="D1512">
        <v>844.8499755859375</v>
      </c>
      <c r="E1512">
        <v>857.79998779296875</v>
      </c>
      <c r="F1512">
        <v>1510782</v>
      </c>
      <c r="G1512">
        <v>0</v>
      </c>
      <c r="H1512">
        <v>0</v>
      </c>
      <c r="N1512">
        <v>857.8</v>
      </c>
    </row>
    <row r="1513" spans="1:14" x14ac:dyDescent="0.25">
      <c r="A1513" s="1">
        <v>45336</v>
      </c>
      <c r="B1513">
        <v>846</v>
      </c>
      <c r="C1513">
        <v>872</v>
      </c>
      <c r="D1513">
        <v>844.6500244140625</v>
      </c>
      <c r="E1513">
        <v>867.79998779296875</v>
      </c>
      <c r="F1513">
        <v>884541</v>
      </c>
      <c r="G1513">
        <v>0</v>
      </c>
      <c r="H1513">
        <v>0</v>
      </c>
      <c r="N1513">
        <v>867.8</v>
      </c>
    </row>
    <row r="1514" spans="1:14" x14ac:dyDescent="0.25">
      <c r="A1514" s="1">
        <v>45337</v>
      </c>
      <c r="B1514">
        <v>872</v>
      </c>
      <c r="C1514">
        <v>885</v>
      </c>
      <c r="D1514">
        <v>863.45001220703125</v>
      </c>
      <c r="E1514">
        <v>878.95001220703125</v>
      </c>
      <c r="F1514">
        <v>622903</v>
      </c>
      <c r="G1514">
        <v>0</v>
      </c>
      <c r="H1514">
        <v>0</v>
      </c>
      <c r="N1514">
        <v>878.95</v>
      </c>
    </row>
    <row r="1515" spans="1:14" x14ac:dyDescent="0.25">
      <c r="A1515" s="1">
        <v>45338</v>
      </c>
      <c r="B1515">
        <v>885.6500244140625</v>
      </c>
      <c r="C1515">
        <v>893.75</v>
      </c>
      <c r="D1515">
        <v>880.3499755859375</v>
      </c>
      <c r="E1515">
        <v>891.9000244140625</v>
      </c>
      <c r="F1515">
        <v>826132</v>
      </c>
      <c r="G1515">
        <v>0</v>
      </c>
      <c r="H1515">
        <v>0</v>
      </c>
      <c r="N1515">
        <v>891.9</v>
      </c>
    </row>
    <row r="1516" spans="1:14" x14ac:dyDescent="0.25">
      <c r="A1516" s="1">
        <v>45341</v>
      </c>
      <c r="B1516">
        <v>897.1500244140625</v>
      </c>
      <c r="C1516">
        <v>910</v>
      </c>
      <c r="D1516">
        <v>892.4000244140625</v>
      </c>
      <c r="E1516">
        <v>907.54998779296875</v>
      </c>
      <c r="F1516">
        <v>1032096</v>
      </c>
      <c r="G1516">
        <v>0</v>
      </c>
      <c r="H1516">
        <v>0</v>
      </c>
      <c r="N1516">
        <v>907.55</v>
      </c>
    </row>
    <row r="1517" spans="1:14" x14ac:dyDescent="0.25">
      <c r="A1517" s="1">
        <v>45342</v>
      </c>
      <c r="B1517">
        <v>908</v>
      </c>
      <c r="C1517">
        <v>912.79998779296875</v>
      </c>
      <c r="D1517">
        <v>892.5</v>
      </c>
      <c r="E1517">
        <v>895.75</v>
      </c>
      <c r="F1517">
        <v>1009373</v>
      </c>
      <c r="G1517">
        <v>0</v>
      </c>
      <c r="H1517">
        <v>0</v>
      </c>
      <c r="N1517">
        <v>895.75</v>
      </c>
    </row>
    <row r="1518" spans="1:14" x14ac:dyDescent="0.25">
      <c r="A1518" s="1">
        <v>45343</v>
      </c>
      <c r="B1518">
        <v>896.95001220703125</v>
      </c>
      <c r="C1518">
        <v>902.6500244140625</v>
      </c>
      <c r="D1518">
        <v>889</v>
      </c>
      <c r="E1518">
        <v>893.79998779296875</v>
      </c>
      <c r="F1518">
        <v>795916</v>
      </c>
      <c r="G1518">
        <v>0</v>
      </c>
      <c r="H1518">
        <v>0</v>
      </c>
      <c r="N1518">
        <v>893.8</v>
      </c>
    </row>
    <row r="1519" spans="1:14" x14ac:dyDescent="0.25">
      <c r="A1519" s="1">
        <v>45344</v>
      </c>
      <c r="B1519">
        <v>896</v>
      </c>
      <c r="C1519">
        <v>907.5</v>
      </c>
      <c r="D1519">
        <v>889</v>
      </c>
      <c r="E1519">
        <v>904.29998779296875</v>
      </c>
      <c r="F1519">
        <v>940029</v>
      </c>
      <c r="G1519">
        <v>0</v>
      </c>
      <c r="H1519">
        <v>0</v>
      </c>
      <c r="N1519">
        <v>904.3</v>
      </c>
    </row>
    <row r="1520" spans="1:14" x14ac:dyDescent="0.25">
      <c r="A1520" s="1">
        <v>45345</v>
      </c>
      <c r="B1520">
        <v>900.04998779296875</v>
      </c>
      <c r="C1520">
        <v>937</v>
      </c>
      <c r="D1520">
        <v>898.0999755859375</v>
      </c>
      <c r="E1520">
        <v>923.25</v>
      </c>
      <c r="F1520">
        <v>1568847</v>
      </c>
      <c r="G1520">
        <v>0</v>
      </c>
      <c r="H1520">
        <v>0</v>
      </c>
      <c r="N1520">
        <v>923.25</v>
      </c>
    </row>
    <row r="1521" spans="1:14" x14ac:dyDescent="0.25">
      <c r="A1521" s="1">
        <v>45348</v>
      </c>
      <c r="B1521">
        <v>928.0999755859375</v>
      </c>
      <c r="C1521">
        <v>948.1500244140625</v>
      </c>
      <c r="D1521">
        <v>922.54998779296875</v>
      </c>
      <c r="E1521">
        <v>942.54998779296875</v>
      </c>
      <c r="F1521">
        <v>1420030</v>
      </c>
      <c r="G1521">
        <v>0</v>
      </c>
      <c r="H1521">
        <v>0</v>
      </c>
      <c r="N1521">
        <v>942.55</v>
      </c>
    </row>
    <row r="1522" spans="1:14" x14ac:dyDescent="0.25">
      <c r="A1522" s="1">
        <v>45349</v>
      </c>
      <c r="B1522">
        <v>947</v>
      </c>
      <c r="C1522">
        <v>953.6500244140625</v>
      </c>
      <c r="D1522">
        <v>938.5</v>
      </c>
      <c r="E1522">
        <v>942.8499755859375</v>
      </c>
      <c r="F1522">
        <v>860496</v>
      </c>
      <c r="G1522">
        <v>0</v>
      </c>
      <c r="H1522">
        <v>0</v>
      </c>
      <c r="N1522">
        <v>942.85</v>
      </c>
    </row>
    <row r="1523" spans="1:14" x14ac:dyDescent="0.25">
      <c r="A1523" s="1">
        <v>45350</v>
      </c>
      <c r="B1523">
        <v>946.45001220703125</v>
      </c>
      <c r="C1523">
        <v>951.95001220703125</v>
      </c>
      <c r="D1523">
        <v>925.04998779296875</v>
      </c>
      <c r="E1523">
        <v>932.5999755859375</v>
      </c>
      <c r="F1523">
        <v>643023</v>
      </c>
      <c r="G1523">
        <v>0</v>
      </c>
      <c r="H1523">
        <v>0</v>
      </c>
      <c r="N1523">
        <v>932.6</v>
      </c>
    </row>
    <row r="1524" spans="1:14" x14ac:dyDescent="0.25">
      <c r="A1524" s="1">
        <v>45351</v>
      </c>
      <c r="B1524">
        <v>934.45001220703125</v>
      </c>
      <c r="C1524">
        <v>948.6500244140625</v>
      </c>
      <c r="D1524">
        <v>922.54998779296875</v>
      </c>
      <c r="E1524">
        <v>941.9000244140625</v>
      </c>
      <c r="F1524">
        <v>1151822</v>
      </c>
      <c r="G1524">
        <v>0</v>
      </c>
      <c r="H1524">
        <v>0</v>
      </c>
      <c r="N1524">
        <v>941.9</v>
      </c>
    </row>
    <row r="1525" spans="1:14" x14ac:dyDescent="0.25">
      <c r="A1525" s="1">
        <v>45352</v>
      </c>
      <c r="B1525">
        <v>948.3499755859375</v>
      </c>
      <c r="C1525">
        <v>948.3499755859375</v>
      </c>
      <c r="D1525">
        <v>923.5999755859375</v>
      </c>
      <c r="E1525">
        <v>925.3499755859375</v>
      </c>
      <c r="F1525">
        <v>1099628</v>
      </c>
      <c r="G1525">
        <v>0</v>
      </c>
      <c r="H1525">
        <v>0</v>
      </c>
      <c r="N1525">
        <v>925.35</v>
      </c>
    </row>
    <row r="1526" spans="1:14" x14ac:dyDescent="0.25">
      <c r="A1526" s="1">
        <v>45355</v>
      </c>
      <c r="B1526">
        <v>921.70001220703125</v>
      </c>
      <c r="C1526">
        <v>952.04998779296875</v>
      </c>
      <c r="D1526">
        <v>921.70001220703125</v>
      </c>
      <c r="E1526">
        <v>946.25</v>
      </c>
      <c r="F1526">
        <v>1542314</v>
      </c>
      <c r="G1526">
        <v>0</v>
      </c>
      <c r="H1526">
        <v>0</v>
      </c>
      <c r="N1526">
        <v>946.25</v>
      </c>
    </row>
    <row r="1527" spans="1:14" x14ac:dyDescent="0.25">
      <c r="A1527" s="1">
        <v>45356</v>
      </c>
      <c r="B1527">
        <v>953</v>
      </c>
      <c r="C1527">
        <v>956.5999755859375</v>
      </c>
      <c r="D1527">
        <v>939.29998779296875</v>
      </c>
      <c r="E1527">
        <v>953.75</v>
      </c>
      <c r="F1527">
        <v>928697</v>
      </c>
      <c r="G1527">
        <v>0</v>
      </c>
      <c r="H1527">
        <v>0</v>
      </c>
      <c r="N1527">
        <v>953.75</v>
      </c>
    </row>
    <row r="1528" spans="1:14" x14ac:dyDescent="0.25">
      <c r="A1528" s="1">
        <v>45357</v>
      </c>
      <c r="B1528">
        <v>952.9000244140625</v>
      </c>
      <c r="C1528">
        <v>964.9000244140625</v>
      </c>
      <c r="D1528">
        <v>934.3499755859375</v>
      </c>
      <c r="E1528">
        <v>961.8499755859375</v>
      </c>
      <c r="F1528">
        <v>840117</v>
      </c>
      <c r="G1528">
        <v>0</v>
      </c>
      <c r="H1528">
        <v>0</v>
      </c>
      <c r="N1528">
        <v>961.85</v>
      </c>
    </row>
    <row r="1529" spans="1:14" x14ac:dyDescent="0.25">
      <c r="A1529" s="1">
        <v>45358</v>
      </c>
      <c r="B1529">
        <v>962</v>
      </c>
      <c r="C1529">
        <v>981.95001220703125</v>
      </c>
      <c r="D1529">
        <v>958.04998779296875</v>
      </c>
      <c r="E1529">
        <v>976.75</v>
      </c>
      <c r="F1529">
        <v>921521</v>
      </c>
      <c r="G1529">
        <v>0</v>
      </c>
      <c r="H1529">
        <v>0</v>
      </c>
      <c r="N1529">
        <v>976.75</v>
      </c>
    </row>
    <row r="1530" spans="1:14" x14ac:dyDescent="0.25">
      <c r="A1530" s="1">
        <v>45362</v>
      </c>
      <c r="B1530">
        <v>985.95001220703125</v>
      </c>
      <c r="C1530">
        <v>1015.5</v>
      </c>
      <c r="D1530">
        <v>980.5</v>
      </c>
      <c r="E1530">
        <v>994.45001220703125</v>
      </c>
      <c r="F1530">
        <v>1932290</v>
      </c>
      <c r="G1530">
        <v>0</v>
      </c>
      <c r="H1530">
        <v>0</v>
      </c>
      <c r="N1530">
        <v>994.45</v>
      </c>
    </row>
    <row r="1531" spans="1:14" x14ac:dyDescent="0.25">
      <c r="A1531" s="1">
        <v>45363</v>
      </c>
      <c r="B1531">
        <v>999.70001220703125</v>
      </c>
      <c r="C1531">
        <v>1007.4500122070313</v>
      </c>
      <c r="D1531">
        <v>980</v>
      </c>
      <c r="E1531">
        <v>987.70001220703125</v>
      </c>
      <c r="F1531">
        <v>1139238</v>
      </c>
      <c r="G1531">
        <v>0</v>
      </c>
      <c r="H1531">
        <v>0</v>
      </c>
      <c r="N1531">
        <v>987.7</v>
      </c>
    </row>
    <row r="1532" spans="1:14" x14ac:dyDescent="0.25">
      <c r="A1532" s="1">
        <v>45364</v>
      </c>
      <c r="B1532">
        <v>984.20001220703125</v>
      </c>
      <c r="C1532">
        <v>996.9000244140625</v>
      </c>
      <c r="D1532">
        <v>960.8499755859375</v>
      </c>
      <c r="E1532">
        <v>968.6500244140625</v>
      </c>
      <c r="F1532">
        <v>1221703</v>
      </c>
      <c r="G1532">
        <v>0</v>
      </c>
      <c r="H1532">
        <v>0</v>
      </c>
      <c r="N1532">
        <v>968.65</v>
      </c>
    </row>
    <row r="1533" spans="1:14" x14ac:dyDescent="0.25">
      <c r="A1533" s="1">
        <v>45365</v>
      </c>
      <c r="B1533">
        <v>970.95001220703125</v>
      </c>
      <c r="C1533">
        <v>999.9000244140625</v>
      </c>
      <c r="D1533">
        <v>962.1500244140625</v>
      </c>
      <c r="E1533">
        <v>995.29998779296875</v>
      </c>
      <c r="F1533">
        <v>1275922</v>
      </c>
      <c r="G1533">
        <v>0</v>
      </c>
      <c r="H1533">
        <v>0</v>
      </c>
      <c r="N1533">
        <v>995.3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E16C0-F5D7-47EB-9B1F-6EF5CFDB3A6A}">
  <sheetPr codeName="Sheet3"/>
  <dimension ref="A1:K3258"/>
  <sheetViews>
    <sheetView tabSelected="1" workbookViewId="0">
      <selection activeCell="I1" sqref="I1"/>
    </sheetView>
  </sheetViews>
  <sheetFormatPr defaultRowHeight="15" x14ac:dyDescent="0.25"/>
  <cols>
    <col min="1" max="1" width="13.7109375" style="3" bestFit="1" customWidth="1"/>
    <col min="2" max="2" width="13.42578125" style="4" bestFit="1" customWidth="1"/>
    <col min="3" max="3" width="13.140625" style="4" bestFit="1" customWidth="1"/>
    <col min="4" max="4" width="12.28515625" style="4" bestFit="1" customWidth="1"/>
    <col min="5" max="5" width="12" style="4" bestFit="1" customWidth="1"/>
    <col min="6" max="6" width="10.85546875" style="4" bestFit="1" customWidth="1"/>
    <col min="7" max="7" width="18.5703125" style="4" bestFit="1" customWidth="1"/>
    <col min="8" max="8" width="13.7109375" style="3" bestFit="1" customWidth="1"/>
    <col min="9" max="9" width="14.28515625" style="4" customWidth="1"/>
    <col min="10" max="16384" width="9.140625" style="4"/>
  </cols>
  <sheetData>
    <row r="1" spans="1:11" s="6" customFormat="1" ht="45" x14ac:dyDescent="0.25">
      <c r="A1" s="5" t="str" cm="1">
        <f t="array" ref="A1:G3258">get_historical_data_gold("refined-gold","21/03/2024","01/01/2011")</f>
        <v>col-rowDate</v>
      </c>
      <c r="B1" s="6" t="str">
        <v>col-last_close</v>
      </c>
      <c r="C1" s="6" t="str">
        <v>col-last_open</v>
      </c>
      <c r="D1" s="6" t="str">
        <v>col-last_max</v>
      </c>
      <c r="E1" s="6" t="str">
        <v>col-last_min</v>
      </c>
      <c r="F1" s="6" t="str">
        <v>col-volume</v>
      </c>
      <c r="G1" s="6" t="str">
        <v>col-change_percent</v>
      </c>
      <c r="H1" s="5" t="s">
        <v>10</v>
      </c>
      <c r="I1" s="7" t="s">
        <v>3</v>
      </c>
    </row>
    <row r="2" spans="1:11" x14ac:dyDescent="0.25">
      <c r="A2" s="3">
        <v>45371</v>
      </c>
      <c r="B2" s="4">
        <v>65750</v>
      </c>
      <c r="C2" s="4">
        <v>65599</v>
      </c>
      <c r="D2" s="4">
        <v>65856</v>
      </c>
      <c r="E2" s="4">
        <v>65540</v>
      </c>
      <c r="F2" s="4" t="str">
        <v>4.79K</v>
      </c>
      <c r="G2" s="4" t="str">
        <v>0.25%</v>
      </c>
      <c r="H2" s="3" cm="1">
        <f t="array" ref="H2:H3258">A2:A3258</f>
        <v>45371</v>
      </c>
      <c r="I2" s="4" cm="1">
        <f t="array" ref="I2:I3258">_xlfn.MAP(D2:D3258,E2:E3258,_xlfn.LAMBDA(_xlpm.x,_xlpm.y,AVERAGE(_xlpm.x,_xlpm.y)))</f>
        <v>65698</v>
      </c>
      <c r="J2" s="4">
        <f>RSQ(_xlfn.ANCHORARRAY(I2),_xlfn.ANCHORARRAY(H2))</f>
        <v>0.75964464038889756</v>
      </c>
      <c r="K2" s="8" t="s">
        <v>4</v>
      </c>
    </row>
    <row r="3" spans="1:11" x14ac:dyDescent="0.25">
      <c r="A3" s="3">
        <v>45370</v>
      </c>
      <c r="B3" s="4">
        <v>65583</v>
      </c>
      <c r="C3" s="4">
        <v>65609</v>
      </c>
      <c r="D3" s="4">
        <v>65719</v>
      </c>
      <c r="E3" s="4">
        <v>65375</v>
      </c>
      <c r="F3" s="4" t="str">
        <v>4.34K</v>
      </c>
      <c r="G3" s="4" t="str">
        <v>-0.04%</v>
      </c>
      <c r="H3" s="3">
        <v>45370</v>
      </c>
      <c r="I3" s="4">
        <v>65547</v>
      </c>
      <c r="J3" s="4">
        <f>INDEX(LINEST(_xlfn.ANCHORARRAY(I2),_xlfn.ANCHORARRAY(H2)),1,1)</f>
        <v>7.4734596259410155</v>
      </c>
      <c r="K3" s="8" t="s">
        <v>5</v>
      </c>
    </row>
    <row r="4" spans="1:11" x14ac:dyDescent="0.25">
      <c r="A4" s="3">
        <v>45369</v>
      </c>
      <c r="B4" s="4">
        <v>65608</v>
      </c>
      <c r="C4" s="4">
        <v>65348</v>
      </c>
      <c r="D4" s="4">
        <v>65700</v>
      </c>
      <c r="E4" s="4">
        <v>65180</v>
      </c>
      <c r="F4" s="4" t="str">
        <v>4.00K</v>
      </c>
      <c r="G4" s="4" t="str">
        <v>0.10%</v>
      </c>
      <c r="H4" s="3">
        <v>45369</v>
      </c>
      <c r="I4" s="4">
        <v>65440</v>
      </c>
      <c r="J4" s="4">
        <f>INDEX(LINEST(_xlfn.ANCHORARRAY(I2),_xlfn.ANCHORARRAY(H2)),1,2)</f>
        <v>-284923.72928328073</v>
      </c>
      <c r="K4" s="8" t="s">
        <v>6</v>
      </c>
    </row>
    <row r="5" spans="1:11" x14ac:dyDescent="0.25">
      <c r="A5" s="3">
        <v>45366</v>
      </c>
      <c r="B5" s="4">
        <v>65542</v>
      </c>
      <c r="C5" s="4">
        <v>65659</v>
      </c>
      <c r="D5" s="4">
        <v>65897</v>
      </c>
      <c r="E5" s="4">
        <v>65510</v>
      </c>
      <c r="F5" s="4" t="str">
        <v>5.14K</v>
      </c>
      <c r="G5" s="4" t="str">
        <v>-0.08%</v>
      </c>
      <c r="H5" s="3">
        <v>45366</v>
      </c>
      <c r="I5" s="4">
        <v>65703.5</v>
      </c>
    </row>
    <row r="6" spans="1:11" x14ac:dyDescent="0.25">
      <c r="A6" s="3">
        <v>45365</v>
      </c>
      <c r="B6" s="4">
        <v>65595</v>
      </c>
      <c r="C6" s="4">
        <v>65800</v>
      </c>
      <c r="D6" s="4">
        <v>65843</v>
      </c>
      <c r="E6" s="4">
        <v>65434</v>
      </c>
      <c r="F6" s="4" t="str">
        <v>3.78K</v>
      </c>
      <c r="G6" s="4" t="str">
        <v>-0.46%</v>
      </c>
      <c r="H6" s="3">
        <v>45365</v>
      </c>
      <c r="I6" s="4">
        <v>65638.5</v>
      </c>
    </row>
    <row r="7" spans="1:11" x14ac:dyDescent="0.25">
      <c r="A7" s="3">
        <v>45364</v>
      </c>
      <c r="B7" s="4">
        <v>65897</v>
      </c>
      <c r="C7" s="4">
        <v>65520</v>
      </c>
      <c r="D7" s="4">
        <v>66030</v>
      </c>
      <c r="E7" s="4">
        <v>65450</v>
      </c>
      <c r="F7" s="4" t="str">
        <v>4.04K</v>
      </c>
      <c r="G7" s="4" t="str">
        <v>0.64%</v>
      </c>
      <c r="H7" s="3">
        <v>45364</v>
      </c>
      <c r="I7" s="4">
        <v>65740</v>
      </c>
    </row>
    <row r="8" spans="1:11" x14ac:dyDescent="0.25">
      <c r="A8" s="3">
        <v>45363</v>
      </c>
      <c r="B8" s="4">
        <v>65481</v>
      </c>
      <c r="C8" s="4">
        <v>65932</v>
      </c>
      <c r="D8" s="4">
        <v>66044</v>
      </c>
      <c r="E8" s="4">
        <v>65382</v>
      </c>
      <c r="F8" s="4" t="str">
        <v>7.25K</v>
      </c>
      <c r="G8" s="4" t="str">
        <v>-0.84%</v>
      </c>
      <c r="H8" s="3">
        <v>45363</v>
      </c>
      <c r="I8" s="4">
        <v>65713</v>
      </c>
    </row>
    <row r="9" spans="1:11" x14ac:dyDescent="0.25">
      <c r="A9" s="3">
        <v>45362</v>
      </c>
      <c r="B9" s="4">
        <v>66035</v>
      </c>
      <c r="C9" s="4">
        <v>66023</v>
      </c>
      <c r="D9" s="4">
        <v>66182</v>
      </c>
      <c r="E9" s="4">
        <v>65900</v>
      </c>
      <c r="F9" s="4" t="str">
        <v>3.77K</v>
      </c>
      <c r="G9" s="4" t="str">
        <v>0.02%</v>
      </c>
      <c r="H9" s="3">
        <v>45362</v>
      </c>
      <c r="I9" s="4">
        <v>66041</v>
      </c>
    </row>
    <row r="10" spans="1:11" x14ac:dyDescent="0.25">
      <c r="A10" s="3">
        <v>45359</v>
      </c>
      <c r="B10" s="4">
        <v>66023</v>
      </c>
      <c r="C10" s="4">
        <v>65599</v>
      </c>
      <c r="D10" s="4">
        <v>66356</v>
      </c>
      <c r="E10" s="4">
        <v>65416</v>
      </c>
      <c r="F10" s="4" t="str">
        <v>6.29K</v>
      </c>
      <c r="G10" s="4" t="str">
        <v>0.94%</v>
      </c>
      <c r="H10" s="3">
        <v>45359</v>
      </c>
      <c r="I10" s="4">
        <v>65886</v>
      </c>
    </row>
    <row r="11" spans="1:11" x14ac:dyDescent="0.25">
      <c r="A11" s="3">
        <v>45358</v>
      </c>
      <c r="B11" s="4">
        <v>65406</v>
      </c>
      <c r="C11" s="4">
        <v>65205</v>
      </c>
      <c r="D11" s="4">
        <v>65587</v>
      </c>
      <c r="E11" s="4">
        <v>65180</v>
      </c>
      <c r="F11" s="4" t="str">
        <v>5.99K</v>
      </c>
      <c r="G11" s="4" t="str">
        <v>0.35%</v>
      </c>
      <c r="H11" s="3">
        <v>45358</v>
      </c>
      <c r="I11" s="4">
        <v>65383.5</v>
      </c>
    </row>
    <row r="12" spans="1:11" x14ac:dyDescent="0.25">
      <c r="A12" s="3">
        <v>45357</v>
      </c>
      <c r="B12" s="4">
        <v>65178</v>
      </c>
      <c r="C12" s="4">
        <v>64702</v>
      </c>
      <c r="D12" s="4">
        <v>65250</v>
      </c>
      <c r="E12" s="4">
        <v>64679</v>
      </c>
      <c r="F12" s="4" t="str">
        <v>5.46K</v>
      </c>
      <c r="G12" s="4" t="str">
        <v>0.51%</v>
      </c>
      <c r="H12" s="3">
        <v>45357</v>
      </c>
      <c r="I12" s="4">
        <v>64964.5</v>
      </c>
    </row>
    <row r="13" spans="1:11" x14ac:dyDescent="0.25">
      <c r="A13" s="3">
        <v>45356</v>
      </c>
      <c r="B13" s="4">
        <v>64845</v>
      </c>
      <c r="C13" s="4">
        <v>64331</v>
      </c>
      <c r="D13" s="4">
        <v>65140</v>
      </c>
      <c r="E13" s="4">
        <v>64331</v>
      </c>
      <c r="F13" s="4" t="str">
        <v>7.94K</v>
      </c>
      <c r="G13" s="4" t="str">
        <v>0.59%</v>
      </c>
      <c r="H13" s="3">
        <v>45356</v>
      </c>
      <c r="I13" s="4">
        <v>64735.5</v>
      </c>
    </row>
    <row r="14" spans="1:11" x14ac:dyDescent="0.25">
      <c r="A14" s="3">
        <v>45355</v>
      </c>
      <c r="B14" s="4">
        <v>64462</v>
      </c>
      <c r="C14" s="4">
        <v>63401</v>
      </c>
      <c r="D14" s="4">
        <v>64575</v>
      </c>
      <c r="E14" s="4">
        <v>63401</v>
      </c>
      <c r="F14" s="4" t="str">
        <v>7.55K</v>
      </c>
      <c r="G14" s="4" t="str">
        <v>1.41%</v>
      </c>
      <c r="H14" s="3">
        <v>45355</v>
      </c>
      <c r="I14" s="4">
        <v>63988</v>
      </c>
    </row>
    <row r="15" spans="1:11" x14ac:dyDescent="0.25">
      <c r="A15" s="3">
        <v>45352</v>
      </c>
      <c r="B15" s="4">
        <v>63563</v>
      </c>
      <c r="C15" s="4">
        <v>62567</v>
      </c>
      <c r="D15" s="4">
        <v>63611</v>
      </c>
      <c r="E15" s="4">
        <v>62403</v>
      </c>
      <c r="F15" s="4" t="str">
        <v>9.44K</v>
      </c>
      <c r="G15" s="4" t="str">
        <v>1.59%</v>
      </c>
      <c r="H15" s="3">
        <v>45352</v>
      </c>
      <c r="I15" s="4">
        <v>63007</v>
      </c>
    </row>
    <row r="16" spans="1:11" x14ac:dyDescent="0.25">
      <c r="A16" s="3">
        <v>45351</v>
      </c>
      <c r="B16" s="4">
        <v>62567</v>
      </c>
      <c r="C16" s="4">
        <v>62270</v>
      </c>
      <c r="D16" s="4">
        <v>62688</v>
      </c>
      <c r="E16" s="4">
        <v>62118</v>
      </c>
      <c r="F16" s="4" t="str">
        <v>4.86K</v>
      </c>
      <c r="G16" s="4" t="str">
        <v>0.51%</v>
      </c>
      <c r="H16" s="3">
        <v>45351</v>
      </c>
      <c r="I16" s="4">
        <v>62403</v>
      </c>
    </row>
    <row r="17" spans="1:9" x14ac:dyDescent="0.25">
      <c r="A17" s="3">
        <v>45350</v>
      </c>
      <c r="B17" s="4">
        <v>62249</v>
      </c>
      <c r="C17" s="4">
        <v>62215</v>
      </c>
      <c r="D17" s="4">
        <v>62360</v>
      </c>
      <c r="E17" s="4">
        <v>62077</v>
      </c>
      <c r="F17" s="4" t="str">
        <v>3.09K</v>
      </c>
      <c r="G17" s="4" t="str">
        <v>-0.08%</v>
      </c>
      <c r="H17" s="3">
        <v>45350</v>
      </c>
      <c r="I17" s="4">
        <v>62218.5</v>
      </c>
    </row>
    <row r="18" spans="1:9" x14ac:dyDescent="0.25">
      <c r="A18" s="3">
        <v>45349</v>
      </c>
      <c r="B18" s="4">
        <v>62301</v>
      </c>
      <c r="C18" s="4">
        <v>62200</v>
      </c>
      <c r="D18" s="4">
        <v>62385</v>
      </c>
      <c r="E18" s="4">
        <v>62180</v>
      </c>
      <c r="F18" s="4" t="str">
        <v>3.23K</v>
      </c>
      <c r="G18" s="4" t="str">
        <v>0.24%</v>
      </c>
      <c r="H18" s="3">
        <v>45349</v>
      </c>
      <c r="I18" s="4">
        <v>62282.5</v>
      </c>
    </row>
    <row r="19" spans="1:9" x14ac:dyDescent="0.25">
      <c r="A19" s="3">
        <v>45348</v>
      </c>
      <c r="B19" s="4">
        <v>62149</v>
      </c>
      <c r="C19" s="4">
        <v>62327</v>
      </c>
      <c r="D19" s="4">
        <v>62340</v>
      </c>
      <c r="E19" s="4">
        <v>62050</v>
      </c>
      <c r="F19" s="4" t="str">
        <v>2.87K</v>
      </c>
      <c r="G19" s="4" t="str">
        <v>-0.31%</v>
      </c>
      <c r="H19" s="3">
        <v>45348</v>
      </c>
      <c r="I19" s="4">
        <v>62195</v>
      </c>
    </row>
    <row r="20" spans="1:9" x14ac:dyDescent="0.25">
      <c r="A20" s="3">
        <v>45345</v>
      </c>
      <c r="B20" s="4">
        <v>62345</v>
      </c>
      <c r="C20" s="4">
        <v>62108</v>
      </c>
      <c r="D20" s="4">
        <v>62388</v>
      </c>
      <c r="E20" s="4">
        <v>61877</v>
      </c>
      <c r="F20" s="4" t="str">
        <v>4.83K</v>
      </c>
      <c r="G20" s="4" t="str">
        <v>0.59%</v>
      </c>
      <c r="H20" s="3">
        <v>45345</v>
      </c>
      <c r="I20" s="4">
        <v>62132.5</v>
      </c>
    </row>
    <row r="21" spans="1:9" x14ac:dyDescent="0.25">
      <c r="A21" s="3">
        <v>45344</v>
      </c>
      <c r="B21" s="4">
        <v>61977</v>
      </c>
      <c r="C21" s="4">
        <v>62155</v>
      </c>
      <c r="D21" s="4">
        <v>62308</v>
      </c>
      <c r="E21" s="4">
        <v>61951</v>
      </c>
      <c r="F21" s="4" t="str">
        <v>3.22K</v>
      </c>
      <c r="G21" s="4" t="str">
        <v>-0.21%</v>
      </c>
      <c r="H21" s="3">
        <v>45344</v>
      </c>
      <c r="I21" s="4">
        <v>62129.5</v>
      </c>
    </row>
    <row r="22" spans="1:9" x14ac:dyDescent="0.25">
      <c r="A22" s="3">
        <v>45343</v>
      </c>
      <c r="B22" s="4">
        <v>62108</v>
      </c>
      <c r="C22" s="4">
        <v>62211</v>
      </c>
      <c r="D22" s="4">
        <v>62279</v>
      </c>
      <c r="E22" s="4">
        <v>62052</v>
      </c>
      <c r="F22" s="4" t="str">
        <v>2.00K</v>
      </c>
      <c r="G22" s="4" t="str">
        <v>-0.09%</v>
      </c>
      <c r="H22" s="3">
        <v>45343</v>
      </c>
      <c r="I22" s="4">
        <v>62165.5</v>
      </c>
    </row>
    <row r="23" spans="1:9" x14ac:dyDescent="0.25">
      <c r="A23" s="3">
        <v>45342</v>
      </c>
      <c r="B23" s="4">
        <v>62167</v>
      </c>
      <c r="C23" s="4">
        <v>62007</v>
      </c>
      <c r="D23" s="4">
        <v>62258</v>
      </c>
      <c r="E23" s="4">
        <v>61931</v>
      </c>
      <c r="F23" s="4" t="str">
        <v>3.25K</v>
      </c>
      <c r="G23" s="4" t="str">
        <v>0.26%</v>
      </c>
      <c r="H23" s="3">
        <v>45342</v>
      </c>
      <c r="I23" s="4">
        <v>62094.5</v>
      </c>
    </row>
    <row r="24" spans="1:9" x14ac:dyDescent="0.25">
      <c r="A24" s="3">
        <v>45341</v>
      </c>
      <c r="B24" s="4">
        <v>62004</v>
      </c>
      <c r="C24" s="4">
        <v>61970</v>
      </c>
      <c r="D24" s="4">
        <v>62107</v>
      </c>
      <c r="E24" s="4">
        <v>61903</v>
      </c>
      <c r="F24" s="4" t="str">
        <v>2.12K</v>
      </c>
      <c r="G24" s="4" t="str">
        <v>0.20%</v>
      </c>
      <c r="H24" s="3">
        <v>45341</v>
      </c>
      <c r="I24" s="4">
        <v>62005</v>
      </c>
    </row>
    <row r="25" spans="1:9" x14ac:dyDescent="0.25">
      <c r="A25" s="3">
        <v>45338</v>
      </c>
      <c r="B25" s="4">
        <v>61878</v>
      </c>
      <c r="C25" s="4">
        <v>61651</v>
      </c>
      <c r="D25" s="4">
        <v>61904</v>
      </c>
      <c r="E25" s="4">
        <v>61451</v>
      </c>
      <c r="F25" s="4" t="str">
        <v>3.97K</v>
      </c>
      <c r="G25" s="4" t="str">
        <v>0.42%</v>
      </c>
      <c r="H25" s="3">
        <v>45338</v>
      </c>
      <c r="I25" s="4">
        <v>61677.5</v>
      </c>
    </row>
    <row r="26" spans="1:9" x14ac:dyDescent="0.25">
      <c r="A26" s="3">
        <v>45337</v>
      </c>
      <c r="B26" s="4">
        <v>61622</v>
      </c>
      <c r="C26" s="4">
        <v>61407</v>
      </c>
      <c r="D26" s="4">
        <v>61745</v>
      </c>
      <c r="E26" s="4">
        <v>61284</v>
      </c>
      <c r="F26" s="4" t="str">
        <v>3.88K</v>
      </c>
      <c r="G26" s="4" t="str">
        <v>0.29%</v>
      </c>
      <c r="H26" s="3">
        <v>45337</v>
      </c>
      <c r="I26" s="4">
        <v>61514.5</v>
      </c>
    </row>
    <row r="27" spans="1:9" x14ac:dyDescent="0.25">
      <c r="A27" s="3">
        <v>45336</v>
      </c>
      <c r="B27" s="4">
        <v>61443</v>
      </c>
      <c r="C27" s="4">
        <v>61393</v>
      </c>
      <c r="D27" s="4">
        <v>61478</v>
      </c>
      <c r="E27" s="4">
        <v>61190</v>
      </c>
      <c r="F27" s="4" t="str">
        <v>3.33K</v>
      </c>
      <c r="G27" s="4" t="str">
        <v>-0.10%</v>
      </c>
      <c r="H27" s="3">
        <v>45336</v>
      </c>
      <c r="I27" s="4">
        <v>61334</v>
      </c>
    </row>
    <row r="28" spans="1:9" x14ac:dyDescent="0.25">
      <c r="A28" s="3">
        <v>45335</v>
      </c>
      <c r="B28" s="4">
        <v>61504</v>
      </c>
      <c r="C28" s="4">
        <v>62173</v>
      </c>
      <c r="D28" s="4">
        <v>62399</v>
      </c>
      <c r="E28" s="4">
        <v>61400</v>
      </c>
      <c r="F28" s="4" t="str">
        <v>6.87K</v>
      </c>
      <c r="G28" s="4" t="str">
        <v>-0.92%</v>
      </c>
      <c r="H28" s="3">
        <v>45335</v>
      </c>
      <c r="I28" s="4">
        <v>61899.5</v>
      </c>
    </row>
    <row r="29" spans="1:9" x14ac:dyDescent="0.25">
      <c r="A29" s="3">
        <v>45334</v>
      </c>
      <c r="B29" s="4">
        <v>62078</v>
      </c>
      <c r="C29" s="4">
        <v>62240</v>
      </c>
      <c r="D29" s="4">
        <v>62328</v>
      </c>
      <c r="E29" s="4">
        <v>61926</v>
      </c>
      <c r="F29" s="4" t="str">
        <v>3.68K</v>
      </c>
      <c r="G29" s="4" t="str">
        <v>-0.35%</v>
      </c>
      <c r="H29" s="3">
        <v>45334</v>
      </c>
      <c r="I29" s="4">
        <v>62127</v>
      </c>
    </row>
    <row r="30" spans="1:9" x14ac:dyDescent="0.25">
      <c r="A30" s="3">
        <v>45331</v>
      </c>
      <c r="B30" s="4">
        <v>62294</v>
      </c>
      <c r="C30" s="4">
        <v>62464</v>
      </c>
      <c r="D30" s="4">
        <v>62544</v>
      </c>
      <c r="E30" s="4">
        <v>62170</v>
      </c>
      <c r="F30" s="4" t="str">
        <v>3.27K</v>
      </c>
      <c r="G30" s="4" t="str">
        <v>-0.24%</v>
      </c>
      <c r="H30" s="3">
        <v>45331</v>
      </c>
      <c r="I30" s="4">
        <v>62357</v>
      </c>
    </row>
    <row r="31" spans="1:9" x14ac:dyDescent="0.25">
      <c r="A31" s="3">
        <v>45330</v>
      </c>
      <c r="B31" s="4">
        <v>62443</v>
      </c>
      <c r="C31" s="4">
        <v>62436</v>
      </c>
      <c r="D31" s="4">
        <v>62557</v>
      </c>
      <c r="E31" s="4">
        <v>62182</v>
      </c>
      <c r="F31" s="4" t="str">
        <v>4.72K</v>
      </c>
      <c r="G31" s="4" t="str">
        <v>-0.13%</v>
      </c>
      <c r="H31" s="3">
        <v>45330</v>
      </c>
      <c r="I31" s="4">
        <v>62369.5</v>
      </c>
    </row>
    <row r="32" spans="1:9" x14ac:dyDescent="0.25">
      <c r="A32" s="3">
        <v>45329</v>
      </c>
      <c r="B32" s="4">
        <v>62524</v>
      </c>
      <c r="C32" s="4">
        <v>62515</v>
      </c>
      <c r="D32" s="4">
        <v>62730</v>
      </c>
      <c r="E32" s="4">
        <v>62401</v>
      </c>
      <c r="F32" s="4" t="str">
        <v>3.52K</v>
      </c>
      <c r="G32" s="4" t="str">
        <v>-0.08%</v>
      </c>
      <c r="H32" s="3">
        <v>45329</v>
      </c>
      <c r="I32" s="4">
        <v>62565.5</v>
      </c>
    </row>
    <row r="33" spans="1:9" x14ac:dyDescent="0.25">
      <c r="A33" s="3">
        <v>45328</v>
      </c>
      <c r="B33" s="4">
        <v>62574</v>
      </c>
      <c r="C33" s="4">
        <v>62261</v>
      </c>
      <c r="D33" s="4">
        <v>62625</v>
      </c>
      <c r="E33" s="4">
        <v>62220</v>
      </c>
      <c r="F33" s="4" t="str">
        <v>3.42K</v>
      </c>
      <c r="G33" s="4" t="str">
        <v>-1.21%</v>
      </c>
      <c r="H33" s="3">
        <v>45328</v>
      </c>
      <c r="I33" s="4">
        <v>62422.5</v>
      </c>
    </row>
    <row r="34" spans="1:9" x14ac:dyDescent="0.25">
      <c r="A34" s="3">
        <v>45327</v>
      </c>
      <c r="B34" s="4">
        <v>63338</v>
      </c>
      <c r="C34" s="4">
        <v>62836</v>
      </c>
      <c r="D34" s="4">
        <v>65040</v>
      </c>
      <c r="E34" s="4">
        <v>62501</v>
      </c>
      <c r="F34" s="4" t="str">
        <v>0.07K</v>
      </c>
      <c r="G34" s="4" t="str">
        <v>0.30%</v>
      </c>
      <c r="H34" s="3">
        <v>45327</v>
      </c>
      <c r="I34" s="4">
        <v>63770.5</v>
      </c>
    </row>
    <row r="35" spans="1:9" x14ac:dyDescent="0.25">
      <c r="A35" s="3">
        <v>45324</v>
      </c>
      <c r="B35" s="4">
        <v>63150</v>
      </c>
      <c r="C35" s="4">
        <v>63624</v>
      </c>
      <c r="D35" s="4">
        <v>63624</v>
      </c>
      <c r="E35" s="4">
        <v>62800</v>
      </c>
      <c r="F35" s="4" t="str">
        <v>0.07K</v>
      </c>
      <c r="G35" s="4" t="str">
        <v>-0.81%</v>
      </c>
      <c r="H35" s="3">
        <v>45324</v>
      </c>
      <c r="I35" s="4">
        <v>63212</v>
      </c>
    </row>
    <row r="36" spans="1:9" x14ac:dyDescent="0.25">
      <c r="A36" s="3">
        <v>45323</v>
      </c>
      <c r="B36" s="4">
        <v>63665</v>
      </c>
      <c r="C36" s="4">
        <v>62880</v>
      </c>
      <c r="D36" s="4">
        <v>63979</v>
      </c>
      <c r="E36" s="4">
        <v>62660</v>
      </c>
      <c r="F36" s="4" t="str">
        <v>0.11K</v>
      </c>
      <c r="G36" s="4" t="str">
        <v>1.12%</v>
      </c>
      <c r="H36" s="3">
        <v>45323</v>
      </c>
      <c r="I36" s="4">
        <v>63319.5</v>
      </c>
    </row>
    <row r="37" spans="1:9" x14ac:dyDescent="0.25">
      <c r="A37" s="3">
        <v>45322</v>
      </c>
      <c r="B37" s="4">
        <v>62958</v>
      </c>
      <c r="C37" s="4">
        <v>62573</v>
      </c>
      <c r="D37" s="4">
        <v>63039</v>
      </c>
      <c r="E37" s="4">
        <v>62560</v>
      </c>
      <c r="F37" s="4" t="str">
        <v>0.26K</v>
      </c>
      <c r="G37" s="4" t="str">
        <v>0.52%</v>
      </c>
      <c r="H37" s="3">
        <v>45322</v>
      </c>
      <c r="I37" s="4">
        <v>62799.5</v>
      </c>
    </row>
    <row r="38" spans="1:9" x14ac:dyDescent="0.25">
      <c r="A38" s="3">
        <v>45321</v>
      </c>
      <c r="B38" s="4">
        <v>62632</v>
      </c>
      <c r="C38" s="4">
        <v>62174</v>
      </c>
      <c r="D38" s="4">
        <v>62835</v>
      </c>
      <c r="E38" s="4">
        <v>62174</v>
      </c>
      <c r="F38" s="4" t="str">
        <v>1.56K</v>
      </c>
      <c r="G38" s="4" t="str">
        <v>0.72%</v>
      </c>
      <c r="H38" s="3">
        <v>45321</v>
      </c>
      <c r="I38" s="4">
        <v>62504.5</v>
      </c>
    </row>
    <row r="39" spans="1:9" x14ac:dyDescent="0.25">
      <c r="A39" s="3">
        <v>45320</v>
      </c>
      <c r="B39" s="4">
        <v>62186</v>
      </c>
      <c r="C39" s="4">
        <v>62080</v>
      </c>
      <c r="D39" s="4">
        <v>62299</v>
      </c>
      <c r="E39" s="4">
        <v>62041</v>
      </c>
      <c r="F39" s="4" t="str">
        <v>4.56K</v>
      </c>
      <c r="G39" s="4" t="str">
        <v>0.36%</v>
      </c>
      <c r="H39" s="3">
        <v>45320</v>
      </c>
      <c r="I39" s="4">
        <v>62170</v>
      </c>
    </row>
    <row r="40" spans="1:9" x14ac:dyDescent="0.25">
      <c r="A40" s="3">
        <v>45316</v>
      </c>
      <c r="B40" s="4">
        <v>61964</v>
      </c>
      <c r="C40" s="4">
        <v>61932</v>
      </c>
      <c r="D40" s="4">
        <v>62143</v>
      </c>
      <c r="E40" s="4">
        <v>61840</v>
      </c>
      <c r="F40" s="4" t="str">
        <v>4.04K</v>
      </c>
      <c r="G40" s="4" t="str">
        <v>-0.03%</v>
      </c>
      <c r="H40" s="3">
        <v>45316</v>
      </c>
      <c r="I40" s="4">
        <v>61991.5</v>
      </c>
    </row>
    <row r="41" spans="1:9" x14ac:dyDescent="0.25">
      <c r="A41" s="3">
        <v>45315</v>
      </c>
      <c r="B41" s="4">
        <v>61985</v>
      </c>
      <c r="C41" s="4">
        <v>61994</v>
      </c>
      <c r="D41" s="4">
        <v>62259</v>
      </c>
      <c r="E41" s="4">
        <v>61850</v>
      </c>
      <c r="F41" s="4" t="str">
        <v>5.22K</v>
      </c>
      <c r="G41" s="4" t="str">
        <v>0.03%</v>
      </c>
      <c r="H41" s="3">
        <v>45315</v>
      </c>
      <c r="I41" s="4">
        <v>62054.5</v>
      </c>
    </row>
    <row r="42" spans="1:9" x14ac:dyDescent="0.25">
      <c r="A42" s="3">
        <v>45314</v>
      </c>
      <c r="B42" s="4">
        <v>61968</v>
      </c>
      <c r="C42" s="4">
        <v>61904</v>
      </c>
      <c r="D42" s="4">
        <v>62224</v>
      </c>
      <c r="E42" s="4">
        <v>61811</v>
      </c>
      <c r="F42" s="4" t="str">
        <v>4.63K</v>
      </c>
      <c r="G42" s="4" t="str">
        <v>0.16%</v>
      </c>
      <c r="H42" s="3">
        <v>45314</v>
      </c>
      <c r="I42" s="4">
        <v>62017.5</v>
      </c>
    </row>
    <row r="43" spans="1:9" x14ac:dyDescent="0.25">
      <c r="A43" s="3">
        <v>45313</v>
      </c>
      <c r="B43" s="4">
        <v>61868</v>
      </c>
      <c r="C43" s="4">
        <v>61880</v>
      </c>
      <c r="D43" s="4">
        <v>62049</v>
      </c>
      <c r="E43" s="4">
        <v>61752</v>
      </c>
      <c r="F43" s="4" t="str">
        <v>1.80K</v>
      </c>
      <c r="G43" s="4" t="str">
        <v>-0.22%</v>
      </c>
      <c r="H43" s="3">
        <v>45313</v>
      </c>
      <c r="I43" s="4">
        <v>61900.5</v>
      </c>
    </row>
    <row r="44" spans="1:9" x14ac:dyDescent="0.25">
      <c r="A44" s="3">
        <v>45310</v>
      </c>
      <c r="B44" s="4">
        <v>62004</v>
      </c>
      <c r="C44" s="4">
        <v>61876</v>
      </c>
      <c r="D44" s="4">
        <v>62254</v>
      </c>
      <c r="E44" s="4">
        <v>61840</v>
      </c>
      <c r="F44" s="4" t="str">
        <v>4.48K</v>
      </c>
      <c r="G44" s="4" t="str">
        <v>0.38%</v>
      </c>
      <c r="H44" s="3">
        <v>45310</v>
      </c>
      <c r="I44" s="4">
        <v>62047</v>
      </c>
    </row>
    <row r="45" spans="1:9" x14ac:dyDescent="0.25">
      <c r="A45" s="3">
        <v>45309</v>
      </c>
      <c r="B45" s="4">
        <v>61769</v>
      </c>
      <c r="C45" s="4">
        <v>61539</v>
      </c>
      <c r="D45" s="4">
        <v>61800</v>
      </c>
      <c r="E45" s="4">
        <v>61482</v>
      </c>
      <c r="F45" s="4" t="str">
        <v>4.43K</v>
      </c>
      <c r="G45" s="4" t="str">
        <v>0.43%</v>
      </c>
      <c r="H45" s="3">
        <v>45309</v>
      </c>
      <c r="I45" s="4">
        <v>61641</v>
      </c>
    </row>
    <row r="46" spans="1:9" x14ac:dyDescent="0.25">
      <c r="A46" s="3">
        <v>45308</v>
      </c>
      <c r="B46" s="4">
        <v>61505</v>
      </c>
      <c r="C46" s="4">
        <v>62054</v>
      </c>
      <c r="D46" s="4">
        <v>62090</v>
      </c>
      <c r="E46" s="4">
        <v>61454</v>
      </c>
      <c r="F46" s="4" t="str">
        <v>7.36K</v>
      </c>
      <c r="G46" s="4" t="str">
        <v>-0.82%</v>
      </c>
      <c r="H46" s="3">
        <v>45308</v>
      </c>
      <c r="I46" s="4">
        <v>61772</v>
      </c>
    </row>
    <row r="47" spans="1:9" x14ac:dyDescent="0.25">
      <c r="A47" s="3">
        <v>45307</v>
      </c>
      <c r="B47" s="4">
        <v>62015</v>
      </c>
      <c r="C47" s="4">
        <v>62461</v>
      </c>
      <c r="D47" s="4">
        <v>62521</v>
      </c>
      <c r="E47" s="4">
        <v>61977</v>
      </c>
      <c r="F47" s="4" t="str">
        <v>6.15K</v>
      </c>
      <c r="G47" s="4" t="str">
        <v>-0.87%</v>
      </c>
      <c r="H47" s="3">
        <v>45307</v>
      </c>
      <c r="I47" s="4">
        <v>62249</v>
      </c>
    </row>
    <row r="48" spans="1:9" x14ac:dyDescent="0.25">
      <c r="A48" s="3">
        <v>45306</v>
      </c>
      <c r="B48" s="4">
        <v>62559</v>
      </c>
      <c r="C48" s="4">
        <v>62502</v>
      </c>
      <c r="D48" s="4">
        <v>62646</v>
      </c>
      <c r="E48" s="4">
        <v>62451</v>
      </c>
      <c r="F48" s="4" t="str">
        <v>3.28K</v>
      </c>
      <c r="G48" s="4" t="str">
        <v>0.32%</v>
      </c>
      <c r="H48" s="3">
        <v>45306</v>
      </c>
      <c r="I48" s="4">
        <v>62548.5</v>
      </c>
    </row>
    <row r="49" spans="1:9" x14ac:dyDescent="0.25">
      <c r="A49" s="3">
        <v>45303</v>
      </c>
      <c r="B49" s="4">
        <v>62362</v>
      </c>
      <c r="C49" s="4">
        <v>61925</v>
      </c>
      <c r="D49" s="4">
        <v>62690</v>
      </c>
      <c r="E49" s="4">
        <v>61925</v>
      </c>
      <c r="F49" s="4" t="str">
        <v>7.92K</v>
      </c>
      <c r="G49" s="4" t="str">
        <v>0.93%</v>
      </c>
      <c r="H49" s="3">
        <v>45303</v>
      </c>
      <c r="I49" s="4">
        <v>62307.5</v>
      </c>
    </row>
    <row r="50" spans="1:9" x14ac:dyDescent="0.25">
      <c r="A50" s="3">
        <v>45302</v>
      </c>
      <c r="B50" s="4">
        <v>61788</v>
      </c>
      <c r="C50" s="4">
        <v>62146</v>
      </c>
      <c r="D50" s="4">
        <v>62477</v>
      </c>
      <c r="E50" s="4">
        <v>61731</v>
      </c>
      <c r="F50" s="4" t="str">
        <v>6.55K</v>
      </c>
      <c r="G50" s="4" t="str">
        <v>-0.34%</v>
      </c>
      <c r="H50" s="3">
        <v>45302</v>
      </c>
      <c r="I50" s="4">
        <v>62104</v>
      </c>
    </row>
    <row r="51" spans="1:9" x14ac:dyDescent="0.25">
      <c r="A51" s="3">
        <v>45301</v>
      </c>
      <c r="B51" s="4">
        <v>61996</v>
      </c>
      <c r="C51" s="4">
        <v>62230</v>
      </c>
      <c r="D51" s="4">
        <v>62399</v>
      </c>
      <c r="E51" s="4">
        <v>61966</v>
      </c>
      <c r="F51" s="4" t="str">
        <v>4.23K</v>
      </c>
      <c r="G51" s="4" t="str">
        <v>-0.29%</v>
      </c>
      <c r="H51" s="3">
        <v>45301</v>
      </c>
      <c r="I51" s="4">
        <v>62182.5</v>
      </c>
    </row>
    <row r="52" spans="1:9" x14ac:dyDescent="0.25">
      <c r="A52" s="3">
        <v>45300</v>
      </c>
      <c r="B52" s="4">
        <v>62179</v>
      </c>
      <c r="C52" s="4">
        <v>62149</v>
      </c>
      <c r="D52" s="4">
        <v>62490</v>
      </c>
      <c r="E52" s="4">
        <v>62114</v>
      </c>
      <c r="F52" s="4" t="str">
        <v>5.08K</v>
      </c>
      <c r="G52" s="4" t="str">
        <v>0.14%</v>
      </c>
      <c r="H52" s="3">
        <v>45300</v>
      </c>
      <c r="I52" s="4">
        <v>62302</v>
      </c>
    </row>
    <row r="53" spans="1:9" x14ac:dyDescent="0.25">
      <c r="A53" s="3">
        <v>45299</v>
      </c>
      <c r="B53" s="4">
        <v>62095</v>
      </c>
      <c r="C53" s="4">
        <v>62511</v>
      </c>
      <c r="D53" s="4">
        <v>62511</v>
      </c>
      <c r="E53" s="4">
        <v>61925</v>
      </c>
      <c r="F53" s="4" t="str">
        <v>6.64K</v>
      </c>
      <c r="G53" s="4" t="str">
        <v>-0.74%</v>
      </c>
      <c r="H53" s="3">
        <v>45299</v>
      </c>
      <c r="I53" s="4">
        <v>62218</v>
      </c>
    </row>
    <row r="54" spans="1:9" x14ac:dyDescent="0.25">
      <c r="A54" s="3">
        <v>45296</v>
      </c>
      <c r="B54" s="4">
        <v>62557</v>
      </c>
      <c r="C54" s="4">
        <v>62631</v>
      </c>
      <c r="D54" s="4">
        <v>63079</v>
      </c>
      <c r="E54" s="4">
        <v>62160</v>
      </c>
      <c r="F54" s="4" t="str">
        <v>8.02K</v>
      </c>
      <c r="G54" s="4" t="str">
        <v>-0.13%</v>
      </c>
      <c r="H54" s="3">
        <v>45296</v>
      </c>
      <c r="I54" s="4">
        <v>62619.5</v>
      </c>
    </row>
    <row r="55" spans="1:9" x14ac:dyDescent="0.25">
      <c r="A55" s="3">
        <v>45295</v>
      </c>
      <c r="B55" s="4">
        <v>62640</v>
      </c>
      <c r="C55" s="4">
        <v>62724</v>
      </c>
      <c r="D55" s="4">
        <v>62820</v>
      </c>
      <c r="E55" s="4">
        <v>62476</v>
      </c>
      <c r="F55" s="4" t="str">
        <v>4.32K</v>
      </c>
      <c r="G55" s="4" t="str">
        <v>0.21%</v>
      </c>
      <c r="H55" s="3">
        <v>45295</v>
      </c>
      <c r="I55" s="4">
        <v>62648</v>
      </c>
    </row>
    <row r="56" spans="1:9" x14ac:dyDescent="0.25">
      <c r="A56" s="3">
        <v>45294</v>
      </c>
      <c r="B56" s="4">
        <v>62507</v>
      </c>
      <c r="C56" s="4">
        <v>63258</v>
      </c>
      <c r="D56" s="4">
        <v>63345</v>
      </c>
      <c r="E56" s="4">
        <v>62418</v>
      </c>
      <c r="F56" s="4" t="str">
        <v>8.52K</v>
      </c>
      <c r="G56" s="4" t="str">
        <v>-1.19%</v>
      </c>
      <c r="H56" s="3">
        <v>45294</v>
      </c>
      <c r="I56" s="4">
        <v>62881.5</v>
      </c>
    </row>
    <row r="57" spans="1:9" x14ac:dyDescent="0.25">
      <c r="A57" s="3">
        <v>45293</v>
      </c>
      <c r="B57" s="4">
        <v>63257</v>
      </c>
      <c r="C57" s="4">
        <v>63329</v>
      </c>
      <c r="D57" s="4">
        <v>63653</v>
      </c>
      <c r="E57" s="4">
        <v>63106</v>
      </c>
      <c r="F57" s="4" t="str">
        <v>5.14K</v>
      </c>
      <c r="G57" s="4" t="str">
        <v>-0.10%</v>
      </c>
      <c r="H57" s="3">
        <v>45293</v>
      </c>
      <c r="I57" s="4">
        <v>63379.5</v>
      </c>
    </row>
    <row r="58" spans="1:9" x14ac:dyDescent="0.25">
      <c r="A58" s="3">
        <v>45292</v>
      </c>
      <c r="B58" s="4">
        <v>63320</v>
      </c>
      <c r="C58" s="4">
        <v>63225</v>
      </c>
      <c r="D58" s="4">
        <v>63379</v>
      </c>
      <c r="E58" s="4">
        <v>63181</v>
      </c>
      <c r="F58" s="4" t="str">
        <v>0.66K</v>
      </c>
      <c r="G58" s="4" t="str">
        <v>0.19%</v>
      </c>
      <c r="H58" s="3">
        <v>45292</v>
      </c>
      <c r="I58" s="4">
        <v>63280</v>
      </c>
    </row>
    <row r="59" spans="1:9" x14ac:dyDescent="0.25">
      <c r="A59" s="3">
        <v>45289</v>
      </c>
      <c r="B59" s="4">
        <v>63203</v>
      </c>
      <c r="C59" s="4">
        <v>63246</v>
      </c>
      <c r="D59" s="4">
        <v>63385</v>
      </c>
      <c r="E59" s="4">
        <v>63051</v>
      </c>
      <c r="F59" s="4" t="str">
        <v>4.28K</v>
      </c>
      <c r="G59" s="4" t="str">
        <v>-0.29%</v>
      </c>
      <c r="H59" s="3">
        <v>45289</v>
      </c>
      <c r="I59" s="4">
        <v>63218</v>
      </c>
    </row>
    <row r="60" spans="1:9" x14ac:dyDescent="0.25">
      <c r="A60" s="3">
        <v>45288</v>
      </c>
      <c r="B60" s="4">
        <v>63389</v>
      </c>
      <c r="C60" s="4">
        <v>63728</v>
      </c>
      <c r="D60" s="4">
        <v>63821</v>
      </c>
      <c r="E60" s="4">
        <v>63333</v>
      </c>
      <c r="F60" s="4" t="str">
        <v>4.00K</v>
      </c>
      <c r="G60" s="4" t="str">
        <v>-0.45%</v>
      </c>
      <c r="H60" s="3">
        <v>45288</v>
      </c>
      <c r="I60" s="4">
        <v>63577</v>
      </c>
    </row>
    <row r="61" spans="1:9" x14ac:dyDescent="0.25">
      <c r="A61" s="3">
        <v>45287</v>
      </c>
      <c r="B61" s="4">
        <v>63678</v>
      </c>
      <c r="C61" s="4">
        <v>63198</v>
      </c>
      <c r="D61" s="4">
        <v>63710</v>
      </c>
      <c r="E61" s="4">
        <v>63179</v>
      </c>
      <c r="F61" s="4" t="str">
        <v>5.30K</v>
      </c>
      <c r="G61" s="4" t="str">
        <v>1.04%</v>
      </c>
      <c r="H61" s="3">
        <v>45287</v>
      </c>
      <c r="I61" s="4">
        <v>63444.5</v>
      </c>
    </row>
    <row r="62" spans="1:9" x14ac:dyDescent="0.25">
      <c r="A62" s="3">
        <v>45286</v>
      </c>
      <c r="B62" s="4">
        <v>63025</v>
      </c>
      <c r="C62" s="4">
        <v>63149</v>
      </c>
      <c r="D62" s="4">
        <v>63198</v>
      </c>
      <c r="E62" s="4">
        <v>62903</v>
      </c>
      <c r="F62" s="4" t="str">
        <v>3.02K</v>
      </c>
      <c r="G62" s="4" t="str">
        <v>0.11%</v>
      </c>
      <c r="H62" s="3">
        <v>45286</v>
      </c>
      <c r="I62" s="4">
        <v>63050.5</v>
      </c>
    </row>
    <row r="63" spans="1:9" x14ac:dyDescent="0.25">
      <c r="A63" s="3">
        <v>45282</v>
      </c>
      <c r="B63" s="4">
        <v>62954</v>
      </c>
      <c r="C63" s="4">
        <v>62784</v>
      </c>
      <c r="D63" s="4">
        <v>63277</v>
      </c>
      <c r="E63" s="4">
        <v>62687</v>
      </c>
      <c r="F63" s="4" t="str">
        <v>7.00K</v>
      </c>
      <c r="G63" s="4" t="str">
        <v>0.72%</v>
      </c>
      <c r="H63" s="3">
        <v>45282</v>
      </c>
      <c r="I63" s="4">
        <v>62982</v>
      </c>
    </row>
    <row r="64" spans="1:9" x14ac:dyDescent="0.25">
      <c r="A64" s="3">
        <v>45281</v>
      </c>
      <c r="B64" s="4">
        <v>62503</v>
      </c>
      <c r="C64" s="4">
        <v>62412</v>
      </c>
      <c r="D64" s="4">
        <v>62680</v>
      </c>
      <c r="E64" s="4">
        <v>62369</v>
      </c>
      <c r="F64" s="4" t="str">
        <v>3.85K</v>
      </c>
      <c r="G64" s="4" t="str">
        <v>0.14%</v>
      </c>
      <c r="H64" s="3">
        <v>45281</v>
      </c>
      <c r="I64" s="4">
        <v>62524.5</v>
      </c>
    </row>
    <row r="65" spans="1:9" x14ac:dyDescent="0.25">
      <c r="A65" s="3">
        <v>45280</v>
      </c>
      <c r="B65" s="4">
        <v>62415</v>
      </c>
      <c r="C65" s="4">
        <v>62533</v>
      </c>
      <c r="D65" s="4">
        <v>62610</v>
      </c>
      <c r="E65" s="4">
        <v>62309</v>
      </c>
      <c r="F65" s="4" t="str">
        <v>4.29K</v>
      </c>
      <c r="G65" s="4" t="str">
        <v>-0.10%</v>
      </c>
      <c r="H65" s="3">
        <v>45280</v>
      </c>
      <c r="I65" s="4">
        <v>62459.5</v>
      </c>
    </row>
    <row r="66" spans="1:9" x14ac:dyDescent="0.25">
      <c r="A66" s="3">
        <v>45279</v>
      </c>
      <c r="B66" s="4">
        <v>62476</v>
      </c>
      <c r="C66" s="4">
        <v>62100</v>
      </c>
      <c r="D66" s="4">
        <v>62670</v>
      </c>
      <c r="E66" s="4">
        <v>62069</v>
      </c>
      <c r="F66" s="4" t="str">
        <v>4.32K</v>
      </c>
      <c r="G66" s="4" t="str">
        <v>0.30%</v>
      </c>
      <c r="H66" s="3">
        <v>45279</v>
      </c>
      <c r="I66" s="4">
        <v>62369.5</v>
      </c>
    </row>
    <row r="67" spans="1:9" x14ac:dyDescent="0.25">
      <c r="A67" s="3">
        <v>45278</v>
      </c>
      <c r="B67" s="4">
        <v>62291</v>
      </c>
      <c r="C67" s="4">
        <v>62193</v>
      </c>
      <c r="D67" s="4">
        <v>62368</v>
      </c>
      <c r="E67" s="4">
        <v>61950</v>
      </c>
      <c r="F67" s="4" t="str">
        <v>4.01K</v>
      </c>
      <c r="G67" s="4" t="str">
        <v>0.16%</v>
      </c>
      <c r="H67" s="3">
        <v>45278</v>
      </c>
      <c r="I67" s="4">
        <v>62159</v>
      </c>
    </row>
    <row r="68" spans="1:9" x14ac:dyDescent="0.25">
      <c r="A68" s="3">
        <v>45275</v>
      </c>
      <c r="B68" s="4">
        <v>62192</v>
      </c>
      <c r="C68" s="4">
        <v>62550</v>
      </c>
      <c r="D68" s="4">
        <v>62597</v>
      </c>
      <c r="E68" s="4">
        <v>62055</v>
      </c>
      <c r="F68" s="4" t="str">
        <v>5.13K</v>
      </c>
      <c r="G68" s="4" t="str">
        <v>-0.42%</v>
      </c>
      <c r="H68" s="3">
        <v>45275</v>
      </c>
      <c r="I68" s="4">
        <v>62326</v>
      </c>
    </row>
    <row r="69" spans="1:9" x14ac:dyDescent="0.25">
      <c r="A69" s="3">
        <v>45274</v>
      </c>
      <c r="B69" s="4">
        <v>62454</v>
      </c>
      <c r="C69" s="4">
        <v>61391</v>
      </c>
      <c r="D69" s="4">
        <v>62880</v>
      </c>
      <c r="E69" s="4">
        <v>61391</v>
      </c>
      <c r="F69" s="4" t="str">
        <v>9.27K</v>
      </c>
      <c r="G69" s="4" t="str">
        <v>2.05%</v>
      </c>
      <c r="H69" s="3">
        <v>45274</v>
      </c>
      <c r="I69" s="4">
        <v>62135.5</v>
      </c>
    </row>
    <row r="70" spans="1:9" x14ac:dyDescent="0.25">
      <c r="A70" s="3">
        <v>45273</v>
      </c>
      <c r="B70" s="4">
        <v>61199</v>
      </c>
      <c r="C70" s="4">
        <v>61196</v>
      </c>
      <c r="D70" s="4">
        <v>61340</v>
      </c>
      <c r="E70" s="4">
        <v>61001</v>
      </c>
      <c r="F70" s="4" t="str">
        <v>4.19K</v>
      </c>
      <c r="G70" s="4" t="str">
        <v>0.03%</v>
      </c>
      <c r="H70" s="3">
        <v>45273</v>
      </c>
      <c r="I70" s="4">
        <v>61170.5</v>
      </c>
    </row>
    <row r="71" spans="1:9" x14ac:dyDescent="0.25">
      <c r="A71" s="3">
        <v>45272</v>
      </c>
      <c r="B71" s="4">
        <v>61181</v>
      </c>
      <c r="C71" s="4">
        <v>61236</v>
      </c>
      <c r="D71" s="4">
        <v>61583</v>
      </c>
      <c r="E71" s="4">
        <v>61108</v>
      </c>
      <c r="F71" s="4" t="str">
        <v>5.22K</v>
      </c>
      <c r="G71" s="4" t="str">
        <v>0.10%</v>
      </c>
      <c r="H71" s="3">
        <v>45272</v>
      </c>
      <c r="I71" s="4">
        <v>61345.5</v>
      </c>
    </row>
    <row r="72" spans="1:9" x14ac:dyDescent="0.25">
      <c r="A72" s="3">
        <v>45271</v>
      </c>
      <c r="B72" s="4">
        <v>61117</v>
      </c>
      <c r="C72" s="4">
        <v>61800</v>
      </c>
      <c r="D72" s="4">
        <v>61860</v>
      </c>
      <c r="E72" s="4">
        <v>61099</v>
      </c>
      <c r="F72" s="4" t="str">
        <v>5.74K</v>
      </c>
      <c r="G72" s="4" t="str">
        <v>-0.98%</v>
      </c>
      <c r="H72" s="3">
        <v>45271</v>
      </c>
      <c r="I72" s="4">
        <v>61479.5</v>
      </c>
    </row>
    <row r="73" spans="1:9" x14ac:dyDescent="0.25">
      <c r="A73" s="3">
        <v>45268</v>
      </c>
      <c r="B73" s="4">
        <v>61719</v>
      </c>
      <c r="C73" s="4">
        <v>62525</v>
      </c>
      <c r="D73" s="4">
        <v>62579</v>
      </c>
      <c r="E73" s="4">
        <v>61625</v>
      </c>
      <c r="F73" s="4" t="str">
        <v>7.37K</v>
      </c>
      <c r="G73" s="4" t="str">
        <v>-1.20%</v>
      </c>
      <c r="H73" s="3">
        <v>45268</v>
      </c>
      <c r="I73" s="4">
        <v>62102</v>
      </c>
    </row>
    <row r="74" spans="1:9" x14ac:dyDescent="0.25">
      <c r="A74" s="3">
        <v>45267</v>
      </c>
      <c r="B74" s="4">
        <v>62466</v>
      </c>
      <c r="C74" s="4">
        <v>62414</v>
      </c>
      <c r="D74" s="4">
        <v>62736</v>
      </c>
      <c r="E74" s="4">
        <v>62222</v>
      </c>
      <c r="F74" s="4" t="str">
        <v>4.50K</v>
      </c>
      <c r="G74" s="4" t="str">
        <v>0.04%</v>
      </c>
      <c r="H74" s="3">
        <v>45267</v>
      </c>
      <c r="I74" s="4">
        <v>62479</v>
      </c>
    </row>
    <row r="75" spans="1:9" x14ac:dyDescent="0.25">
      <c r="A75" s="3">
        <v>45266</v>
      </c>
      <c r="B75" s="4">
        <v>62440</v>
      </c>
      <c r="C75" s="4">
        <v>62250</v>
      </c>
      <c r="D75" s="4">
        <v>62567</v>
      </c>
      <c r="E75" s="4">
        <v>62201</v>
      </c>
      <c r="F75" s="4" t="str">
        <v>4.51K</v>
      </c>
      <c r="G75" s="4" t="str">
        <v>-0.26%</v>
      </c>
      <c r="H75" s="3">
        <v>45266</v>
      </c>
      <c r="I75" s="4">
        <v>62384</v>
      </c>
    </row>
    <row r="76" spans="1:9" x14ac:dyDescent="0.25">
      <c r="A76" s="3">
        <v>45265</v>
      </c>
      <c r="B76" s="4">
        <v>62600</v>
      </c>
      <c r="C76" s="4">
        <v>62900</v>
      </c>
      <c r="D76" s="4">
        <v>64460</v>
      </c>
      <c r="E76" s="4">
        <v>62375</v>
      </c>
      <c r="F76" s="4" t="str">
        <v>0.02K</v>
      </c>
      <c r="G76" s="4" t="str">
        <v>0.00%</v>
      </c>
      <c r="H76" s="3">
        <v>45265</v>
      </c>
      <c r="I76" s="4">
        <v>63417.5</v>
      </c>
    </row>
    <row r="77" spans="1:9" x14ac:dyDescent="0.25">
      <c r="A77" s="3">
        <v>45264</v>
      </c>
      <c r="B77" s="4">
        <v>62599</v>
      </c>
      <c r="C77" s="4">
        <v>63550</v>
      </c>
      <c r="D77" s="4">
        <v>63881</v>
      </c>
      <c r="E77" s="4">
        <v>62171</v>
      </c>
      <c r="F77" s="4" t="str">
        <v>0.04K</v>
      </c>
      <c r="G77" s="4" t="str">
        <v>-0.81%</v>
      </c>
      <c r="H77" s="3">
        <v>45264</v>
      </c>
      <c r="I77" s="4">
        <v>63026</v>
      </c>
    </row>
    <row r="78" spans="1:9" x14ac:dyDescent="0.25">
      <c r="A78" s="3">
        <v>45261</v>
      </c>
      <c r="B78" s="4">
        <v>63112</v>
      </c>
      <c r="C78" s="4">
        <v>62512</v>
      </c>
      <c r="D78" s="4">
        <v>63356</v>
      </c>
      <c r="E78" s="4">
        <v>62464</v>
      </c>
      <c r="F78" s="4" t="str">
        <v>0.04K</v>
      </c>
      <c r="G78" s="4" t="str">
        <v>0.88%</v>
      </c>
      <c r="H78" s="3">
        <v>45261</v>
      </c>
      <c r="I78" s="4">
        <v>62910</v>
      </c>
    </row>
    <row r="79" spans="1:9" x14ac:dyDescent="0.25">
      <c r="A79" s="3">
        <v>45260</v>
      </c>
      <c r="B79" s="4">
        <v>62559</v>
      </c>
      <c r="C79" s="4">
        <v>62594</v>
      </c>
      <c r="D79" s="4">
        <v>62649</v>
      </c>
      <c r="E79" s="4">
        <v>62420</v>
      </c>
      <c r="F79" s="4" t="str">
        <v>0.09K</v>
      </c>
      <c r="G79" s="4" t="str">
        <v>-0.07%</v>
      </c>
      <c r="H79" s="3">
        <v>45260</v>
      </c>
      <c r="I79" s="4">
        <v>62534.5</v>
      </c>
    </row>
    <row r="80" spans="1:9" x14ac:dyDescent="0.25">
      <c r="A80" s="3">
        <v>45259</v>
      </c>
      <c r="B80" s="4">
        <v>62605</v>
      </c>
      <c r="C80" s="4">
        <v>62602</v>
      </c>
      <c r="D80" s="4">
        <v>62675</v>
      </c>
      <c r="E80" s="4">
        <v>62300</v>
      </c>
      <c r="F80" s="4" t="str">
        <v>1.41K</v>
      </c>
      <c r="G80" s="4" t="str">
        <v>0.35%</v>
      </c>
      <c r="H80" s="3">
        <v>45259</v>
      </c>
      <c r="I80" s="4">
        <v>62487.5</v>
      </c>
    </row>
    <row r="81" spans="1:9" x14ac:dyDescent="0.25">
      <c r="A81" s="3">
        <v>45258</v>
      </c>
      <c r="B81" s="4">
        <v>62385</v>
      </c>
      <c r="C81" s="4">
        <v>61619</v>
      </c>
      <c r="D81" s="4">
        <v>62423</v>
      </c>
      <c r="E81" s="4">
        <v>61485</v>
      </c>
      <c r="F81" s="4" t="str">
        <v>4.61K</v>
      </c>
      <c r="G81" s="4" t="str">
        <v>1.37%</v>
      </c>
      <c r="H81" s="3">
        <v>45258</v>
      </c>
      <c r="I81" s="4">
        <v>61954</v>
      </c>
    </row>
    <row r="82" spans="1:9" x14ac:dyDescent="0.25">
      <c r="A82" s="3">
        <v>45257</v>
      </c>
      <c r="B82" s="4">
        <v>61540</v>
      </c>
      <c r="C82" s="4">
        <v>61597</v>
      </c>
      <c r="D82" s="4">
        <v>61691</v>
      </c>
      <c r="E82" s="4">
        <v>61451</v>
      </c>
      <c r="F82" s="4" t="str">
        <v>2.69K</v>
      </c>
      <c r="G82" s="4" t="str">
        <v>0.29%</v>
      </c>
      <c r="H82" s="3">
        <v>45257</v>
      </c>
      <c r="I82" s="4">
        <v>61571</v>
      </c>
    </row>
    <row r="83" spans="1:9" x14ac:dyDescent="0.25">
      <c r="A83" s="3">
        <v>45254</v>
      </c>
      <c r="B83" s="4">
        <v>61364</v>
      </c>
      <c r="C83" s="4">
        <v>61072</v>
      </c>
      <c r="D83" s="4">
        <v>61390</v>
      </c>
      <c r="E83" s="4">
        <v>61056</v>
      </c>
      <c r="F83" s="4" t="str">
        <v>3.57K</v>
      </c>
      <c r="G83" s="4" t="str">
        <v>0.48%</v>
      </c>
      <c r="H83" s="3">
        <v>45254</v>
      </c>
      <c r="I83" s="4">
        <v>61223</v>
      </c>
    </row>
    <row r="84" spans="1:9" x14ac:dyDescent="0.25">
      <c r="A84" s="3">
        <v>45253</v>
      </c>
      <c r="B84" s="4">
        <v>61072</v>
      </c>
      <c r="C84" s="4">
        <v>61074</v>
      </c>
      <c r="D84" s="4">
        <v>61184</v>
      </c>
      <c r="E84" s="4">
        <v>61009</v>
      </c>
      <c r="F84" s="4" t="str">
        <v>3.11K</v>
      </c>
      <c r="G84" s="4" t="str">
        <v>0.08%</v>
      </c>
      <c r="H84" s="3">
        <v>45253</v>
      </c>
      <c r="I84" s="4">
        <v>61096.5</v>
      </c>
    </row>
    <row r="85" spans="1:9" x14ac:dyDescent="0.25">
      <c r="A85" s="3">
        <v>45252</v>
      </c>
      <c r="B85" s="4">
        <v>61024</v>
      </c>
      <c r="C85" s="4">
        <v>61159</v>
      </c>
      <c r="D85" s="4">
        <v>61366</v>
      </c>
      <c r="E85" s="4">
        <v>60939</v>
      </c>
      <c r="F85" s="4" t="str">
        <v>4.50K</v>
      </c>
      <c r="G85" s="4" t="str">
        <v>-0.33%</v>
      </c>
      <c r="H85" s="3">
        <v>45252</v>
      </c>
      <c r="I85" s="4">
        <v>61152.5</v>
      </c>
    </row>
    <row r="86" spans="1:9" x14ac:dyDescent="0.25">
      <c r="A86" s="3">
        <v>45251</v>
      </c>
      <c r="B86" s="4">
        <v>61225</v>
      </c>
      <c r="C86" s="4">
        <v>60805</v>
      </c>
      <c r="D86" s="4">
        <v>61360</v>
      </c>
      <c r="E86" s="4">
        <v>60805</v>
      </c>
      <c r="F86" s="4" t="str">
        <v>6.29K</v>
      </c>
      <c r="G86" s="4" t="str">
        <v>0.94%</v>
      </c>
      <c r="H86" s="3">
        <v>45251</v>
      </c>
      <c r="I86" s="4">
        <v>61082.5</v>
      </c>
    </row>
    <row r="87" spans="1:9" x14ac:dyDescent="0.25">
      <c r="A87" s="3">
        <v>45250</v>
      </c>
      <c r="B87" s="4">
        <v>60657</v>
      </c>
      <c r="C87" s="4">
        <v>60719</v>
      </c>
      <c r="D87" s="4">
        <v>60774</v>
      </c>
      <c r="E87" s="4">
        <v>60356</v>
      </c>
      <c r="F87" s="4" t="str">
        <v>4.46K</v>
      </c>
      <c r="G87" s="4" t="str">
        <v>-0.09%</v>
      </c>
      <c r="H87" s="3">
        <v>45250</v>
      </c>
      <c r="I87" s="4">
        <v>60565</v>
      </c>
    </row>
    <row r="88" spans="1:9" x14ac:dyDescent="0.25">
      <c r="A88" s="3">
        <v>45247</v>
      </c>
      <c r="B88" s="4">
        <v>60713</v>
      </c>
      <c r="C88" s="4">
        <v>60686</v>
      </c>
      <c r="D88" s="4">
        <v>61000</v>
      </c>
      <c r="E88" s="4">
        <v>60633</v>
      </c>
      <c r="F88" s="4" t="str">
        <v>4.10K</v>
      </c>
      <c r="G88" s="4" t="str">
        <v>-0.01%</v>
      </c>
      <c r="H88" s="3">
        <v>45247</v>
      </c>
      <c r="I88" s="4">
        <v>60816.5</v>
      </c>
    </row>
    <row r="89" spans="1:9" x14ac:dyDescent="0.25">
      <c r="A89" s="3">
        <v>45246</v>
      </c>
      <c r="B89" s="4">
        <v>60722</v>
      </c>
      <c r="C89" s="4">
        <v>60148</v>
      </c>
      <c r="D89" s="4">
        <v>61914</v>
      </c>
      <c r="E89" s="4">
        <v>60110</v>
      </c>
      <c r="F89" s="4" t="str">
        <v>7.35K</v>
      </c>
      <c r="G89" s="4" t="str">
        <v>1.02%</v>
      </c>
      <c r="H89" s="3">
        <v>45246</v>
      </c>
      <c r="I89" s="4">
        <v>61012</v>
      </c>
    </row>
    <row r="90" spans="1:9" x14ac:dyDescent="0.25">
      <c r="A90" s="3">
        <v>45245</v>
      </c>
      <c r="B90" s="4">
        <v>60111</v>
      </c>
      <c r="C90" s="4">
        <v>60166</v>
      </c>
      <c r="D90" s="4">
        <v>60444</v>
      </c>
      <c r="E90" s="4">
        <v>60015</v>
      </c>
      <c r="F90" s="4" t="str">
        <v>4.95K</v>
      </c>
      <c r="G90" s="4" t="str">
        <v>0.08%</v>
      </c>
      <c r="H90" s="3">
        <v>45245</v>
      </c>
      <c r="I90" s="4">
        <v>60229.5</v>
      </c>
    </row>
    <row r="91" spans="1:9" x14ac:dyDescent="0.25">
      <c r="A91" s="3">
        <v>45244</v>
      </c>
      <c r="B91" s="4">
        <v>60065</v>
      </c>
      <c r="C91" s="4">
        <v>59795</v>
      </c>
      <c r="D91" s="4">
        <v>60329</v>
      </c>
      <c r="E91" s="4">
        <v>59736</v>
      </c>
      <c r="F91" s="4" t="str">
        <v>3.50K</v>
      </c>
      <c r="G91" s="4" t="str">
        <v>0.37%</v>
      </c>
      <c r="H91" s="3">
        <v>45244</v>
      </c>
      <c r="I91" s="4">
        <v>60032.5</v>
      </c>
    </row>
    <row r="92" spans="1:9" x14ac:dyDescent="0.25">
      <c r="A92" s="3">
        <v>45243</v>
      </c>
      <c r="B92" s="4">
        <v>59842</v>
      </c>
      <c r="C92" s="4">
        <v>59699</v>
      </c>
      <c r="D92" s="4">
        <v>59920</v>
      </c>
      <c r="E92" s="4">
        <v>59490</v>
      </c>
      <c r="F92" s="4" t="str">
        <v>4.22K</v>
      </c>
      <c r="G92" s="4" t="str">
        <v>0.11%</v>
      </c>
      <c r="H92" s="3">
        <v>45243</v>
      </c>
      <c r="I92" s="4">
        <v>59705</v>
      </c>
    </row>
    <row r="93" spans="1:9" x14ac:dyDescent="0.25">
      <c r="A93" s="3">
        <v>45242</v>
      </c>
      <c r="B93" s="4">
        <v>59775</v>
      </c>
      <c r="C93" s="4">
        <v>59551</v>
      </c>
      <c r="D93" s="4">
        <v>59779</v>
      </c>
      <c r="E93" s="4">
        <v>59551</v>
      </c>
      <c r="F93" s="4" t="str">
        <v>0.58K</v>
      </c>
      <c r="G93" s="4" t="str">
        <v>0.19%</v>
      </c>
      <c r="H93" s="3">
        <v>45242</v>
      </c>
      <c r="I93" s="4">
        <v>59665</v>
      </c>
    </row>
    <row r="94" spans="1:9" x14ac:dyDescent="0.25">
      <c r="A94" s="3">
        <v>45240</v>
      </c>
      <c r="B94" s="4">
        <v>59659</v>
      </c>
      <c r="C94" s="4">
        <v>60233</v>
      </c>
      <c r="D94" s="4">
        <v>60269</v>
      </c>
      <c r="E94" s="4">
        <v>59638</v>
      </c>
      <c r="F94" s="4" t="str">
        <v>6.18K</v>
      </c>
      <c r="G94" s="4" t="str">
        <v>-1.03%</v>
      </c>
      <c r="H94" s="3">
        <v>45240</v>
      </c>
      <c r="I94" s="4">
        <v>59953.5</v>
      </c>
    </row>
    <row r="95" spans="1:9" x14ac:dyDescent="0.25">
      <c r="A95" s="3">
        <v>45239</v>
      </c>
      <c r="B95" s="4">
        <v>60282</v>
      </c>
      <c r="C95" s="4">
        <v>59903</v>
      </c>
      <c r="D95" s="4">
        <v>60351</v>
      </c>
      <c r="E95" s="4">
        <v>59760</v>
      </c>
      <c r="F95" s="4" t="str">
        <v>6.30K</v>
      </c>
      <c r="G95" s="4" t="str">
        <v>0.45%</v>
      </c>
      <c r="H95" s="3">
        <v>45239</v>
      </c>
      <c r="I95" s="4">
        <v>60055.5</v>
      </c>
    </row>
    <row r="96" spans="1:9" x14ac:dyDescent="0.25">
      <c r="A96" s="3">
        <v>45238</v>
      </c>
      <c r="B96" s="4">
        <v>60009</v>
      </c>
      <c r="C96" s="4">
        <v>60396</v>
      </c>
      <c r="D96" s="4">
        <v>60448</v>
      </c>
      <c r="E96" s="4">
        <v>59950</v>
      </c>
      <c r="F96" s="4" t="str">
        <v>4.15K</v>
      </c>
      <c r="G96" s="4" t="str">
        <v>-0.56%</v>
      </c>
      <c r="H96" s="3">
        <v>45238</v>
      </c>
      <c r="I96" s="4">
        <v>60199</v>
      </c>
    </row>
    <row r="97" spans="1:9" x14ac:dyDescent="0.25">
      <c r="A97" s="3">
        <v>45237</v>
      </c>
      <c r="B97" s="4">
        <v>60347</v>
      </c>
      <c r="C97" s="4">
        <v>60596</v>
      </c>
      <c r="D97" s="4">
        <v>60603</v>
      </c>
      <c r="E97" s="4">
        <v>60151</v>
      </c>
      <c r="F97" s="4" t="str">
        <v>6.50K</v>
      </c>
      <c r="G97" s="4" t="str">
        <v>-0.70%</v>
      </c>
      <c r="H97" s="3">
        <v>45237</v>
      </c>
      <c r="I97" s="4">
        <v>60377</v>
      </c>
    </row>
    <row r="98" spans="1:9" x14ac:dyDescent="0.25">
      <c r="A98" s="3">
        <v>45236</v>
      </c>
      <c r="B98" s="4">
        <v>60770</v>
      </c>
      <c r="C98" s="4">
        <v>60847</v>
      </c>
      <c r="D98" s="4">
        <v>60975</v>
      </c>
      <c r="E98" s="4">
        <v>60732</v>
      </c>
      <c r="F98" s="4" t="str">
        <v>3.60K</v>
      </c>
      <c r="G98" s="4" t="str">
        <v>-0.41%</v>
      </c>
      <c r="H98" s="3">
        <v>45236</v>
      </c>
      <c r="I98" s="4">
        <v>60853.5</v>
      </c>
    </row>
    <row r="99" spans="1:9" x14ac:dyDescent="0.25">
      <c r="A99" s="3">
        <v>45233</v>
      </c>
      <c r="B99" s="4">
        <v>61020</v>
      </c>
      <c r="C99" s="4">
        <v>60911</v>
      </c>
      <c r="D99" s="4">
        <v>61330</v>
      </c>
      <c r="E99" s="4">
        <v>60889</v>
      </c>
      <c r="F99" s="4" t="str">
        <v>6.61K</v>
      </c>
      <c r="G99" s="4" t="str">
        <v>0.18%</v>
      </c>
      <c r="H99" s="3">
        <v>45233</v>
      </c>
      <c r="I99" s="4">
        <v>61109.5</v>
      </c>
    </row>
    <row r="100" spans="1:9" x14ac:dyDescent="0.25">
      <c r="A100" s="3">
        <v>45232</v>
      </c>
      <c r="B100" s="4">
        <v>60911</v>
      </c>
      <c r="C100" s="4">
        <v>60890</v>
      </c>
      <c r="D100" s="4">
        <v>61042</v>
      </c>
      <c r="E100" s="4">
        <v>60750</v>
      </c>
      <c r="F100" s="4" t="str">
        <v>3.23K</v>
      </c>
      <c r="G100" s="4" t="str">
        <v>0.21%</v>
      </c>
      <c r="H100" s="3">
        <v>45232</v>
      </c>
      <c r="I100" s="4">
        <v>60896</v>
      </c>
    </row>
    <row r="101" spans="1:9" x14ac:dyDescent="0.25">
      <c r="A101" s="3">
        <v>45231</v>
      </c>
      <c r="B101" s="4">
        <v>60785</v>
      </c>
      <c r="C101" s="4">
        <v>60820</v>
      </c>
      <c r="D101" s="4">
        <v>61164</v>
      </c>
      <c r="E101" s="4">
        <v>60661</v>
      </c>
      <c r="F101" s="4" t="str">
        <v>53.76M</v>
      </c>
      <c r="G101" s="4" t="str">
        <v>-0.81%</v>
      </c>
      <c r="H101" s="3">
        <v>45231</v>
      </c>
      <c r="I101" s="4">
        <v>60912.5</v>
      </c>
    </row>
    <row r="102" spans="1:9" x14ac:dyDescent="0.25">
      <c r="A102" s="3">
        <v>45230</v>
      </c>
      <c r="B102" s="4">
        <v>61280</v>
      </c>
      <c r="C102" s="4">
        <v>61117</v>
      </c>
      <c r="D102" s="4">
        <v>61539</v>
      </c>
      <c r="E102" s="4">
        <v>60905</v>
      </c>
      <c r="F102" s="4" t="str">
        <v>7.11K</v>
      </c>
      <c r="G102" s="4" t="str">
        <v>0.20%</v>
      </c>
      <c r="H102" s="3">
        <v>45230</v>
      </c>
      <c r="I102" s="4">
        <v>61222</v>
      </c>
    </row>
    <row r="103" spans="1:9" x14ac:dyDescent="0.25">
      <c r="A103" s="3">
        <v>45229</v>
      </c>
      <c r="B103" s="4">
        <v>61156</v>
      </c>
      <c r="C103" s="4">
        <v>61396</v>
      </c>
      <c r="D103" s="4">
        <v>61396</v>
      </c>
      <c r="E103" s="4">
        <v>61110</v>
      </c>
      <c r="F103" s="4" t="str">
        <v>64.03M</v>
      </c>
      <c r="G103" s="4" t="str">
        <v>0.00%</v>
      </c>
      <c r="H103" s="3">
        <v>45229</v>
      </c>
      <c r="I103" s="4">
        <v>61253</v>
      </c>
    </row>
    <row r="104" spans="1:9" x14ac:dyDescent="0.25">
      <c r="A104" s="3">
        <v>45226</v>
      </c>
      <c r="B104" s="4">
        <v>61156</v>
      </c>
      <c r="C104" s="4">
        <v>60915</v>
      </c>
      <c r="D104" s="4">
        <v>61268</v>
      </c>
      <c r="E104" s="4">
        <v>60693</v>
      </c>
      <c r="F104" s="4" t="str">
        <v>63.49M</v>
      </c>
      <c r="G104" s="4" t="str">
        <v>0.54%</v>
      </c>
      <c r="H104" s="3">
        <v>45226</v>
      </c>
      <c r="I104" s="4">
        <v>60980.5</v>
      </c>
    </row>
    <row r="105" spans="1:9" x14ac:dyDescent="0.25">
      <c r="A105" s="3">
        <v>45225</v>
      </c>
      <c r="B105" s="4">
        <v>60826</v>
      </c>
      <c r="C105" s="4">
        <v>60824</v>
      </c>
      <c r="D105" s="4">
        <v>61070</v>
      </c>
      <c r="E105" s="4">
        <v>60585</v>
      </c>
      <c r="F105" s="4" t="str">
        <v>65.11M</v>
      </c>
      <c r="G105" s="4" t="str">
        <v>0.00%</v>
      </c>
      <c r="H105" s="3">
        <v>45225</v>
      </c>
      <c r="I105" s="4">
        <v>60827.5</v>
      </c>
    </row>
    <row r="106" spans="1:9" x14ac:dyDescent="0.25">
      <c r="A106" s="3">
        <v>45224</v>
      </c>
      <c r="B106" s="4">
        <v>60826</v>
      </c>
      <c r="C106" s="4">
        <v>60478</v>
      </c>
      <c r="D106" s="4">
        <v>60911</v>
      </c>
      <c r="E106" s="4">
        <v>60277</v>
      </c>
      <c r="F106" s="4" t="str">
        <v>72.01M</v>
      </c>
      <c r="G106" s="4" t="str">
        <v>0.37%</v>
      </c>
      <c r="H106" s="3">
        <v>45224</v>
      </c>
      <c r="I106" s="4">
        <v>60594</v>
      </c>
    </row>
    <row r="107" spans="1:9" x14ac:dyDescent="0.25">
      <c r="A107" s="3">
        <v>45223</v>
      </c>
      <c r="B107" s="4">
        <v>60599</v>
      </c>
      <c r="C107" s="4">
        <v>60184</v>
      </c>
      <c r="D107" s="4">
        <v>60574</v>
      </c>
      <c r="E107" s="4">
        <v>60125</v>
      </c>
      <c r="F107" s="4" t="str">
        <v>34.58M</v>
      </c>
      <c r="G107" s="4" t="str">
        <v>0.00%</v>
      </c>
      <c r="H107" s="3">
        <v>45223</v>
      </c>
      <c r="I107" s="4">
        <v>60349.5</v>
      </c>
    </row>
    <row r="108" spans="1:9" x14ac:dyDescent="0.25">
      <c r="A108" s="3">
        <v>45222</v>
      </c>
      <c r="B108" s="4">
        <v>60599</v>
      </c>
      <c r="C108" s="4">
        <v>60400</v>
      </c>
      <c r="D108" s="4">
        <v>60801</v>
      </c>
      <c r="E108" s="4">
        <v>60400</v>
      </c>
      <c r="F108" s="4" t="str">
        <v>49.29M</v>
      </c>
      <c r="G108" s="4" t="str">
        <v>-0.21%</v>
      </c>
      <c r="H108" s="3">
        <v>45222</v>
      </c>
      <c r="I108" s="4">
        <v>60600.5</v>
      </c>
    </row>
    <row r="109" spans="1:9" x14ac:dyDescent="0.25">
      <c r="A109" s="3">
        <v>45219</v>
      </c>
      <c r="B109" s="4">
        <v>60725</v>
      </c>
      <c r="C109" s="4">
        <v>60401</v>
      </c>
      <c r="D109" s="4">
        <v>61124</v>
      </c>
      <c r="E109" s="4">
        <v>60313</v>
      </c>
      <c r="F109" s="4" t="str">
        <v>9.86K</v>
      </c>
      <c r="G109" s="4" t="str">
        <v>0.67%</v>
      </c>
      <c r="H109" s="3">
        <v>45219</v>
      </c>
      <c r="I109" s="4">
        <v>60718.5</v>
      </c>
    </row>
    <row r="110" spans="1:9" x14ac:dyDescent="0.25">
      <c r="A110" s="3">
        <v>45218</v>
      </c>
      <c r="B110" s="4">
        <v>60318</v>
      </c>
      <c r="C110" s="4">
        <v>59720</v>
      </c>
      <c r="D110" s="4">
        <v>60375</v>
      </c>
      <c r="E110" s="4">
        <v>59720</v>
      </c>
      <c r="F110" s="4" t="str">
        <v>7.26K</v>
      </c>
      <c r="G110" s="4" t="str">
        <v>1.86%</v>
      </c>
      <c r="H110" s="3">
        <v>45218</v>
      </c>
      <c r="I110" s="4">
        <v>60047.5</v>
      </c>
    </row>
    <row r="111" spans="1:9" x14ac:dyDescent="0.25">
      <c r="A111" s="3">
        <v>45217</v>
      </c>
      <c r="B111" s="4">
        <v>59218</v>
      </c>
      <c r="C111" s="4">
        <v>59500</v>
      </c>
      <c r="D111" s="4">
        <v>60259</v>
      </c>
      <c r="E111" s="4">
        <v>59480</v>
      </c>
      <c r="F111" s="4" t="str">
        <v>92.16M</v>
      </c>
      <c r="G111" s="4" t="str">
        <v>0.09%</v>
      </c>
      <c r="H111" s="3">
        <v>45217</v>
      </c>
      <c r="I111" s="4">
        <v>59869.5</v>
      </c>
    </row>
    <row r="112" spans="1:9" x14ac:dyDescent="0.25">
      <c r="A112" s="3">
        <v>45216</v>
      </c>
      <c r="B112" s="4">
        <v>59166</v>
      </c>
      <c r="C112" s="4">
        <v>59166</v>
      </c>
      <c r="D112" s="4">
        <v>59478</v>
      </c>
      <c r="E112" s="4">
        <v>59000</v>
      </c>
      <c r="F112" s="4" t="str">
        <v>5.97K</v>
      </c>
      <c r="G112" s="4" t="str">
        <v>-0.41%</v>
      </c>
      <c r="H112" s="3">
        <v>45216</v>
      </c>
      <c r="I112" s="4">
        <v>59239</v>
      </c>
    </row>
    <row r="113" spans="1:9" x14ac:dyDescent="0.25">
      <c r="A113" s="3">
        <v>45215</v>
      </c>
      <c r="B113" s="4">
        <v>59408</v>
      </c>
      <c r="C113" s="4">
        <v>59209</v>
      </c>
      <c r="D113" s="4">
        <v>59280</v>
      </c>
      <c r="E113" s="4">
        <v>58880</v>
      </c>
      <c r="F113" s="4" t="str">
        <v>4.80K</v>
      </c>
      <c r="G113" s="4" t="str">
        <v>0.00%</v>
      </c>
      <c r="H113" s="3">
        <v>45215</v>
      </c>
      <c r="I113" s="4">
        <v>59080</v>
      </c>
    </row>
    <row r="114" spans="1:9" x14ac:dyDescent="0.25">
      <c r="A114" s="3">
        <v>45212</v>
      </c>
      <c r="B114" s="4">
        <v>59408</v>
      </c>
      <c r="C114" s="4">
        <v>57970</v>
      </c>
      <c r="D114" s="4">
        <v>59439</v>
      </c>
      <c r="E114" s="4">
        <v>57931</v>
      </c>
      <c r="F114" s="4" t="str">
        <v>11.42K</v>
      </c>
      <c r="G114" s="4" t="str">
        <v>2.57%</v>
      </c>
      <c r="H114" s="3">
        <v>45212</v>
      </c>
      <c r="I114" s="4">
        <v>58685</v>
      </c>
    </row>
    <row r="115" spans="1:9" x14ac:dyDescent="0.25">
      <c r="A115" s="3">
        <v>45211</v>
      </c>
      <c r="B115" s="4">
        <v>57918</v>
      </c>
      <c r="C115" s="4">
        <v>58045</v>
      </c>
      <c r="D115" s="4">
        <v>58235</v>
      </c>
      <c r="E115" s="4">
        <v>57881</v>
      </c>
      <c r="F115" s="4" t="str">
        <v>5.26K</v>
      </c>
      <c r="G115" s="4" t="str">
        <v>-0.04%</v>
      </c>
      <c r="H115" s="3">
        <v>45211</v>
      </c>
      <c r="I115" s="4">
        <v>58058</v>
      </c>
    </row>
    <row r="116" spans="1:9" x14ac:dyDescent="0.25">
      <c r="A116" s="3">
        <v>45210</v>
      </c>
      <c r="B116" s="4">
        <v>57940</v>
      </c>
      <c r="C116" s="4">
        <v>57619</v>
      </c>
      <c r="D116" s="4">
        <v>58073</v>
      </c>
      <c r="E116" s="4">
        <v>57600</v>
      </c>
      <c r="F116" s="4" t="str">
        <v>5.16K</v>
      </c>
      <c r="G116" s="4" t="str">
        <v>0.54%</v>
      </c>
      <c r="H116" s="3">
        <v>45210</v>
      </c>
      <c r="I116" s="4">
        <v>57836.5</v>
      </c>
    </row>
    <row r="117" spans="1:9" x14ac:dyDescent="0.25">
      <c r="A117" s="3">
        <v>45209</v>
      </c>
      <c r="B117" s="4">
        <v>57629</v>
      </c>
      <c r="C117" s="4">
        <v>57689</v>
      </c>
      <c r="D117" s="4">
        <v>57744</v>
      </c>
      <c r="E117" s="4">
        <v>57501</v>
      </c>
      <c r="F117" s="4" t="str">
        <v>5.09K</v>
      </c>
      <c r="G117" s="4" t="str">
        <v>0.10%</v>
      </c>
      <c r="H117" s="3">
        <v>45209</v>
      </c>
      <c r="I117" s="4">
        <v>57622.5</v>
      </c>
    </row>
    <row r="118" spans="1:9" x14ac:dyDescent="0.25">
      <c r="A118" s="3">
        <v>45208</v>
      </c>
      <c r="B118" s="4">
        <v>57572</v>
      </c>
      <c r="C118" s="4">
        <v>57000</v>
      </c>
      <c r="D118" s="4">
        <v>57606</v>
      </c>
      <c r="E118" s="4">
        <v>57000</v>
      </c>
      <c r="F118" s="4" t="str">
        <v>5.34K</v>
      </c>
      <c r="G118" s="4" t="str">
        <v>1.23%</v>
      </c>
      <c r="H118" s="3">
        <v>45208</v>
      </c>
      <c r="I118" s="4">
        <v>57303</v>
      </c>
    </row>
    <row r="119" spans="1:9" x14ac:dyDescent="0.25">
      <c r="A119" s="3">
        <v>45205</v>
      </c>
      <c r="B119" s="4">
        <v>56871</v>
      </c>
      <c r="C119" s="4">
        <v>56735</v>
      </c>
      <c r="D119" s="4">
        <v>56910</v>
      </c>
      <c r="E119" s="4">
        <v>56421</v>
      </c>
      <c r="F119" s="4" t="str">
        <v>6.04K</v>
      </c>
      <c r="G119" s="4" t="str">
        <v>0.48%</v>
      </c>
      <c r="H119" s="3">
        <v>45205</v>
      </c>
      <c r="I119" s="4">
        <v>56665.5</v>
      </c>
    </row>
    <row r="120" spans="1:9" x14ac:dyDescent="0.25">
      <c r="A120" s="3">
        <v>45204</v>
      </c>
      <c r="B120" s="4">
        <v>56602</v>
      </c>
      <c r="C120" s="4">
        <v>56200</v>
      </c>
      <c r="D120" s="4">
        <v>56602</v>
      </c>
      <c r="E120" s="4">
        <v>56075</v>
      </c>
      <c r="F120" s="4" t="str">
        <v>4.18K</v>
      </c>
      <c r="G120" s="4" t="str">
        <v>0.46%</v>
      </c>
      <c r="H120" s="3">
        <v>45204</v>
      </c>
      <c r="I120" s="4">
        <v>56338.5</v>
      </c>
    </row>
    <row r="121" spans="1:9" x14ac:dyDescent="0.25">
      <c r="A121" s="3">
        <v>45203</v>
      </c>
      <c r="B121" s="4">
        <v>56343</v>
      </c>
      <c r="C121" s="4">
        <v>56237</v>
      </c>
      <c r="D121" s="4">
        <v>56631</v>
      </c>
      <c r="E121" s="4">
        <v>56225</v>
      </c>
      <c r="F121" s="4" t="str">
        <v>0.02K</v>
      </c>
      <c r="G121" s="4" t="str">
        <v>0.11%</v>
      </c>
      <c r="H121" s="3">
        <v>45203</v>
      </c>
      <c r="I121" s="4">
        <v>56428</v>
      </c>
    </row>
    <row r="122" spans="1:9" x14ac:dyDescent="0.25">
      <c r="A122" s="3">
        <v>45202</v>
      </c>
      <c r="B122" s="4">
        <v>56279</v>
      </c>
      <c r="C122" s="4">
        <v>56209</v>
      </c>
      <c r="D122" s="4">
        <v>56539</v>
      </c>
      <c r="E122" s="4">
        <v>56150</v>
      </c>
      <c r="F122" s="4" t="str">
        <v>0.02K</v>
      </c>
      <c r="G122" s="4" t="str">
        <v>-1.45%</v>
      </c>
      <c r="H122" s="3">
        <v>45202</v>
      </c>
      <c r="I122" s="4">
        <v>56344.5</v>
      </c>
    </row>
    <row r="123" spans="1:9" x14ac:dyDescent="0.25">
      <c r="A123" s="3">
        <v>45198</v>
      </c>
      <c r="B123" s="4">
        <v>57105</v>
      </c>
      <c r="C123" s="4">
        <v>57382</v>
      </c>
      <c r="D123" s="4">
        <v>57607</v>
      </c>
      <c r="E123" s="4">
        <v>57096</v>
      </c>
      <c r="F123" s="4" t="str">
        <v>0.59K</v>
      </c>
      <c r="G123" s="4" t="str">
        <v>-0.04%</v>
      </c>
      <c r="H123" s="3">
        <v>45198</v>
      </c>
      <c r="I123" s="4">
        <v>57351.5</v>
      </c>
    </row>
    <row r="124" spans="1:9" x14ac:dyDescent="0.25">
      <c r="A124" s="3">
        <v>45197</v>
      </c>
      <c r="B124" s="4">
        <v>57128</v>
      </c>
      <c r="C124" s="4">
        <v>57631</v>
      </c>
      <c r="D124" s="4">
        <v>57647</v>
      </c>
      <c r="E124" s="4">
        <v>57026</v>
      </c>
      <c r="F124" s="4" t="str">
        <v>2.21K</v>
      </c>
      <c r="G124" s="4" t="str">
        <v>-0.94%</v>
      </c>
      <c r="H124" s="3">
        <v>45197</v>
      </c>
      <c r="I124" s="4">
        <v>57336.5</v>
      </c>
    </row>
    <row r="125" spans="1:9" x14ac:dyDescent="0.25">
      <c r="A125" s="3">
        <v>45196</v>
      </c>
      <c r="B125" s="4">
        <v>57672</v>
      </c>
      <c r="C125" s="4">
        <v>58450</v>
      </c>
      <c r="D125" s="4">
        <v>58450</v>
      </c>
      <c r="E125" s="4">
        <v>57622</v>
      </c>
      <c r="F125" s="4" t="str">
        <v>7.06K</v>
      </c>
      <c r="G125" s="4" t="str">
        <v>-1.30%</v>
      </c>
      <c r="H125" s="3">
        <v>45196</v>
      </c>
      <c r="I125" s="4">
        <v>58036</v>
      </c>
    </row>
    <row r="126" spans="1:9" x14ac:dyDescent="0.25">
      <c r="A126" s="3">
        <v>45195</v>
      </c>
      <c r="B126" s="4">
        <v>58432</v>
      </c>
      <c r="C126" s="4">
        <v>58616</v>
      </c>
      <c r="D126" s="4">
        <v>58749</v>
      </c>
      <c r="E126" s="4">
        <v>58404</v>
      </c>
      <c r="F126" s="4" t="str">
        <v>5.34K</v>
      </c>
      <c r="G126" s="4" t="str">
        <v>-0.46%</v>
      </c>
      <c r="H126" s="3">
        <v>45195</v>
      </c>
      <c r="I126" s="4">
        <v>58576.5</v>
      </c>
    </row>
    <row r="127" spans="1:9" x14ac:dyDescent="0.25">
      <c r="A127" s="3">
        <v>45194</v>
      </c>
      <c r="B127" s="4">
        <v>58701</v>
      </c>
      <c r="C127" s="4">
        <v>58884</v>
      </c>
      <c r="D127" s="4">
        <v>58996</v>
      </c>
      <c r="E127" s="4">
        <v>58676</v>
      </c>
      <c r="F127" s="4" t="str">
        <v>5.16K</v>
      </c>
      <c r="G127" s="4" t="str">
        <v>-0.42%</v>
      </c>
      <c r="H127" s="3">
        <v>45194</v>
      </c>
      <c r="I127" s="4">
        <v>58836</v>
      </c>
    </row>
    <row r="128" spans="1:9" x14ac:dyDescent="0.25">
      <c r="A128" s="3">
        <v>45191</v>
      </c>
      <c r="B128" s="4">
        <v>58946</v>
      </c>
      <c r="C128" s="4">
        <v>58730</v>
      </c>
      <c r="D128" s="4">
        <v>58986</v>
      </c>
      <c r="E128" s="4">
        <v>58729</v>
      </c>
      <c r="F128" s="4" t="str">
        <v>3.45K</v>
      </c>
      <c r="G128" s="4" t="str">
        <v>0.21%</v>
      </c>
      <c r="H128" s="3">
        <v>45191</v>
      </c>
      <c r="I128" s="4">
        <v>58857.5</v>
      </c>
    </row>
    <row r="129" spans="1:9" x14ac:dyDescent="0.25">
      <c r="A129" s="3">
        <v>45190</v>
      </c>
      <c r="B129" s="4">
        <v>58822</v>
      </c>
      <c r="C129" s="4">
        <v>59315</v>
      </c>
      <c r="D129" s="4">
        <v>59315</v>
      </c>
      <c r="E129" s="4">
        <v>58685</v>
      </c>
      <c r="F129" s="4" t="str">
        <v>6.11K</v>
      </c>
      <c r="G129" s="4" t="str">
        <v>-0.98%</v>
      </c>
      <c r="H129" s="3">
        <v>45190</v>
      </c>
      <c r="I129" s="4">
        <v>59000</v>
      </c>
    </row>
    <row r="130" spans="1:9" x14ac:dyDescent="0.25">
      <c r="A130" s="3">
        <v>45189</v>
      </c>
      <c r="B130" s="4">
        <v>59405</v>
      </c>
      <c r="C130" s="4">
        <v>59222</v>
      </c>
      <c r="D130" s="4">
        <v>59443</v>
      </c>
      <c r="E130" s="4">
        <v>59109</v>
      </c>
      <c r="F130" s="4" t="str">
        <v>4.72K</v>
      </c>
      <c r="G130" s="4" t="str">
        <v>0.21%</v>
      </c>
      <c r="H130" s="3">
        <v>45189</v>
      </c>
      <c r="I130" s="4">
        <v>59276</v>
      </c>
    </row>
    <row r="131" spans="1:9" x14ac:dyDescent="0.25">
      <c r="A131" s="3">
        <v>45188</v>
      </c>
      <c r="B131" s="4">
        <v>59282</v>
      </c>
      <c r="C131" s="4">
        <v>59240</v>
      </c>
      <c r="D131" s="4">
        <v>59388</v>
      </c>
      <c r="E131" s="4">
        <v>59240</v>
      </c>
      <c r="F131" s="4" t="str">
        <v>1.28K</v>
      </c>
      <c r="G131" s="4" t="str">
        <v>0.04%</v>
      </c>
      <c r="H131" s="3">
        <v>45188</v>
      </c>
      <c r="I131" s="4">
        <v>59314</v>
      </c>
    </row>
    <row r="132" spans="1:9" x14ac:dyDescent="0.25">
      <c r="A132" s="3">
        <v>45187</v>
      </c>
      <c r="B132" s="4">
        <v>59259</v>
      </c>
      <c r="C132" s="4">
        <v>58913</v>
      </c>
      <c r="D132" s="4">
        <v>59275</v>
      </c>
      <c r="E132" s="4">
        <v>58913</v>
      </c>
      <c r="F132" s="4" t="str">
        <v>3.44K</v>
      </c>
      <c r="G132" s="4" t="str">
        <v>0.45%</v>
      </c>
      <c r="H132" s="3">
        <v>45187</v>
      </c>
      <c r="I132" s="4">
        <v>59094</v>
      </c>
    </row>
    <row r="133" spans="1:9" x14ac:dyDescent="0.25">
      <c r="A133" s="3">
        <v>45184</v>
      </c>
      <c r="B133" s="4">
        <v>58993</v>
      </c>
      <c r="C133" s="4">
        <v>58674</v>
      </c>
      <c r="D133" s="4">
        <v>59148</v>
      </c>
      <c r="E133" s="4">
        <v>58673</v>
      </c>
      <c r="F133" s="4" t="str">
        <v>5.47K</v>
      </c>
      <c r="G133" s="4" t="str">
        <v>0.69%</v>
      </c>
      <c r="H133" s="3">
        <v>45184</v>
      </c>
      <c r="I133" s="4">
        <v>58910.5</v>
      </c>
    </row>
    <row r="134" spans="1:9" x14ac:dyDescent="0.25">
      <c r="A134" s="3">
        <v>45183</v>
      </c>
      <c r="B134" s="4">
        <v>58588</v>
      </c>
      <c r="C134" s="4">
        <v>58550</v>
      </c>
      <c r="D134" s="4">
        <v>58620</v>
      </c>
      <c r="E134" s="4">
        <v>58354</v>
      </c>
      <c r="F134" s="4" t="str">
        <v>3.90K</v>
      </c>
      <c r="G134" s="4" t="str">
        <v>-0.01%</v>
      </c>
      <c r="H134" s="3">
        <v>45183</v>
      </c>
      <c r="I134" s="4">
        <v>58487</v>
      </c>
    </row>
    <row r="135" spans="1:9" x14ac:dyDescent="0.25">
      <c r="A135" s="3">
        <v>45182</v>
      </c>
      <c r="B135" s="4">
        <v>58593</v>
      </c>
      <c r="C135" s="4">
        <v>58550</v>
      </c>
      <c r="D135" s="4">
        <v>58695</v>
      </c>
      <c r="E135" s="4">
        <v>58523</v>
      </c>
      <c r="F135" s="4" t="str">
        <v>3.29K</v>
      </c>
      <c r="G135" s="4" t="str">
        <v>-0.06%</v>
      </c>
      <c r="H135" s="3">
        <v>45182</v>
      </c>
      <c r="I135" s="4">
        <v>58609</v>
      </c>
    </row>
    <row r="136" spans="1:9" x14ac:dyDescent="0.25">
      <c r="A136" s="3">
        <v>45181</v>
      </c>
      <c r="B136" s="4">
        <v>58626</v>
      </c>
      <c r="C136" s="4">
        <v>58995</v>
      </c>
      <c r="D136" s="4">
        <v>58995</v>
      </c>
      <c r="E136" s="4">
        <v>58520</v>
      </c>
      <c r="F136" s="4" t="str">
        <v>4.28K</v>
      </c>
      <c r="G136" s="4" t="str">
        <v>-0.52%</v>
      </c>
      <c r="H136" s="3">
        <v>45181</v>
      </c>
      <c r="I136" s="4">
        <v>58757.5</v>
      </c>
    </row>
    <row r="137" spans="1:9" x14ac:dyDescent="0.25">
      <c r="A137" s="3">
        <v>45180</v>
      </c>
      <c r="B137" s="4">
        <v>58930</v>
      </c>
      <c r="C137" s="4">
        <v>58930</v>
      </c>
      <c r="D137" s="4">
        <v>59100</v>
      </c>
      <c r="E137" s="4">
        <v>58888</v>
      </c>
      <c r="F137" s="4" t="str">
        <v>3.33K</v>
      </c>
      <c r="G137" s="4" t="str">
        <v>0.05%</v>
      </c>
      <c r="H137" s="3">
        <v>45180</v>
      </c>
      <c r="I137" s="4">
        <v>58994</v>
      </c>
    </row>
    <row r="138" spans="1:9" x14ac:dyDescent="0.25">
      <c r="A138" s="3">
        <v>45177</v>
      </c>
      <c r="B138" s="4">
        <v>58898</v>
      </c>
      <c r="C138" s="4">
        <v>59146</v>
      </c>
      <c r="D138" s="4">
        <v>59205</v>
      </c>
      <c r="E138" s="4">
        <v>58864</v>
      </c>
      <c r="F138" s="4" t="str">
        <v>3.55K</v>
      </c>
      <c r="G138" s="4" t="str">
        <v>-0.17%</v>
      </c>
      <c r="H138" s="3">
        <v>45177</v>
      </c>
      <c r="I138" s="4">
        <v>59034.5</v>
      </c>
    </row>
    <row r="139" spans="1:9" x14ac:dyDescent="0.25">
      <c r="A139" s="3">
        <v>45176</v>
      </c>
      <c r="B139" s="4">
        <v>58998</v>
      </c>
      <c r="C139" s="4">
        <v>59043</v>
      </c>
      <c r="D139" s="4">
        <v>59128</v>
      </c>
      <c r="E139" s="4">
        <v>58970</v>
      </c>
      <c r="F139" s="4" t="str">
        <v>2.70K</v>
      </c>
      <c r="G139" s="4" t="str">
        <v>-0.15%</v>
      </c>
      <c r="H139" s="3">
        <v>45176</v>
      </c>
      <c r="I139" s="4">
        <v>59049</v>
      </c>
    </row>
    <row r="140" spans="1:9" x14ac:dyDescent="0.25">
      <c r="A140" s="3">
        <v>45175</v>
      </c>
      <c r="B140" s="4">
        <v>59088</v>
      </c>
      <c r="C140" s="4">
        <v>59165</v>
      </c>
      <c r="D140" s="4">
        <v>59300</v>
      </c>
      <c r="E140" s="4">
        <v>59010</v>
      </c>
      <c r="F140" s="4" t="str">
        <v>3.00K</v>
      </c>
      <c r="G140" s="4" t="str">
        <v>-0.26%</v>
      </c>
      <c r="H140" s="3">
        <v>45175</v>
      </c>
      <c r="I140" s="4">
        <v>59155</v>
      </c>
    </row>
    <row r="141" spans="1:9" x14ac:dyDescent="0.25">
      <c r="A141" s="3">
        <v>45174</v>
      </c>
      <c r="B141" s="4">
        <v>59243</v>
      </c>
      <c r="C141" s="4">
        <v>59347</v>
      </c>
      <c r="D141" s="4">
        <v>59460</v>
      </c>
      <c r="E141" s="4">
        <v>59207</v>
      </c>
      <c r="F141" s="4" t="str">
        <v>2.74K</v>
      </c>
      <c r="G141" s="4" t="str">
        <v>-0.25%</v>
      </c>
      <c r="H141" s="3">
        <v>45174</v>
      </c>
      <c r="I141" s="4">
        <v>59333.5</v>
      </c>
    </row>
    <row r="142" spans="1:9" x14ac:dyDescent="0.25">
      <c r="A142" s="3">
        <v>45173</v>
      </c>
      <c r="B142" s="4">
        <v>59393</v>
      </c>
      <c r="C142" s="4">
        <v>59570</v>
      </c>
      <c r="D142" s="4">
        <v>59574</v>
      </c>
      <c r="E142" s="4">
        <v>59330</v>
      </c>
      <c r="F142" s="4" t="str">
        <v>3.13K</v>
      </c>
      <c r="G142" s="4" t="str">
        <v>-0.00%</v>
      </c>
      <c r="H142" s="3">
        <v>45173</v>
      </c>
      <c r="I142" s="4">
        <v>59452</v>
      </c>
    </row>
    <row r="143" spans="1:9" x14ac:dyDescent="0.25">
      <c r="A143" s="3">
        <v>45170</v>
      </c>
      <c r="B143" s="4">
        <v>59395</v>
      </c>
      <c r="C143" s="4">
        <v>59296</v>
      </c>
      <c r="D143" s="4">
        <v>59665</v>
      </c>
      <c r="E143" s="4">
        <v>59271</v>
      </c>
      <c r="F143" s="4" t="str">
        <v>5.46K</v>
      </c>
      <c r="G143" s="4" t="str">
        <v>0.04%</v>
      </c>
      <c r="H143" s="3">
        <v>45170</v>
      </c>
      <c r="I143" s="4">
        <v>59468</v>
      </c>
    </row>
    <row r="144" spans="1:9" x14ac:dyDescent="0.25">
      <c r="A144" s="3">
        <v>45169</v>
      </c>
      <c r="B144" s="4">
        <v>59374</v>
      </c>
      <c r="C144" s="4">
        <v>59490</v>
      </c>
      <c r="D144" s="4">
        <v>59563</v>
      </c>
      <c r="E144" s="4">
        <v>59351</v>
      </c>
      <c r="F144" s="4" t="str">
        <v>3.31K</v>
      </c>
      <c r="G144" s="4" t="str">
        <v>-0.17%</v>
      </c>
      <c r="H144" s="3">
        <v>45169</v>
      </c>
      <c r="I144" s="4">
        <v>59457</v>
      </c>
    </row>
    <row r="145" spans="1:9" x14ac:dyDescent="0.25">
      <c r="A145" s="3">
        <v>45168</v>
      </c>
      <c r="B145" s="4">
        <v>59478</v>
      </c>
      <c r="C145" s="4">
        <v>59282</v>
      </c>
      <c r="D145" s="4">
        <v>59550</v>
      </c>
      <c r="E145" s="4">
        <v>59282</v>
      </c>
      <c r="F145" s="4" t="str">
        <v>3.33K</v>
      </c>
      <c r="G145" s="4" t="str">
        <v>0.36%</v>
      </c>
      <c r="H145" s="3">
        <v>45168</v>
      </c>
      <c r="I145" s="4">
        <v>59416</v>
      </c>
    </row>
    <row r="146" spans="1:9" x14ac:dyDescent="0.25">
      <c r="A146" s="3">
        <v>45167</v>
      </c>
      <c r="B146" s="4">
        <v>59266</v>
      </c>
      <c r="C146" s="4">
        <v>58949</v>
      </c>
      <c r="D146" s="4">
        <v>59289</v>
      </c>
      <c r="E146" s="4">
        <v>58843</v>
      </c>
      <c r="F146" s="4" t="str">
        <v>4.64K</v>
      </c>
      <c r="G146" s="4" t="str">
        <v>0.64%</v>
      </c>
      <c r="H146" s="3">
        <v>45167</v>
      </c>
      <c r="I146" s="4">
        <v>59066</v>
      </c>
    </row>
    <row r="147" spans="1:9" x14ac:dyDescent="0.25">
      <c r="A147" s="3">
        <v>45166</v>
      </c>
      <c r="B147" s="4">
        <v>58887</v>
      </c>
      <c r="C147" s="4">
        <v>58685</v>
      </c>
      <c r="D147" s="4">
        <v>59000</v>
      </c>
      <c r="E147" s="4">
        <v>58671</v>
      </c>
      <c r="F147" s="4" t="str">
        <v>3.32K</v>
      </c>
      <c r="G147" s="4" t="str">
        <v>0.42%</v>
      </c>
      <c r="H147" s="3">
        <v>45166</v>
      </c>
      <c r="I147" s="4">
        <v>58835.5</v>
      </c>
    </row>
    <row r="148" spans="1:9" x14ac:dyDescent="0.25">
      <c r="A148" s="3">
        <v>45163</v>
      </c>
      <c r="B148" s="4">
        <v>58640</v>
      </c>
      <c r="C148" s="4">
        <v>58743</v>
      </c>
      <c r="D148" s="4">
        <v>58875</v>
      </c>
      <c r="E148" s="4">
        <v>58492</v>
      </c>
      <c r="F148" s="4" t="str">
        <v>4.38K</v>
      </c>
      <c r="G148" s="4" t="str">
        <v>-0.29%</v>
      </c>
      <c r="H148" s="3">
        <v>45163</v>
      </c>
      <c r="I148" s="4">
        <v>58683.5</v>
      </c>
    </row>
    <row r="149" spans="1:9" x14ac:dyDescent="0.25">
      <c r="A149" s="3">
        <v>45162</v>
      </c>
      <c r="B149" s="4">
        <v>58811</v>
      </c>
      <c r="C149" s="4">
        <v>58800</v>
      </c>
      <c r="D149" s="4">
        <v>58895</v>
      </c>
      <c r="E149" s="4">
        <v>58662</v>
      </c>
      <c r="F149" s="4" t="str">
        <v>2.96K</v>
      </c>
      <c r="G149" s="4" t="str">
        <v>-0.01%</v>
      </c>
      <c r="H149" s="3">
        <v>45162</v>
      </c>
      <c r="I149" s="4">
        <v>58778.5</v>
      </c>
    </row>
    <row r="150" spans="1:9" x14ac:dyDescent="0.25">
      <c r="A150" s="3">
        <v>45161</v>
      </c>
      <c r="B150" s="4">
        <v>58819</v>
      </c>
      <c r="C150" s="4">
        <v>58600</v>
      </c>
      <c r="D150" s="4">
        <v>58848</v>
      </c>
      <c r="E150" s="4">
        <v>58506</v>
      </c>
      <c r="F150" s="4" t="str">
        <v>4.19K</v>
      </c>
      <c r="G150" s="4" t="str">
        <v>0.42%</v>
      </c>
      <c r="H150" s="3">
        <v>45161</v>
      </c>
      <c r="I150" s="4">
        <v>58677</v>
      </c>
    </row>
    <row r="151" spans="1:9" x14ac:dyDescent="0.25">
      <c r="A151" s="3">
        <v>45160</v>
      </c>
      <c r="B151" s="4">
        <v>58574</v>
      </c>
      <c r="C151" s="4">
        <v>58526</v>
      </c>
      <c r="D151" s="4">
        <v>58674</v>
      </c>
      <c r="E151" s="4">
        <v>58361</v>
      </c>
      <c r="F151" s="4" t="str">
        <v>4.11K</v>
      </c>
      <c r="G151" s="4" t="str">
        <v>0.14%</v>
      </c>
      <c r="H151" s="3">
        <v>45160</v>
      </c>
      <c r="I151" s="4">
        <v>58517.5</v>
      </c>
    </row>
    <row r="152" spans="1:9" x14ac:dyDescent="0.25">
      <c r="A152" s="3">
        <v>45159</v>
      </c>
      <c r="B152" s="4">
        <v>58490</v>
      </c>
      <c r="C152" s="4">
        <v>58420</v>
      </c>
      <c r="D152" s="4">
        <v>58640</v>
      </c>
      <c r="E152" s="4">
        <v>58281</v>
      </c>
      <c r="F152" s="4" t="str">
        <v>4.86K</v>
      </c>
      <c r="G152" s="4" t="str">
        <v>0.20%</v>
      </c>
      <c r="H152" s="3">
        <v>45159</v>
      </c>
      <c r="I152" s="4">
        <v>58460.5</v>
      </c>
    </row>
    <row r="153" spans="1:9" x14ac:dyDescent="0.25">
      <c r="A153" s="3">
        <v>45156</v>
      </c>
      <c r="B153" s="4">
        <v>58375</v>
      </c>
      <c r="C153" s="4">
        <v>58370</v>
      </c>
      <c r="D153" s="4">
        <v>58580</v>
      </c>
      <c r="E153" s="4">
        <v>58340</v>
      </c>
      <c r="F153" s="4" t="str">
        <v>2.99K</v>
      </c>
      <c r="G153" s="4" t="str">
        <v>0.15%</v>
      </c>
      <c r="H153" s="3">
        <v>45156</v>
      </c>
      <c r="I153" s="4">
        <v>58460</v>
      </c>
    </row>
    <row r="154" spans="1:9" x14ac:dyDescent="0.25">
      <c r="A154" s="3">
        <v>45155</v>
      </c>
      <c r="B154" s="4">
        <v>58290</v>
      </c>
      <c r="C154" s="4">
        <v>58453</v>
      </c>
      <c r="D154" s="4">
        <v>58689</v>
      </c>
      <c r="E154" s="4">
        <v>58275</v>
      </c>
      <c r="F154" s="4" t="str">
        <v>5.19K</v>
      </c>
      <c r="G154" s="4" t="str">
        <v>-0.67%</v>
      </c>
      <c r="H154" s="3">
        <v>45155</v>
      </c>
      <c r="I154" s="4">
        <v>58482</v>
      </c>
    </row>
    <row r="155" spans="1:9" x14ac:dyDescent="0.25">
      <c r="A155" s="3">
        <v>45154</v>
      </c>
      <c r="B155" s="4">
        <v>58681</v>
      </c>
      <c r="C155" s="4">
        <v>58831</v>
      </c>
      <c r="D155" s="4">
        <v>58903</v>
      </c>
      <c r="E155" s="4">
        <v>58665</v>
      </c>
      <c r="F155" s="4" t="str">
        <v>3.56K</v>
      </c>
      <c r="G155" s="4" t="str">
        <v>-0.50%</v>
      </c>
      <c r="H155" s="3">
        <v>45154</v>
      </c>
      <c r="I155" s="4">
        <v>58784</v>
      </c>
    </row>
    <row r="156" spans="1:9" x14ac:dyDescent="0.25">
      <c r="A156" s="3">
        <v>45152</v>
      </c>
      <c r="B156" s="4">
        <v>58974</v>
      </c>
      <c r="C156" s="4">
        <v>58904</v>
      </c>
      <c r="D156" s="4">
        <v>59019</v>
      </c>
      <c r="E156" s="4">
        <v>58810</v>
      </c>
      <c r="F156" s="4" t="str">
        <v>2.97K</v>
      </c>
      <c r="G156" s="4" t="str">
        <v>0.12%</v>
      </c>
      <c r="H156" s="3">
        <v>45152</v>
      </c>
      <c r="I156" s="4">
        <v>58914.5</v>
      </c>
    </row>
    <row r="157" spans="1:9" x14ac:dyDescent="0.25">
      <c r="A157" s="3">
        <v>45149</v>
      </c>
      <c r="B157" s="4">
        <v>58906</v>
      </c>
      <c r="C157" s="4">
        <v>58800</v>
      </c>
      <c r="D157" s="4">
        <v>59030</v>
      </c>
      <c r="E157" s="4">
        <v>58740</v>
      </c>
      <c r="F157" s="4" t="str">
        <v>3.06K</v>
      </c>
      <c r="G157" s="4" t="str">
        <v>0.09%</v>
      </c>
      <c r="H157" s="3">
        <v>45149</v>
      </c>
      <c r="I157" s="4">
        <v>58885</v>
      </c>
    </row>
    <row r="158" spans="1:9" x14ac:dyDescent="0.25">
      <c r="A158" s="3">
        <v>45148</v>
      </c>
      <c r="B158" s="4">
        <v>58853</v>
      </c>
      <c r="C158" s="4">
        <v>59130</v>
      </c>
      <c r="D158" s="4">
        <v>59146</v>
      </c>
      <c r="E158" s="4">
        <v>58725</v>
      </c>
      <c r="F158" s="4" t="str">
        <v>4.23K</v>
      </c>
      <c r="G158" s="4" t="str">
        <v>-0.20%</v>
      </c>
      <c r="H158" s="3">
        <v>45148</v>
      </c>
      <c r="I158" s="4">
        <v>58935.5</v>
      </c>
    </row>
    <row r="159" spans="1:9" x14ac:dyDescent="0.25">
      <c r="A159" s="3">
        <v>45147</v>
      </c>
      <c r="B159" s="4">
        <v>58973</v>
      </c>
      <c r="C159" s="4">
        <v>59321</v>
      </c>
      <c r="D159" s="4">
        <v>59361</v>
      </c>
      <c r="E159" s="4">
        <v>58952</v>
      </c>
      <c r="F159" s="4" t="str">
        <v>4.40K</v>
      </c>
      <c r="G159" s="4" t="str">
        <v>-0.46%</v>
      </c>
      <c r="H159" s="3">
        <v>45147</v>
      </c>
      <c r="I159" s="4">
        <v>59156.5</v>
      </c>
    </row>
    <row r="160" spans="1:9" x14ac:dyDescent="0.25">
      <c r="A160" s="3">
        <v>45146</v>
      </c>
      <c r="B160" s="4">
        <v>59248</v>
      </c>
      <c r="C160" s="4">
        <v>59390</v>
      </c>
      <c r="D160" s="4">
        <v>59474</v>
      </c>
      <c r="E160" s="4">
        <v>59178</v>
      </c>
      <c r="F160" s="4" t="str">
        <v>5.02K</v>
      </c>
      <c r="G160" s="4" t="str">
        <v>-0.29%</v>
      </c>
      <c r="H160" s="3">
        <v>45146</v>
      </c>
      <c r="I160" s="4">
        <v>59326</v>
      </c>
    </row>
    <row r="161" spans="1:9" x14ac:dyDescent="0.25">
      <c r="A161" s="3">
        <v>45145</v>
      </c>
      <c r="B161" s="4">
        <v>59420</v>
      </c>
      <c r="C161" s="4">
        <v>59550</v>
      </c>
      <c r="D161" s="4">
        <v>59567</v>
      </c>
      <c r="E161" s="4">
        <v>59313</v>
      </c>
      <c r="F161" s="4" t="str">
        <v>4.89K</v>
      </c>
      <c r="G161" s="4" t="str">
        <v>0.38%</v>
      </c>
      <c r="H161" s="3">
        <v>45145</v>
      </c>
      <c r="I161" s="4">
        <v>59440</v>
      </c>
    </row>
    <row r="162" spans="1:9" x14ac:dyDescent="0.25">
      <c r="A162" s="3">
        <v>45142</v>
      </c>
      <c r="B162" s="4">
        <v>59197</v>
      </c>
      <c r="C162" s="4">
        <v>59100</v>
      </c>
      <c r="D162" s="4">
        <v>59399</v>
      </c>
      <c r="E162" s="4">
        <v>58951</v>
      </c>
      <c r="F162" s="4" t="str">
        <v>0.01K</v>
      </c>
      <c r="G162" s="4" t="str">
        <v>0.09%</v>
      </c>
      <c r="H162" s="3">
        <v>45142</v>
      </c>
      <c r="I162" s="4">
        <v>59175</v>
      </c>
    </row>
    <row r="163" spans="1:9" x14ac:dyDescent="0.25">
      <c r="A163" s="3">
        <v>45141</v>
      </c>
      <c r="B163" s="4">
        <v>59146</v>
      </c>
      <c r="C163" s="4">
        <v>59843</v>
      </c>
      <c r="D163" s="4">
        <v>59855</v>
      </c>
      <c r="E163" s="4">
        <v>58851</v>
      </c>
      <c r="F163" s="4" t="str">
        <v>0.04K</v>
      </c>
      <c r="G163" s="4" t="str">
        <v>0.03%</v>
      </c>
      <c r="H163" s="3">
        <v>45141</v>
      </c>
      <c r="I163" s="4">
        <v>59353</v>
      </c>
    </row>
    <row r="164" spans="1:9" x14ac:dyDescent="0.25">
      <c r="A164" s="3">
        <v>45140</v>
      </c>
      <c r="B164" s="4">
        <v>59127</v>
      </c>
      <c r="C164" s="4">
        <v>59182</v>
      </c>
      <c r="D164" s="4">
        <v>59499</v>
      </c>
      <c r="E164" s="4">
        <v>59100</v>
      </c>
      <c r="F164" s="4" t="str">
        <v>0.05K</v>
      </c>
      <c r="G164" s="4" t="str">
        <v>0.32%</v>
      </c>
      <c r="H164" s="3">
        <v>45140</v>
      </c>
      <c r="I164" s="4">
        <v>59299.5</v>
      </c>
    </row>
    <row r="165" spans="1:9" x14ac:dyDescent="0.25">
      <c r="A165" s="3">
        <v>45139</v>
      </c>
      <c r="B165" s="4">
        <v>58939</v>
      </c>
      <c r="C165" s="4">
        <v>59426</v>
      </c>
      <c r="D165" s="4">
        <v>59524</v>
      </c>
      <c r="E165" s="4">
        <v>58855</v>
      </c>
      <c r="F165" s="4" t="str">
        <v>0.08K</v>
      </c>
      <c r="G165" s="4" t="str">
        <v>-1.06%</v>
      </c>
      <c r="H165" s="3">
        <v>45139</v>
      </c>
      <c r="I165" s="4">
        <v>59189.5</v>
      </c>
    </row>
    <row r="166" spans="1:9" x14ac:dyDescent="0.25">
      <c r="A166" s="3">
        <v>45138</v>
      </c>
      <c r="B166" s="4">
        <v>59568</v>
      </c>
      <c r="C166" s="4">
        <v>59390</v>
      </c>
      <c r="D166" s="4">
        <v>59650</v>
      </c>
      <c r="E166" s="4">
        <v>59176</v>
      </c>
      <c r="F166" s="4" t="str">
        <v>0.91K</v>
      </c>
      <c r="G166" s="4" t="str">
        <v>0.24%</v>
      </c>
      <c r="H166" s="3">
        <v>45138</v>
      </c>
      <c r="I166" s="4">
        <v>59413</v>
      </c>
    </row>
    <row r="167" spans="1:9" x14ac:dyDescent="0.25">
      <c r="A167" s="3">
        <v>45135</v>
      </c>
      <c r="B167" s="4">
        <v>59427</v>
      </c>
      <c r="C167" s="4">
        <v>59091</v>
      </c>
      <c r="D167" s="4">
        <v>59455</v>
      </c>
      <c r="E167" s="4">
        <v>58987</v>
      </c>
      <c r="F167" s="4" t="str">
        <v>3.60K</v>
      </c>
      <c r="G167" s="4" t="str">
        <v>0.81%</v>
      </c>
      <c r="H167" s="3">
        <v>45135</v>
      </c>
      <c r="I167" s="4">
        <v>59221</v>
      </c>
    </row>
    <row r="168" spans="1:9" x14ac:dyDescent="0.25">
      <c r="A168" s="3">
        <v>45134</v>
      </c>
      <c r="B168" s="4">
        <v>58950</v>
      </c>
      <c r="C168" s="4">
        <v>59610</v>
      </c>
      <c r="D168" s="4">
        <v>59680</v>
      </c>
      <c r="E168" s="4">
        <v>58740</v>
      </c>
      <c r="F168" s="4" t="str">
        <v>5.65K</v>
      </c>
      <c r="G168" s="4" t="str">
        <v>-0.86%</v>
      </c>
      <c r="H168" s="3">
        <v>45134</v>
      </c>
      <c r="I168" s="4">
        <v>59210</v>
      </c>
    </row>
    <row r="169" spans="1:9" x14ac:dyDescent="0.25">
      <c r="A169" s="3">
        <v>45133</v>
      </c>
      <c r="B169" s="4">
        <v>59461</v>
      </c>
      <c r="C169" s="4">
        <v>59214</v>
      </c>
      <c r="D169" s="4">
        <v>59575</v>
      </c>
      <c r="E169" s="4">
        <v>59190</v>
      </c>
      <c r="F169" s="4" t="str">
        <v>4.43K</v>
      </c>
      <c r="G169" s="4" t="str">
        <v>0.46%</v>
      </c>
      <c r="H169" s="3">
        <v>45133</v>
      </c>
      <c r="I169" s="4">
        <v>59382.5</v>
      </c>
    </row>
    <row r="170" spans="1:9" x14ac:dyDescent="0.25">
      <c r="A170" s="3">
        <v>45132</v>
      </c>
      <c r="B170" s="4">
        <v>59189</v>
      </c>
      <c r="C170" s="4">
        <v>59041</v>
      </c>
      <c r="D170" s="4">
        <v>59265</v>
      </c>
      <c r="E170" s="4">
        <v>58950</v>
      </c>
      <c r="F170" s="4" t="str">
        <v>4.78K</v>
      </c>
      <c r="G170" s="4" t="str">
        <v>0.19%</v>
      </c>
      <c r="H170" s="3">
        <v>45132</v>
      </c>
      <c r="I170" s="4">
        <v>59107.5</v>
      </c>
    </row>
    <row r="171" spans="1:9" x14ac:dyDescent="0.25">
      <c r="A171" s="3">
        <v>45131</v>
      </c>
      <c r="B171" s="4">
        <v>59076</v>
      </c>
      <c r="C171" s="4">
        <v>59241</v>
      </c>
      <c r="D171" s="4">
        <v>59320</v>
      </c>
      <c r="E171" s="4">
        <v>59055</v>
      </c>
      <c r="F171" s="4" t="str">
        <v>5.20K</v>
      </c>
      <c r="G171" s="4" t="str">
        <v>-0.39%</v>
      </c>
      <c r="H171" s="3">
        <v>45131</v>
      </c>
      <c r="I171" s="4">
        <v>59187.5</v>
      </c>
    </row>
    <row r="172" spans="1:9" x14ac:dyDescent="0.25">
      <c r="A172" s="3">
        <v>45128</v>
      </c>
      <c r="B172" s="4">
        <v>59309</v>
      </c>
      <c r="C172" s="4">
        <v>59543</v>
      </c>
      <c r="D172" s="4">
        <v>59587</v>
      </c>
      <c r="E172" s="4">
        <v>59176</v>
      </c>
      <c r="F172" s="4" t="str">
        <v>4.66K</v>
      </c>
      <c r="G172" s="4" t="str">
        <v>-0.41%</v>
      </c>
      <c r="H172" s="3">
        <v>45128</v>
      </c>
      <c r="I172" s="4">
        <v>59381.5</v>
      </c>
    </row>
    <row r="173" spans="1:9" x14ac:dyDescent="0.25">
      <c r="A173" s="3">
        <v>45127</v>
      </c>
      <c r="B173" s="4">
        <v>59552</v>
      </c>
      <c r="C173" s="4">
        <v>59945</v>
      </c>
      <c r="D173" s="4">
        <v>59984</v>
      </c>
      <c r="E173" s="4">
        <v>59459</v>
      </c>
      <c r="F173" s="4" t="str">
        <v>5.94K</v>
      </c>
      <c r="G173" s="4" t="str">
        <v>-0.40%</v>
      </c>
      <c r="H173" s="3">
        <v>45127</v>
      </c>
      <c r="I173" s="4">
        <v>59721.5</v>
      </c>
    </row>
    <row r="174" spans="1:9" x14ac:dyDescent="0.25">
      <c r="A174" s="3">
        <v>45126</v>
      </c>
      <c r="B174" s="4">
        <v>59790</v>
      </c>
      <c r="C174" s="4">
        <v>59765</v>
      </c>
      <c r="D174" s="4">
        <v>59878</v>
      </c>
      <c r="E174" s="4">
        <v>59587</v>
      </c>
      <c r="F174" s="4" t="str">
        <v>4.55K</v>
      </c>
      <c r="G174" s="4" t="str">
        <v>0.05%</v>
      </c>
      <c r="H174" s="3">
        <v>45126</v>
      </c>
      <c r="I174" s="4">
        <v>59732.5</v>
      </c>
    </row>
    <row r="175" spans="1:9" x14ac:dyDescent="0.25">
      <c r="A175" s="3">
        <v>45125</v>
      </c>
      <c r="B175" s="4">
        <v>59763</v>
      </c>
      <c r="C175" s="4">
        <v>59215</v>
      </c>
      <c r="D175" s="4">
        <v>59910</v>
      </c>
      <c r="E175" s="4">
        <v>59215</v>
      </c>
      <c r="F175" s="4" t="str">
        <v>7.13K</v>
      </c>
      <c r="G175" s="4" t="str">
        <v>1.06%</v>
      </c>
      <c r="H175" s="3">
        <v>45125</v>
      </c>
      <c r="I175" s="4">
        <v>59562.5</v>
      </c>
    </row>
    <row r="176" spans="1:9" x14ac:dyDescent="0.25">
      <c r="A176" s="3">
        <v>45124</v>
      </c>
      <c r="B176" s="4">
        <v>59135</v>
      </c>
      <c r="C176" s="4">
        <v>59147</v>
      </c>
      <c r="D176" s="4">
        <v>59269</v>
      </c>
      <c r="E176" s="4">
        <v>58939</v>
      </c>
      <c r="F176" s="4" t="str">
        <v>4.61K</v>
      </c>
      <c r="G176" s="4" t="str">
        <v>-0.31%</v>
      </c>
      <c r="H176" s="3">
        <v>45124</v>
      </c>
      <c r="I176" s="4">
        <v>59104</v>
      </c>
    </row>
    <row r="177" spans="1:9" x14ac:dyDescent="0.25">
      <c r="A177" s="3">
        <v>45121</v>
      </c>
      <c r="B177" s="4">
        <v>59316</v>
      </c>
      <c r="C177" s="4">
        <v>59264</v>
      </c>
      <c r="D177" s="4">
        <v>59379</v>
      </c>
      <c r="E177" s="4">
        <v>59141</v>
      </c>
      <c r="F177" s="4" t="str">
        <v>4.51K</v>
      </c>
      <c r="G177" s="4" t="str">
        <v>0.13%</v>
      </c>
      <c r="H177" s="3">
        <v>45121</v>
      </c>
      <c r="I177" s="4">
        <v>59260</v>
      </c>
    </row>
    <row r="178" spans="1:9" x14ac:dyDescent="0.25">
      <c r="A178" s="3">
        <v>45120</v>
      </c>
      <c r="B178" s="4">
        <v>59239</v>
      </c>
      <c r="C178" s="4">
        <v>59230</v>
      </c>
      <c r="D178" s="4">
        <v>59375</v>
      </c>
      <c r="E178" s="4">
        <v>59122</v>
      </c>
      <c r="F178" s="4" t="str">
        <v>4.60K</v>
      </c>
      <c r="G178" s="4" t="str">
        <v>0.09%</v>
      </c>
      <c r="H178" s="3">
        <v>45120</v>
      </c>
      <c r="I178" s="4">
        <v>59248.5</v>
      </c>
    </row>
    <row r="179" spans="1:9" x14ac:dyDescent="0.25">
      <c r="A179" s="3">
        <v>45119</v>
      </c>
      <c r="B179" s="4">
        <v>59188</v>
      </c>
      <c r="C179" s="4">
        <v>58900</v>
      </c>
      <c r="D179" s="4">
        <v>59248</v>
      </c>
      <c r="E179" s="4">
        <v>58720</v>
      </c>
      <c r="F179" s="4" t="str">
        <v>6.73K</v>
      </c>
      <c r="G179" s="4" t="str">
        <v>0.71%</v>
      </c>
      <c r="H179" s="3">
        <v>45119</v>
      </c>
      <c r="I179" s="4">
        <v>58984</v>
      </c>
    </row>
    <row r="180" spans="1:9" x14ac:dyDescent="0.25">
      <c r="A180" s="3">
        <v>45118</v>
      </c>
      <c r="B180" s="4">
        <v>58773</v>
      </c>
      <c r="C180" s="4">
        <v>58661</v>
      </c>
      <c r="D180" s="4">
        <v>58909</v>
      </c>
      <c r="E180" s="4">
        <v>58600</v>
      </c>
      <c r="F180" s="4" t="str">
        <v>5.07K</v>
      </c>
      <c r="G180" s="4" t="str">
        <v>0.14%</v>
      </c>
      <c r="H180" s="3">
        <v>45118</v>
      </c>
      <c r="I180" s="4">
        <v>58754.5</v>
      </c>
    </row>
    <row r="181" spans="1:9" x14ac:dyDescent="0.25">
      <c r="A181" s="3">
        <v>45117</v>
      </c>
      <c r="B181" s="4">
        <v>58689</v>
      </c>
      <c r="C181" s="4">
        <v>58739</v>
      </c>
      <c r="D181" s="4">
        <v>58739</v>
      </c>
      <c r="E181" s="4">
        <v>58403</v>
      </c>
      <c r="F181" s="4" t="str">
        <v>4.10K</v>
      </c>
      <c r="G181" s="4" t="str">
        <v>-0.18%</v>
      </c>
      <c r="H181" s="3">
        <v>45117</v>
      </c>
      <c r="I181" s="4">
        <v>58571</v>
      </c>
    </row>
    <row r="182" spans="1:9" x14ac:dyDescent="0.25">
      <c r="A182" s="3">
        <v>45114</v>
      </c>
      <c r="B182" s="4">
        <v>58792</v>
      </c>
      <c r="C182" s="4">
        <v>58374</v>
      </c>
      <c r="D182" s="4">
        <v>58949</v>
      </c>
      <c r="E182" s="4">
        <v>58331</v>
      </c>
      <c r="F182" s="4" t="str">
        <v>6.15K</v>
      </c>
      <c r="G182" s="4" t="str">
        <v>0.67%</v>
      </c>
      <c r="H182" s="3">
        <v>45114</v>
      </c>
      <c r="I182" s="4">
        <v>58640</v>
      </c>
    </row>
    <row r="183" spans="1:9" x14ac:dyDescent="0.25">
      <c r="A183" s="3">
        <v>45113</v>
      </c>
      <c r="B183" s="4">
        <v>58401</v>
      </c>
      <c r="C183" s="4">
        <v>58638</v>
      </c>
      <c r="D183" s="4">
        <v>58650</v>
      </c>
      <c r="E183" s="4">
        <v>58120</v>
      </c>
      <c r="F183" s="4" t="str">
        <v>7.09K</v>
      </c>
      <c r="G183" s="4" t="str">
        <v>-0.12%</v>
      </c>
      <c r="H183" s="3">
        <v>45113</v>
      </c>
      <c r="I183" s="4">
        <v>58385</v>
      </c>
    </row>
    <row r="184" spans="1:9" x14ac:dyDescent="0.25">
      <c r="A184" s="3">
        <v>45112</v>
      </c>
      <c r="B184" s="4">
        <v>58473</v>
      </c>
      <c r="C184" s="4">
        <v>58410</v>
      </c>
      <c r="D184" s="4">
        <v>58779</v>
      </c>
      <c r="E184" s="4">
        <v>58366</v>
      </c>
      <c r="F184" s="4" t="str">
        <v>5.05K</v>
      </c>
      <c r="G184" s="4" t="str">
        <v>0.11%</v>
      </c>
      <c r="H184" s="3">
        <v>45112</v>
      </c>
      <c r="I184" s="4">
        <v>58572.5</v>
      </c>
    </row>
    <row r="185" spans="1:9" x14ac:dyDescent="0.25">
      <c r="A185" s="3">
        <v>45111</v>
      </c>
      <c r="B185" s="4">
        <v>58409</v>
      </c>
      <c r="C185" s="4">
        <v>58275</v>
      </c>
      <c r="D185" s="4">
        <v>58545</v>
      </c>
      <c r="E185" s="4">
        <v>58265</v>
      </c>
      <c r="F185" s="4" t="str">
        <v>3.84K</v>
      </c>
      <c r="G185" s="4" t="str">
        <v>0.23%</v>
      </c>
      <c r="H185" s="3">
        <v>45111</v>
      </c>
      <c r="I185" s="4">
        <v>58405</v>
      </c>
    </row>
    <row r="186" spans="1:9" x14ac:dyDescent="0.25">
      <c r="A186" s="3">
        <v>45110</v>
      </c>
      <c r="B186" s="4">
        <v>58277</v>
      </c>
      <c r="C186" s="4">
        <v>58154</v>
      </c>
      <c r="D186" s="4">
        <v>58480</v>
      </c>
      <c r="E186" s="4">
        <v>57971</v>
      </c>
      <c r="F186" s="4" t="str">
        <v>5.91K</v>
      </c>
      <c r="G186" s="4" t="str">
        <v>0.11%</v>
      </c>
      <c r="H186" s="3">
        <v>45110</v>
      </c>
      <c r="I186" s="4">
        <v>58225.5</v>
      </c>
    </row>
    <row r="187" spans="1:9" x14ac:dyDescent="0.25">
      <c r="A187" s="3">
        <v>45107</v>
      </c>
      <c r="B187" s="4">
        <v>58211</v>
      </c>
      <c r="C187" s="4">
        <v>57980</v>
      </c>
      <c r="D187" s="4">
        <v>58305</v>
      </c>
      <c r="E187" s="4">
        <v>57792</v>
      </c>
      <c r="F187" s="4" t="str">
        <v>5.78K</v>
      </c>
      <c r="G187" s="4" t="str">
        <v>0.34%</v>
      </c>
      <c r="H187" s="3">
        <v>45107</v>
      </c>
      <c r="I187" s="4">
        <v>58048.5</v>
      </c>
    </row>
    <row r="188" spans="1:9" x14ac:dyDescent="0.25">
      <c r="A188" s="3">
        <v>45106</v>
      </c>
      <c r="B188" s="4">
        <v>58014</v>
      </c>
      <c r="C188" s="4">
        <v>58000</v>
      </c>
      <c r="D188" s="4">
        <v>58140</v>
      </c>
      <c r="E188" s="4">
        <v>57651</v>
      </c>
      <c r="F188" s="4" t="str">
        <v>4.16K</v>
      </c>
      <c r="G188" s="4" t="str">
        <v>-0.11%</v>
      </c>
      <c r="H188" s="3">
        <v>45106</v>
      </c>
      <c r="I188" s="4">
        <v>57895.5</v>
      </c>
    </row>
    <row r="189" spans="1:9" x14ac:dyDescent="0.25">
      <c r="A189" s="3">
        <v>45105</v>
      </c>
      <c r="B189" s="4">
        <v>58078</v>
      </c>
      <c r="C189" s="4">
        <v>58176</v>
      </c>
      <c r="D189" s="4">
        <v>58198</v>
      </c>
      <c r="E189" s="4">
        <v>57880</v>
      </c>
      <c r="F189" s="4" t="str">
        <v>4.73K</v>
      </c>
      <c r="G189" s="4" t="str">
        <v>-0.05%</v>
      </c>
      <c r="H189" s="3">
        <v>45105</v>
      </c>
      <c r="I189" s="4">
        <v>58039</v>
      </c>
    </row>
    <row r="190" spans="1:9" x14ac:dyDescent="0.25">
      <c r="A190" s="3">
        <v>45104</v>
      </c>
      <c r="B190" s="4">
        <v>58107</v>
      </c>
      <c r="C190" s="4">
        <v>58493</v>
      </c>
      <c r="D190" s="4">
        <v>58549</v>
      </c>
      <c r="E190" s="4">
        <v>58069</v>
      </c>
      <c r="F190" s="4" t="str">
        <v>5.63K</v>
      </c>
      <c r="G190" s="4" t="str">
        <v>-0.52%</v>
      </c>
      <c r="H190" s="3">
        <v>45104</v>
      </c>
      <c r="I190" s="4">
        <v>58309</v>
      </c>
    </row>
    <row r="191" spans="1:9" x14ac:dyDescent="0.25">
      <c r="A191" s="3">
        <v>45103</v>
      </c>
      <c r="B191" s="4">
        <v>58412</v>
      </c>
      <c r="C191" s="4">
        <v>58429</v>
      </c>
      <c r="D191" s="4">
        <v>58670</v>
      </c>
      <c r="E191" s="4">
        <v>58352</v>
      </c>
      <c r="F191" s="4" t="str">
        <v>4.35K</v>
      </c>
      <c r="G191" s="4" t="str">
        <v>0.18%</v>
      </c>
      <c r="H191" s="3">
        <v>45103</v>
      </c>
      <c r="I191" s="4">
        <v>58511</v>
      </c>
    </row>
    <row r="192" spans="1:9" x14ac:dyDescent="0.25">
      <c r="A192" s="3">
        <v>45100</v>
      </c>
      <c r="B192" s="4">
        <v>58307</v>
      </c>
      <c r="C192" s="4">
        <v>58136</v>
      </c>
      <c r="D192" s="4">
        <v>58740</v>
      </c>
      <c r="E192" s="4">
        <v>58096</v>
      </c>
      <c r="F192" s="4" t="str">
        <v>6.15K</v>
      </c>
      <c r="G192" s="4" t="str">
        <v>0.19%</v>
      </c>
      <c r="H192" s="3">
        <v>45100</v>
      </c>
      <c r="I192" s="4">
        <v>58418</v>
      </c>
    </row>
    <row r="193" spans="1:9" x14ac:dyDescent="0.25">
      <c r="A193" s="3">
        <v>45099</v>
      </c>
      <c r="B193" s="4">
        <v>58196</v>
      </c>
      <c r="C193" s="4">
        <v>58613</v>
      </c>
      <c r="D193" s="4">
        <v>58663</v>
      </c>
      <c r="E193" s="4">
        <v>58150</v>
      </c>
      <c r="F193" s="4" t="str">
        <v>5.56K</v>
      </c>
      <c r="G193" s="4" t="str">
        <v>-0.88%</v>
      </c>
      <c r="H193" s="3">
        <v>45099</v>
      </c>
      <c r="I193" s="4">
        <v>58406.5</v>
      </c>
    </row>
    <row r="194" spans="1:9" x14ac:dyDescent="0.25">
      <c r="A194" s="3">
        <v>45098</v>
      </c>
      <c r="B194" s="4">
        <v>58714</v>
      </c>
      <c r="C194" s="4">
        <v>58824</v>
      </c>
      <c r="D194" s="4">
        <v>58865</v>
      </c>
      <c r="E194" s="4">
        <v>58375</v>
      </c>
      <c r="F194" s="4" t="str">
        <v>4.93K</v>
      </c>
      <c r="G194" s="4" t="str">
        <v>-0.16%</v>
      </c>
      <c r="H194" s="3">
        <v>45098</v>
      </c>
      <c r="I194" s="4">
        <v>58620</v>
      </c>
    </row>
    <row r="195" spans="1:9" x14ac:dyDescent="0.25">
      <c r="A195" s="3">
        <v>45097</v>
      </c>
      <c r="B195" s="4">
        <v>58809</v>
      </c>
      <c r="C195" s="4">
        <v>59222</v>
      </c>
      <c r="D195" s="4">
        <v>59392</v>
      </c>
      <c r="E195" s="4">
        <v>58663</v>
      </c>
      <c r="F195" s="4" t="str">
        <v>6.17K</v>
      </c>
      <c r="G195" s="4" t="str">
        <v>-0.59%</v>
      </c>
      <c r="H195" s="3">
        <v>45097</v>
      </c>
      <c r="I195" s="4">
        <v>59027.5</v>
      </c>
    </row>
    <row r="196" spans="1:9" x14ac:dyDescent="0.25">
      <c r="A196" s="3">
        <v>45096</v>
      </c>
      <c r="B196" s="4">
        <v>59157</v>
      </c>
      <c r="C196" s="4">
        <v>59272</v>
      </c>
      <c r="D196" s="4">
        <v>59370</v>
      </c>
      <c r="E196" s="4">
        <v>59115</v>
      </c>
      <c r="F196" s="4" t="str">
        <v>2.83K</v>
      </c>
      <c r="G196" s="4" t="str">
        <v>-0.33%</v>
      </c>
      <c r="H196" s="3">
        <v>45096</v>
      </c>
      <c r="I196" s="4">
        <v>59242.5</v>
      </c>
    </row>
    <row r="197" spans="1:9" x14ac:dyDescent="0.25">
      <c r="A197" s="3">
        <v>45093</v>
      </c>
      <c r="B197" s="4">
        <v>59354</v>
      </c>
      <c r="C197" s="4">
        <v>59340</v>
      </c>
      <c r="D197" s="4">
        <v>59555</v>
      </c>
      <c r="E197" s="4">
        <v>59234</v>
      </c>
      <c r="F197" s="4" t="str">
        <v>4.93K</v>
      </c>
      <c r="G197" s="4" t="str">
        <v>-0.00%</v>
      </c>
      <c r="H197" s="3">
        <v>45093</v>
      </c>
      <c r="I197" s="4">
        <v>59394.5</v>
      </c>
    </row>
    <row r="198" spans="1:9" x14ac:dyDescent="0.25">
      <c r="A198" s="3">
        <v>45092</v>
      </c>
      <c r="B198" s="4">
        <v>59355</v>
      </c>
      <c r="C198" s="4">
        <v>59210</v>
      </c>
      <c r="D198" s="4">
        <v>59385</v>
      </c>
      <c r="E198" s="4">
        <v>58661</v>
      </c>
      <c r="F198" s="4" t="str">
        <v>9.14K</v>
      </c>
      <c r="G198" s="4" t="str">
        <v>0.10%</v>
      </c>
      <c r="H198" s="3">
        <v>45092</v>
      </c>
      <c r="I198" s="4">
        <v>59023</v>
      </c>
    </row>
    <row r="199" spans="1:9" x14ac:dyDescent="0.25">
      <c r="A199" s="3">
        <v>45091</v>
      </c>
      <c r="B199" s="4">
        <v>59298</v>
      </c>
      <c r="C199" s="4">
        <v>59301</v>
      </c>
      <c r="D199" s="4">
        <v>59465</v>
      </c>
      <c r="E199" s="4">
        <v>59148</v>
      </c>
      <c r="F199" s="4" t="str">
        <v>4.74K</v>
      </c>
      <c r="G199" s="4" t="str">
        <v>0.14%</v>
      </c>
      <c r="H199" s="3">
        <v>45091</v>
      </c>
      <c r="I199" s="4">
        <v>59306.5</v>
      </c>
    </row>
    <row r="200" spans="1:9" x14ac:dyDescent="0.25">
      <c r="A200" s="3">
        <v>45090</v>
      </c>
      <c r="B200" s="4">
        <v>59218</v>
      </c>
      <c r="C200" s="4">
        <v>59755</v>
      </c>
      <c r="D200" s="4">
        <v>59885</v>
      </c>
      <c r="E200" s="4">
        <v>59184</v>
      </c>
      <c r="F200" s="4" t="str">
        <v>6.99K</v>
      </c>
      <c r="G200" s="4" t="str">
        <v>-0.71%</v>
      </c>
      <c r="H200" s="3">
        <v>45090</v>
      </c>
      <c r="I200" s="4">
        <v>59534.5</v>
      </c>
    </row>
    <row r="201" spans="1:9" x14ac:dyDescent="0.25">
      <c r="A201" s="3">
        <v>45089</v>
      </c>
      <c r="B201" s="4">
        <v>59641</v>
      </c>
      <c r="C201" s="4">
        <v>59713</v>
      </c>
      <c r="D201" s="4">
        <v>59920</v>
      </c>
      <c r="E201" s="4">
        <v>59505</v>
      </c>
      <c r="F201" s="4" t="str">
        <v>4.69K</v>
      </c>
      <c r="G201" s="4" t="str">
        <v>-0.30%</v>
      </c>
      <c r="H201" s="3">
        <v>45089</v>
      </c>
      <c r="I201" s="4">
        <v>59712.5</v>
      </c>
    </row>
    <row r="202" spans="1:9" x14ac:dyDescent="0.25">
      <c r="A202" s="3">
        <v>45086</v>
      </c>
      <c r="B202" s="4">
        <v>59821</v>
      </c>
      <c r="C202" s="4">
        <v>59934</v>
      </c>
      <c r="D202" s="4">
        <v>60116</v>
      </c>
      <c r="E202" s="4">
        <v>59727</v>
      </c>
      <c r="F202" s="4" t="str">
        <v>4.05K</v>
      </c>
      <c r="G202" s="4" t="str">
        <v>-0.12%</v>
      </c>
      <c r="H202" s="3">
        <v>45086</v>
      </c>
      <c r="I202" s="4">
        <v>59921.5</v>
      </c>
    </row>
    <row r="203" spans="1:9" x14ac:dyDescent="0.25">
      <c r="A203" s="3">
        <v>45085</v>
      </c>
      <c r="B203" s="4">
        <v>59891</v>
      </c>
      <c r="C203" s="4">
        <v>59528</v>
      </c>
      <c r="D203" s="4">
        <v>60048</v>
      </c>
      <c r="E203" s="4">
        <v>59425</v>
      </c>
      <c r="F203" s="4" t="str">
        <v>6.93K</v>
      </c>
      <c r="G203" s="4" t="str">
        <v>0.65%</v>
      </c>
      <c r="H203" s="3">
        <v>45085</v>
      </c>
      <c r="I203" s="4">
        <v>59736.5</v>
      </c>
    </row>
    <row r="204" spans="1:9" x14ac:dyDescent="0.25">
      <c r="A204" s="3">
        <v>45084</v>
      </c>
      <c r="B204" s="4">
        <v>59503</v>
      </c>
      <c r="C204" s="4">
        <v>59977</v>
      </c>
      <c r="D204" s="4">
        <v>60098</v>
      </c>
      <c r="E204" s="4">
        <v>59401</v>
      </c>
      <c r="F204" s="4" t="str">
        <v>8.48K</v>
      </c>
      <c r="G204" s="4" t="str">
        <v>-0.80%</v>
      </c>
      <c r="H204" s="3">
        <v>45084</v>
      </c>
      <c r="I204" s="4">
        <v>59749.5</v>
      </c>
    </row>
    <row r="205" spans="1:9" x14ac:dyDescent="0.25">
      <c r="A205" s="3">
        <v>45083</v>
      </c>
      <c r="B205" s="4">
        <v>59985</v>
      </c>
      <c r="C205" s="4">
        <v>59869</v>
      </c>
      <c r="D205" s="4">
        <v>60074</v>
      </c>
      <c r="E205" s="4">
        <v>59766</v>
      </c>
      <c r="F205" s="4" t="str">
        <v>4.45K</v>
      </c>
      <c r="G205" s="4" t="str">
        <v>0.28%</v>
      </c>
      <c r="H205" s="3">
        <v>45083</v>
      </c>
      <c r="I205" s="4">
        <v>59920</v>
      </c>
    </row>
    <row r="206" spans="1:9" x14ac:dyDescent="0.25">
      <c r="A206" s="3">
        <v>45082</v>
      </c>
      <c r="B206" s="4">
        <v>59820</v>
      </c>
      <c r="C206" s="4">
        <v>59500</v>
      </c>
      <c r="D206" s="4">
        <v>59820</v>
      </c>
      <c r="E206" s="4">
        <v>59419</v>
      </c>
      <c r="F206" s="4" t="str">
        <v>5.68K</v>
      </c>
      <c r="G206" s="4" t="str">
        <v>0.12%</v>
      </c>
      <c r="H206" s="3">
        <v>45082</v>
      </c>
      <c r="I206" s="4">
        <v>59619.5</v>
      </c>
    </row>
    <row r="207" spans="1:9" x14ac:dyDescent="0.25">
      <c r="A207" s="3">
        <v>45079</v>
      </c>
      <c r="B207" s="4">
        <v>59750</v>
      </c>
      <c r="C207" s="4">
        <v>60275</v>
      </c>
      <c r="D207" s="4">
        <v>60350</v>
      </c>
      <c r="E207" s="4">
        <v>59650</v>
      </c>
      <c r="F207" s="4" t="str">
        <v>0.05K</v>
      </c>
      <c r="G207" s="4" t="str">
        <v>-0.28%</v>
      </c>
      <c r="H207" s="3">
        <v>45079</v>
      </c>
      <c r="I207" s="4">
        <v>60000</v>
      </c>
    </row>
    <row r="208" spans="1:9" x14ac:dyDescent="0.25">
      <c r="A208" s="3">
        <v>45078</v>
      </c>
      <c r="B208" s="4">
        <v>59919</v>
      </c>
      <c r="C208" s="4">
        <v>60057</v>
      </c>
      <c r="D208" s="4">
        <v>60271</v>
      </c>
      <c r="E208" s="4">
        <v>59700</v>
      </c>
      <c r="F208" s="4" t="str">
        <v>0.02K</v>
      </c>
      <c r="G208" s="4" t="str">
        <v>-0.41%</v>
      </c>
      <c r="H208" s="3">
        <v>45078</v>
      </c>
      <c r="I208" s="4">
        <v>59985.5</v>
      </c>
    </row>
    <row r="209" spans="1:9" x14ac:dyDescent="0.25">
      <c r="A209" s="3">
        <v>45077</v>
      </c>
      <c r="B209" s="4">
        <v>60163</v>
      </c>
      <c r="C209" s="4">
        <v>59946</v>
      </c>
      <c r="D209" s="4">
        <v>60350</v>
      </c>
      <c r="E209" s="4">
        <v>59840</v>
      </c>
      <c r="F209" s="4" t="str">
        <v>0.15K</v>
      </c>
      <c r="G209" s="4" t="str">
        <v>0.36%</v>
      </c>
      <c r="H209" s="3">
        <v>45077</v>
      </c>
      <c r="I209" s="4">
        <v>60095</v>
      </c>
    </row>
    <row r="210" spans="1:9" x14ac:dyDescent="0.25">
      <c r="A210" s="3">
        <v>45076</v>
      </c>
      <c r="B210" s="4">
        <v>59946</v>
      </c>
      <c r="C210" s="4">
        <v>59401</v>
      </c>
      <c r="D210" s="4">
        <v>60064</v>
      </c>
      <c r="E210" s="4">
        <v>59225</v>
      </c>
      <c r="F210" s="4" t="str">
        <v>1.19K</v>
      </c>
      <c r="G210" s="4" t="str">
        <v>0.89%</v>
      </c>
      <c r="H210" s="3">
        <v>45076</v>
      </c>
      <c r="I210" s="4">
        <v>59644.5</v>
      </c>
    </row>
    <row r="211" spans="1:9" x14ac:dyDescent="0.25">
      <c r="A211" s="3">
        <v>45075</v>
      </c>
      <c r="B211" s="4">
        <v>59419</v>
      </c>
      <c r="C211" s="4">
        <v>59406</v>
      </c>
      <c r="D211" s="4">
        <v>59631</v>
      </c>
      <c r="E211" s="4">
        <v>59260</v>
      </c>
      <c r="F211" s="4" t="str">
        <v>4.78K</v>
      </c>
      <c r="G211" s="4" t="str">
        <v>0.11%</v>
      </c>
      <c r="H211" s="3">
        <v>45075</v>
      </c>
      <c r="I211" s="4">
        <v>59445.5</v>
      </c>
    </row>
    <row r="212" spans="1:9" x14ac:dyDescent="0.25">
      <c r="A212" s="3">
        <v>45072</v>
      </c>
      <c r="B212" s="4">
        <v>59353</v>
      </c>
      <c r="C212" s="4">
        <v>59542</v>
      </c>
      <c r="D212" s="4">
        <v>59660</v>
      </c>
      <c r="E212" s="4">
        <v>59225</v>
      </c>
      <c r="F212" s="4" t="str">
        <v>5.02K</v>
      </c>
      <c r="G212" s="4" t="str">
        <v>-0.18%</v>
      </c>
      <c r="H212" s="3">
        <v>45072</v>
      </c>
      <c r="I212" s="4">
        <v>59442.5</v>
      </c>
    </row>
    <row r="213" spans="1:9" x14ac:dyDescent="0.25">
      <c r="A213" s="3">
        <v>45071</v>
      </c>
      <c r="B213" s="4">
        <v>59460</v>
      </c>
      <c r="C213" s="4">
        <v>59700</v>
      </c>
      <c r="D213" s="4">
        <v>59955</v>
      </c>
      <c r="E213" s="4">
        <v>59363</v>
      </c>
      <c r="F213" s="4" t="str">
        <v>8.44K</v>
      </c>
      <c r="G213" s="4" t="str">
        <v>-0.67%</v>
      </c>
      <c r="H213" s="3">
        <v>45071</v>
      </c>
      <c r="I213" s="4">
        <v>59659</v>
      </c>
    </row>
    <row r="214" spans="1:9" x14ac:dyDescent="0.25">
      <c r="A214" s="3">
        <v>45070</v>
      </c>
      <c r="B214" s="4">
        <v>59860</v>
      </c>
      <c r="C214" s="4">
        <v>60196</v>
      </c>
      <c r="D214" s="4">
        <v>60389</v>
      </c>
      <c r="E214" s="4">
        <v>59725</v>
      </c>
      <c r="F214" s="4" t="str">
        <v>7.56K</v>
      </c>
      <c r="G214" s="4" t="str">
        <v>-0.56%</v>
      </c>
      <c r="H214" s="3">
        <v>45070</v>
      </c>
      <c r="I214" s="4">
        <v>60057</v>
      </c>
    </row>
    <row r="215" spans="1:9" x14ac:dyDescent="0.25">
      <c r="A215" s="3">
        <v>45069</v>
      </c>
      <c r="B215" s="4">
        <v>60197</v>
      </c>
      <c r="C215" s="4">
        <v>60000</v>
      </c>
      <c r="D215" s="4">
        <v>60245</v>
      </c>
      <c r="E215" s="4">
        <v>59739</v>
      </c>
      <c r="F215" s="4" t="str">
        <v>8.76K</v>
      </c>
      <c r="G215" s="4" t="str">
        <v>-0.07%</v>
      </c>
      <c r="H215" s="3">
        <v>45069</v>
      </c>
      <c r="I215" s="4">
        <v>59992</v>
      </c>
    </row>
    <row r="216" spans="1:9" x14ac:dyDescent="0.25">
      <c r="A216" s="3">
        <v>45068</v>
      </c>
      <c r="B216" s="4">
        <v>60241</v>
      </c>
      <c r="C216" s="4">
        <v>60245</v>
      </c>
      <c r="D216" s="4">
        <v>60430</v>
      </c>
      <c r="E216" s="4">
        <v>60111</v>
      </c>
      <c r="F216" s="4" t="str">
        <v>5.59K</v>
      </c>
      <c r="G216" s="4" t="str">
        <v>-0.23%</v>
      </c>
      <c r="H216" s="3">
        <v>45068</v>
      </c>
      <c r="I216" s="4">
        <v>60270.5</v>
      </c>
    </row>
    <row r="217" spans="1:9" x14ac:dyDescent="0.25">
      <c r="A217" s="3">
        <v>45065</v>
      </c>
      <c r="B217" s="4">
        <v>60379</v>
      </c>
      <c r="C217" s="4">
        <v>59766</v>
      </c>
      <c r="D217" s="4">
        <v>60490</v>
      </c>
      <c r="E217" s="4">
        <v>59721</v>
      </c>
      <c r="F217" s="4" t="str">
        <v>8.23K</v>
      </c>
      <c r="G217" s="4" t="str">
        <v>1.10%</v>
      </c>
      <c r="H217" s="3">
        <v>45065</v>
      </c>
      <c r="I217" s="4">
        <v>60105.5</v>
      </c>
    </row>
    <row r="218" spans="1:9" x14ac:dyDescent="0.25">
      <c r="A218" s="3">
        <v>45064</v>
      </c>
      <c r="B218" s="4">
        <v>59723</v>
      </c>
      <c r="C218" s="4">
        <v>60100</v>
      </c>
      <c r="D218" s="4">
        <v>60153</v>
      </c>
      <c r="E218" s="4">
        <v>59540</v>
      </c>
      <c r="F218" s="4" t="str">
        <v>8.39K</v>
      </c>
      <c r="G218" s="4" t="str">
        <v>-0.70%</v>
      </c>
      <c r="H218" s="3">
        <v>45064</v>
      </c>
      <c r="I218" s="4">
        <v>59846.5</v>
      </c>
    </row>
    <row r="219" spans="1:9" x14ac:dyDescent="0.25">
      <c r="A219" s="3">
        <v>45063</v>
      </c>
      <c r="B219" s="4">
        <v>60145</v>
      </c>
      <c r="C219" s="4">
        <v>60333</v>
      </c>
      <c r="D219" s="4">
        <v>60445</v>
      </c>
      <c r="E219" s="4">
        <v>59960</v>
      </c>
      <c r="F219" s="4" t="str">
        <v>5.63K</v>
      </c>
      <c r="G219" s="4" t="str">
        <v>-0.16%</v>
      </c>
      <c r="H219" s="3">
        <v>45063</v>
      </c>
      <c r="I219" s="4">
        <v>60202.5</v>
      </c>
    </row>
    <row r="220" spans="1:9" x14ac:dyDescent="0.25">
      <c r="A220" s="3">
        <v>45062</v>
      </c>
      <c r="B220" s="4">
        <v>60244</v>
      </c>
      <c r="C220" s="4">
        <v>61498</v>
      </c>
      <c r="D220" s="4">
        <v>61498</v>
      </c>
      <c r="E220" s="4">
        <v>60190</v>
      </c>
      <c r="F220" s="4" t="str">
        <v>7.99K</v>
      </c>
      <c r="G220" s="4" t="str">
        <v>-1.28%</v>
      </c>
      <c r="H220" s="3">
        <v>45062</v>
      </c>
      <c r="I220" s="4">
        <v>60844</v>
      </c>
    </row>
    <row r="221" spans="1:9" x14ac:dyDescent="0.25">
      <c r="A221" s="3">
        <v>45061</v>
      </c>
      <c r="B221" s="4">
        <v>61027</v>
      </c>
      <c r="C221" s="4">
        <v>60910</v>
      </c>
      <c r="D221" s="4">
        <v>61138</v>
      </c>
      <c r="E221" s="4">
        <v>60820</v>
      </c>
      <c r="F221" s="4" t="str">
        <v>4.38K</v>
      </c>
      <c r="G221" s="4" t="str">
        <v>0.23%</v>
      </c>
      <c r="H221" s="3">
        <v>45061</v>
      </c>
      <c r="I221" s="4">
        <v>60979</v>
      </c>
    </row>
    <row r="222" spans="1:9" x14ac:dyDescent="0.25">
      <c r="A222" s="3">
        <v>45058</v>
      </c>
      <c r="B222" s="4">
        <v>60887</v>
      </c>
      <c r="C222" s="4">
        <v>60795</v>
      </c>
      <c r="D222" s="4">
        <v>61080</v>
      </c>
      <c r="E222" s="4">
        <v>60525</v>
      </c>
      <c r="F222" s="4" t="str">
        <v>6.36K</v>
      </c>
      <c r="G222" s="4" t="str">
        <v>-0.01%</v>
      </c>
      <c r="H222" s="3">
        <v>45058</v>
      </c>
      <c r="I222" s="4">
        <v>60802.5</v>
      </c>
    </row>
    <row r="223" spans="1:9" x14ac:dyDescent="0.25">
      <c r="A223" s="3">
        <v>45057</v>
      </c>
      <c r="B223" s="4">
        <v>60892</v>
      </c>
      <c r="C223" s="4">
        <v>61279</v>
      </c>
      <c r="D223" s="4">
        <v>61515</v>
      </c>
      <c r="E223" s="4">
        <v>60825</v>
      </c>
      <c r="F223" s="4" t="str">
        <v>8.45K</v>
      </c>
      <c r="G223" s="4" t="str">
        <v>-0.62%</v>
      </c>
      <c r="H223" s="3">
        <v>45057</v>
      </c>
      <c r="I223" s="4">
        <v>61170</v>
      </c>
    </row>
    <row r="224" spans="1:9" x14ac:dyDescent="0.25">
      <c r="A224" s="3">
        <v>45056</v>
      </c>
      <c r="B224" s="4">
        <v>61270</v>
      </c>
      <c r="C224" s="4">
        <v>61270</v>
      </c>
      <c r="D224" s="4">
        <v>61651</v>
      </c>
      <c r="E224" s="4">
        <v>60976</v>
      </c>
      <c r="F224" s="4" t="str">
        <v>7.21K</v>
      </c>
      <c r="G224" s="4" t="str">
        <v>-0.24%</v>
      </c>
      <c r="H224" s="3">
        <v>45056</v>
      </c>
      <c r="I224" s="4">
        <v>61313.5</v>
      </c>
    </row>
    <row r="225" spans="1:9" x14ac:dyDescent="0.25">
      <c r="A225" s="3">
        <v>45055</v>
      </c>
      <c r="B225" s="4">
        <v>61419</v>
      </c>
      <c r="C225" s="4">
        <v>60910</v>
      </c>
      <c r="D225" s="4">
        <v>61460</v>
      </c>
      <c r="E225" s="4">
        <v>60905</v>
      </c>
      <c r="F225" s="4" t="str">
        <v>5.49K</v>
      </c>
      <c r="G225" s="4" t="str">
        <v>0.81%</v>
      </c>
      <c r="H225" s="3">
        <v>45055</v>
      </c>
      <c r="I225" s="4">
        <v>61182.5</v>
      </c>
    </row>
    <row r="226" spans="1:9" x14ac:dyDescent="0.25">
      <c r="A226" s="3">
        <v>45054</v>
      </c>
      <c r="B226" s="4">
        <v>60927</v>
      </c>
      <c r="C226" s="4">
        <v>60783</v>
      </c>
      <c r="D226" s="4">
        <v>61090</v>
      </c>
      <c r="E226" s="4">
        <v>60771</v>
      </c>
      <c r="F226" s="4" t="str">
        <v>4.04K</v>
      </c>
      <c r="G226" s="4" t="str">
        <v>0.49%</v>
      </c>
      <c r="H226" s="3">
        <v>45054</v>
      </c>
      <c r="I226" s="4">
        <v>60930.5</v>
      </c>
    </row>
    <row r="227" spans="1:9" x14ac:dyDescent="0.25">
      <c r="A227" s="3">
        <v>45051</v>
      </c>
      <c r="B227" s="4">
        <v>60628</v>
      </c>
      <c r="C227" s="4">
        <v>61566</v>
      </c>
      <c r="D227" s="4">
        <v>61629</v>
      </c>
      <c r="E227" s="4">
        <v>60250</v>
      </c>
      <c r="F227" s="4" t="str">
        <v>8.69K</v>
      </c>
      <c r="G227" s="4" t="str">
        <v>-1.41%</v>
      </c>
      <c r="H227" s="3">
        <v>45051</v>
      </c>
      <c r="I227" s="4">
        <v>60939.5</v>
      </c>
    </row>
    <row r="228" spans="1:9" x14ac:dyDescent="0.25">
      <c r="A228" s="3">
        <v>45050</v>
      </c>
      <c r="B228" s="4">
        <v>61493</v>
      </c>
      <c r="C228" s="4">
        <v>61200</v>
      </c>
      <c r="D228" s="4">
        <v>61845</v>
      </c>
      <c r="E228" s="4">
        <v>61053</v>
      </c>
      <c r="F228" s="4" t="str">
        <v>7.72K</v>
      </c>
      <c r="G228" s="4" t="str">
        <v>0.87%</v>
      </c>
      <c r="H228" s="3">
        <v>45050</v>
      </c>
      <c r="I228" s="4">
        <v>61449</v>
      </c>
    </row>
    <row r="229" spans="1:9" x14ac:dyDescent="0.25">
      <c r="A229" s="3">
        <v>45049</v>
      </c>
      <c r="B229" s="4">
        <v>60965</v>
      </c>
      <c r="C229" s="4">
        <v>60740</v>
      </c>
      <c r="D229" s="4">
        <v>61022</v>
      </c>
      <c r="E229" s="4">
        <v>60535</v>
      </c>
      <c r="F229" s="4" t="str">
        <v>4.44K</v>
      </c>
      <c r="G229" s="4" t="str">
        <v>0.56%</v>
      </c>
      <c r="H229" s="3">
        <v>45049</v>
      </c>
      <c r="I229" s="4">
        <v>60778.5</v>
      </c>
    </row>
    <row r="230" spans="1:9" x14ac:dyDescent="0.25">
      <c r="A230" s="3">
        <v>45048</v>
      </c>
      <c r="B230" s="4">
        <v>60628</v>
      </c>
      <c r="C230" s="4">
        <v>59755</v>
      </c>
      <c r="D230" s="4">
        <v>60771</v>
      </c>
      <c r="E230" s="4">
        <v>59700</v>
      </c>
      <c r="F230" s="4" t="str">
        <v>7.95K</v>
      </c>
      <c r="G230" s="4" t="str">
        <v>1.45%</v>
      </c>
      <c r="H230" s="3">
        <v>45048</v>
      </c>
      <c r="I230" s="4">
        <v>60235.5</v>
      </c>
    </row>
    <row r="231" spans="1:9" x14ac:dyDescent="0.25">
      <c r="A231" s="3">
        <v>45047</v>
      </c>
      <c r="B231" s="4">
        <v>59764</v>
      </c>
      <c r="C231" s="4">
        <v>59867</v>
      </c>
      <c r="D231" s="4">
        <v>60328</v>
      </c>
      <c r="E231" s="4">
        <v>59711</v>
      </c>
      <c r="F231" s="4" t="str">
        <v>4.02K</v>
      </c>
      <c r="G231" s="4" t="str">
        <v>-0.26%</v>
      </c>
      <c r="H231" s="3">
        <v>45047</v>
      </c>
      <c r="I231" s="4">
        <v>60019.5</v>
      </c>
    </row>
    <row r="232" spans="1:9" x14ac:dyDescent="0.25">
      <c r="A232" s="3">
        <v>45044</v>
      </c>
      <c r="B232" s="4">
        <v>59919</v>
      </c>
      <c r="C232" s="4">
        <v>59853</v>
      </c>
      <c r="D232" s="4">
        <v>60050</v>
      </c>
      <c r="E232" s="4">
        <v>59625</v>
      </c>
      <c r="F232" s="4" t="str">
        <v>5.35K</v>
      </c>
      <c r="G232" s="4" t="str">
        <v>0.03%</v>
      </c>
      <c r="H232" s="3">
        <v>45044</v>
      </c>
      <c r="I232" s="4">
        <v>59837.5</v>
      </c>
    </row>
    <row r="233" spans="1:9" x14ac:dyDescent="0.25">
      <c r="A233" s="3">
        <v>45043</v>
      </c>
      <c r="B233" s="4">
        <v>59901</v>
      </c>
      <c r="C233" s="4">
        <v>60150</v>
      </c>
      <c r="D233" s="4">
        <v>60299</v>
      </c>
      <c r="E233" s="4">
        <v>59547</v>
      </c>
      <c r="F233" s="4" t="str">
        <v>8.39K</v>
      </c>
      <c r="G233" s="4" t="str">
        <v>0.01%</v>
      </c>
      <c r="H233" s="3">
        <v>45043</v>
      </c>
      <c r="I233" s="4">
        <v>59923</v>
      </c>
    </row>
    <row r="234" spans="1:9" x14ac:dyDescent="0.25">
      <c r="A234" s="3">
        <v>45042</v>
      </c>
      <c r="B234" s="4">
        <v>59893</v>
      </c>
      <c r="C234" s="4">
        <v>60210</v>
      </c>
      <c r="D234" s="4">
        <v>60428</v>
      </c>
      <c r="E234" s="4">
        <v>59825</v>
      </c>
      <c r="F234" s="4" t="str">
        <v>7.08K</v>
      </c>
      <c r="G234" s="4" t="str">
        <v>-0.61%</v>
      </c>
      <c r="H234" s="3">
        <v>45042</v>
      </c>
      <c r="I234" s="4">
        <v>60126.5</v>
      </c>
    </row>
    <row r="235" spans="1:9" x14ac:dyDescent="0.25">
      <c r="A235" s="3">
        <v>45041</v>
      </c>
      <c r="B235" s="4">
        <v>60261</v>
      </c>
      <c r="C235" s="4">
        <v>60033</v>
      </c>
      <c r="D235" s="4">
        <v>60320</v>
      </c>
      <c r="E235" s="4">
        <v>59709</v>
      </c>
      <c r="F235" s="4" t="str">
        <v>6.87K</v>
      </c>
      <c r="G235" s="4" t="str">
        <v>0.43%</v>
      </c>
      <c r="H235" s="3">
        <v>45041</v>
      </c>
      <c r="I235" s="4">
        <v>60014.5</v>
      </c>
    </row>
    <row r="236" spans="1:9" x14ac:dyDescent="0.25">
      <c r="A236" s="3">
        <v>45040</v>
      </c>
      <c r="B236" s="4">
        <v>60001</v>
      </c>
      <c r="C236" s="4">
        <v>59865</v>
      </c>
      <c r="D236" s="4">
        <v>60033</v>
      </c>
      <c r="E236" s="4">
        <v>59587</v>
      </c>
      <c r="F236" s="4" t="str">
        <v>5.55K</v>
      </c>
      <c r="G236" s="4" t="str">
        <v>0.26%</v>
      </c>
      <c r="H236" s="3">
        <v>45040</v>
      </c>
      <c r="I236" s="4">
        <v>59810</v>
      </c>
    </row>
    <row r="237" spans="1:9" x14ac:dyDescent="0.25">
      <c r="A237" s="3">
        <v>45037</v>
      </c>
      <c r="B237" s="4">
        <v>59845</v>
      </c>
      <c r="C237" s="4">
        <v>60381</v>
      </c>
      <c r="D237" s="4">
        <v>60476</v>
      </c>
      <c r="E237" s="4">
        <v>59622</v>
      </c>
      <c r="F237" s="4" t="str">
        <v>9.21K</v>
      </c>
      <c r="G237" s="4" t="str">
        <v>-1.09%</v>
      </c>
      <c r="H237" s="3">
        <v>45037</v>
      </c>
      <c r="I237" s="4">
        <v>60049</v>
      </c>
    </row>
    <row r="238" spans="1:9" x14ac:dyDescent="0.25">
      <c r="A238" s="3">
        <v>45036</v>
      </c>
      <c r="B238" s="4">
        <v>60503</v>
      </c>
      <c r="C238" s="4">
        <v>60245</v>
      </c>
      <c r="D238" s="4">
        <v>60689</v>
      </c>
      <c r="E238" s="4">
        <v>60157</v>
      </c>
      <c r="F238" s="4" t="str">
        <v>5.64K</v>
      </c>
      <c r="G238" s="4" t="str">
        <v>0.36%</v>
      </c>
      <c r="H238" s="3">
        <v>45036</v>
      </c>
      <c r="I238" s="4">
        <v>60423</v>
      </c>
    </row>
    <row r="239" spans="1:9" x14ac:dyDescent="0.25">
      <c r="A239" s="3">
        <v>45035</v>
      </c>
      <c r="B239" s="4">
        <v>60288</v>
      </c>
      <c r="C239" s="4">
        <v>60448</v>
      </c>
      <c r="D239" s="4">
        <v>60509</v>
      </c>
      <c r="E239" s="4">
        <v>59653</v>
      </c>
      <c r="F239" s="4" t="str">
        <v>9.61K</v>
      </c>
      <c r="G239" s="4" t="str">
        <v>-0.33%</v>
      </c>
      <c r="H239" s="3">
        <v>45035</v>
      </c>
      <c r="I239" s="4">
        <v>60081</v>
      </c>
    </row>
    <row r="240" spans="1:9" x14ac:dyDescent="0.25">
      <c r="A240" s="3">
        <v>45034</v>
      </c>
      <c r="B240" s="4">
        <v>60488</v>
      </c>
      <c r="C240" s="4">
        <v>60229</v>
      </c>
      <c r="D240" s="4">
        <v>60650</v>
      </c>
      <c r="E240" s="4">
        <v>60111</v>
      </c>
      <c r="F240" s="4" t="str">
        <v>5.67K</v>
      </c>
      <c r="G240" s="4" t="str">
        <v>0.51%</v>
      </c>
      <c r="H240" s="3">
        <v>45034</v>
      </c>
      <c r="I240" s="4">
        <v>60380.5</v>
      </c>
    </row>
    <row r="241" spans="1:9" x14ac:dyDescent="0.25">
      <c r="A241" s="3">
        <v>45033</v>
      </c>
      <c r="B241" s="4">
        <v>60180</v>
      </c>
      <c r="C241" s="4">
        <v>60351</v>
      </c>
      <c r="D241" s="4">
        <v>60625</v>
      </c>
      <c r="E241" s="4">
        <v>59871</v>
      </c>
      <c r="F241" s="4" t="str">
        <v>5.82K</v>
      </c>
      <c r="G241" s="4" t="str">
        <v>-0.25%</v>
      </c>
      <c r="H241" s="3">
        <v>45033</v>
      </c>
      <c r="I241" s="4">
        <v>60248</v>
      </c>
    </row>
    <row r="242" spans="1:9" x14ac:dyDescent="0.25">
      <c r="A242" s="3">
        <v>45030</v>
      </c>
      <c r="B242" s="4">
        <v>60329</v>
      </c>
      <c r="C242" s="4">
        <v>61038</v>
      </c>
      <c r="D242" s="4">
        <v>61170</v>
      </c>
      <c r="E242" s="4">
        <v>60088</v>
      </c>
      <c r="F242" s="4" t="str">
        <v>6.89K</v>
      </c>
      <c r="G242" s="4" t="str">
        <v>-1.48%</v>
      </c>
      <c r="H242" s="3">
        <v>45030</v>
      </c>
      <c r="I242" s="4">
        <v>60629</v>
      </c>
    </row>
    <row r="243" spans="1:9" x14ac:dyDescent="0.25">
      <c r="A243" s="3">
        <v>45029</v>
      </c>
      <c r="B243" s="4">
        <v>61238</v>
      </c>
      <c r="C243" s="4">
        <v>60731</v>
      </c>
      <c r="D243" s="4">
        <v>61371</v>
      </c>
      <c r="E243" s="4">
        <v>60693</v>
      </c>
      <c r="F243" s="4" t="str">
        <v>5.93K</v>
      </c>
      <c r="G243" s="4" t="str">
        <v>1.01%</v>
      </c>
      <c r="H243" s="3">
        <v>45029</v>
      </c>
      <c r="I243" s="4">
        <v>61032</v>
      </c>
    </row>
    <row r="244" spans="1:9" x14ac:dyDescent="0.25">
      <c r="A244" s="3">
        <v>45028</v>
      </c>
      <c r="B244" s="4">
        <v>60628</v>
      </c>
      <c r="C244" s="4">
        <v>60779</v>
      </c>
      <c r="D244" s="4">
        <v>61070</v>
      </c>
      <c r="E244" s="4">
        <v>60360</v>
      </c>
      <c r="F244" s="4" t="str">
        <v>6.57K</v>
      </c>
      <c r="G244" s="4" t="str">
        <v>0.20%</v>
      </c>
      <c r="H244" s="3">
        <v>45028</v>
      </c>
      <c r="I244" s="4">
        <v>60715</v>
      </c>
    </row>
    <row r="245" spans="1:9" x14ac:dyDescent="0.25">
      <c r="A245" s="3">
        <v>45027</v>
      </c>
      <c r="B245" s="4">
        <v>60505</v>
      </c>
      <c r="C245" s="4">
        <v>60170</v>
      </c>
      <c r="D245" s="4">
        <v>60599</v>
      </c>
      <c r="E245" s="4">
        <v>60170</v>
      </c>
      <c r="F245" s="4" t="str">
        <v>3.99K</v>
      </c>
      <c r="G245" s="4" t="str">
        <v>0.74%</v>
      </c>
      <c r="H245" s="3">
        <v>45027</v>
      </c>
      <c r="I245" s="4">
        <v>60384.5</v>
      </c>
    </row>
    <row r="246" spans="1:9" x14ac:dyDescent="0.25">
      <c r="A246" s="3">
        <v>45026</v>
      </c>
      <c r="B246" s="4">
        <v>60063</v>
      </c>
      <c r="C246" s="4">
        <v>60402</v>
      </c>
      <c r="D246" s="4">
        <v>60417</v>
      </c>
      <c r="E246" s="4">
        <v>59912</v>
      </c>
      <c r="F246" s="4" t="str">
        <v>4.68K</v>
      </c>
      <c r="G246" s="4" t="str">
        <v>-0.74%</v>
      </c>
      <c r="H246" s="3">
        <v>45026</v>
      </c>
      <c r="I246" s="4">
        <v>60164.5</v>
      </c>
    </row>
    <row r="247" spans="1:9" x14ac:dyDescent="0.25">
      <c r="A247" s="3">
        <v>45022</v>
      </c>
      <c r="B247" s="4">
        <v>60511</v>
      </c>
      <c r="C247" s="4">
        <v>60679</v>
      </c>
      <c r="D247" s="4">
        <v>60836</v>
      </c>
      <c r="E247" s="4">
        <v>60330</v>
      </c>
      <c r="F247" s="4" t="str">
        <v>5.74K</v>
      </c>
      <c r="G247" s="4" t="str">
        <v>-0.41%</v>
      </c>
      <c r="H247" s="3">
        <v>45022</v>
      </c>
      <c r="I247" s="4">
        <v>60583</v>
      </c>
    </row>
    <row r="248" spans="1:9" x14ac:dyDescent="0.25">
      <c r="A248" s="3">
        <v>45021</v>
      </c>
      <c r="B248" s="4">
        <v>60761</v>
      </c>
      <c r="C248" s="4">
        <v>60779</v>
      </c>
      <c r="D248" s="4">
        <v>60822</v>
      </c>
      <c r="E248" s="4">
        <v>60569</v>
      </c>
      <c r="F248" s="4" t="str">
        <v>0.02K</v>
      </c>
      <c r="G248" s="4" t="str">
        <v>0.23%</v>
      </c>
      <c r="H248" s="3">
        <v>45021</v>
      </c>
      <c r="I248" s="4">
        <v>60695.5</v>
      </c>
    </row>
    <row r="249" spans="1:9" x14ac:dyDescent="0.25">
      <c r="A249" s="3">
        <v>45020</v>
      </c>
      <c r="B249" s="4">
        <v>60620</v>
      </c>
      <c r="C249" s="4">
        <v>61399</v>
      </c>
      <c r="D249" s="4">
        <v>61399</v>
      </c>
      <c r="E249" s="4">
        <v>59610</v>
      </c>
      <c r="F249" s="4" t="str">
        <v>0.05K</v>
      </c>
      <c r="G249" s="4" t="str">
        <v>1.51%</v>
      </c>
      <c r="H249" s="3">
        <v>45020</v>
      </c>
      <c r="I249" s="4">
        <v>60504.5</v>
      </c>
    </row>
    <row r="250" spans="1:9" x14ac:dyDescent="0.25">
      <c r="A250" s="3">
        <v>45019</v>
      </c>
      <c r="B250" s="4">
        <v>59716</v>
      </c>
      <c r="C250" s="4">
        <v>59200</v>
      </c>
      <c r="D250" s="4">
        <v>59900</v>
      </c>
      <c r="E250" s="4">
        <v>59040</v>
      </c>
      <c r="F250" s="4" t="str">
        <v>0.13K</v>
      </c>
      <c r="G250" s="4" t="str">
        <v>0.53%</v>
      </c>
      <c r="H250" s="3">
        <v>45019</v>
      </c>
      <c r="I250" s="4">
        <v>59470</v>
      </c>
    </row>
    <row r="251" spans="1:9" x14ac:dyDescent="0.25">
      <c r="A251" s="3">
        <v>45016</v>
      </c>
      <c r="B251" s="4">
        <v>59402</v>
      </c>
      <c r="C251" s="4">
        <v>59425</v>
      </c>
      <c r="D251" s="4">
        <v>59650</v>
      </c>
      <c r="E251" s="4">
        <v>59310</v>
      </c>
      <c r="F251" s="4" t="str">
        <v>0.44K</v>
      </c>
      <c r="G251" s="4" t="str">
        <v>0.14%</v>
      </c>
      <c r="H251" s="3">
        <v>45016</v>
      </c>
      <c r="I251" s="4">
        <v>59480</v>
      </c>
    </row>
    <row r="252" spans="1:9" x14ac:dyDescent="0.25">
      <c r="A252" s="3">
        <v>45015</v>
      </c>
      <c r="B252" s="4">
        <v>59316</v>
      </c>
      <c r="C252" s="4">
        <v>59000</v>
      </c>
      <c r="D252" s="4">
        <v>59400</v>
      </c>
      <c r="E252" s="4">
        <v>58850</v>
      </c>
      <c r="F252" s="4" t="str">
        <v>1.10K</v>
      </c>
      <c r="G252" s="4" t="str">
        <v>0.64%</v>
      </c>
      <c r="H252" s="3">
        <v>45015</v>
      </c>
      <c r="I252" s="4">
        <v>59125</v>
      </c>
    </row>
    <row r="253" spans="1:9" x14ac:dyDescent="0.25">
      <c r="A253" s="3">
        <v>45014</v>
      </c>
      <c r="B253" s="4">
        <v>58941</v>
      </c>
      <c r="C253" s="4">
        <v>58918</v>
      </c>
      <c r="D253" s="4">
        <v>59074</v>
      </c>
      <c r="E253" s="4">
        <v>58747</v>
      </c>
      <c r="F253" s="4" t="str">
        <v>5.06K</v>
      </c>
      <c r="G253" s="4" t="str">
        <v>-0.17%</v>
      </c>
      <c r="H253" s="3">
        <v>45014</v>
      </c>
      <c r="I253" s="4">
        <v>58910.5</v>
      </c>
    </row>
    <row r="254" spans="1:9" x14ac:dyDescent="0.25">
      <c r="A254" s="3">
        <v>45013</v>
      </c>
      <c r="B254" s="4">
        <v>59042</v>
      </c>
      <c r="C254" s="4">
        <v>58718</v>
      </c>
      <c r="D254" s="4">
        <v>59232</v>
      </c>
      <c r="E254" s="4">
        <v>58500</v>
      </c>
      <c r="F254" s="4" t="str">
        <v>5.06K</v>
      </c>
      <c r="G254" s="4" t="str">
        <v>0.88%</v>
      </c>
      <c r="H254" s="3">
        <v>45013</v>
      </c>
      <c r="I254" s="4">
        <v>58866</v>
      </c>
    </row>
    <row r="255" spans="1:9" x14ac:dyDescent="0.25">
      <c r="A255" s="3">
        <v>45012</v>
      </c>
      <c r="B255" s="4">
        <v>58526</v>
      </c>
      <c r="C255" s="4">
        <v>59300</v>
      </c>
      <c r="D255" s="4">
        <v>59310</v>
      </c>
      <c r="E255" s="4">
        <v>58405</v>
      </c>
      <c r="F255" s="4" t="str">
        <v>7.51K</v>
      </c>
      <c r="G255" s="4" t="str">
        <v>-1.26%</v>
      </c>
      <c r="H255" s="3">
        <v>45012</v>
      </c>
      <c r="I255" s="4">
        <v>58857.5</v>
      </c>
    </row>
    <row r="256" spans="1:9" x14ac:dyDescent="0.25">
      <c r="A256" s="3">
        <v>45009</v>
      </c>
      <c r="B256" s="4">
        <v>59273</v>
      </c>
      <c r="C256" s="4">
        <v>59490</v>
      </c>
      <c r="D256" s="4">
        <v>59975</v>
      </c>
      <c r="E256" s="4">
        <v>59190</v>
      </c>
      <c r="F256" s="4" t="str">
        <v>7.93K</v>
      </c>
      <c r="G256" s="4" t="str">
        <v>-0.49%</v>
      </c>
      <c r="H256" s="3">
        <v>45009</v>
      </c>
      <c r="I256" s="4">
        <v>59582.5</v>
      </c>
    </row>
    <row r="257" spans="1:9" x14ac:dyDescent="0.25">
      <c r="A257" s="3">
        <v>45008</v>
      </c>
      <c r="B257" s="4">
        <v>59565</v>
      </c>
      <c r="C257" s="4">
        <v>59231</v>
      </c>
      <c r="D257" s="4">
        <v>59618</v>
      </c>
      <c r="E257" s="4">
        <v>58930</v>
      </c>
      <c r="F257" s="4" t="str">
        <v>8.24K</v>
      </c>
      <c r="G257" s="4" t="str">
        <v>1.38%</v>
      </c>
      <c r="H257" s="3">
        <v>45008</v>
      </c>
      <c r="I257" s="4">
        <v>59274</v>
      </c>
    </row>
    <row r="258" spans="1:9" x14ac:dyDescent="0.25">
      <c r="A258" s="3">
        <v>45007</v>
      </c>
      <c r="B258" s="4">
        <v>58756</v>
      </c>
      <c r="C258" s="4">
        <v>58563</v>
      </c>
      <c r="D258" s="4">
        <v>58810</v>
      </c>
      <c r="E258" s="4">
        <v>58462</v>
      </c>
      <c r="F258" s="4" t="str">
        <v>5.17K</v>
      </c>
      <c r="G258" s="4" t="str">
        <v>0.30%</v>
      </c>
      <c r="H258" s="3">
        <v>45007</v>
      </c>
      <c r="I258" s="4">
        <v>58636</v>
      </c>
    </row>
    <row r="259" spans="1:9" x14ac:dyDescent="0.25">
      <c r="A259" s="3">
        <v>45006</v>
      </c>
      <c r="B259" s="4">
        <v>58579</v>
      </c>
      <c r="C259" s="4">
        <v>59594</v>
      </c>
      <c r="D259" s="4">
        <v>59705</v>
      </c>
      <c r="E259" s="4">
        <v>58534</v>
      </c>
      <c r="F259" s="4" t="str">
        <v>8.27K</v>
      </c>
      <c r="G259" s="4" t="str">
        <v>-1.56%</v>
      </c>
      <c r="H259" s="3">
        <v>45006</v>
      </c>
      <c r="I259" s="4">
        <v>59119.5</v>
      </c>
    </row>
    <row r="260" spans="1:9" x14ac:dyDescent="0.25">
      <c r="A260" s="3">
        <v>45005</v>
      </c>
      <c r="B260" s="4">
        <v>59506</v>
      </c>
      <c r="C260" s="4">
        <v>59418</v>
      </c>
      <c r="D260" s="4">
        <v>60455</v>
      </c>
      <c r="E260" s="4">
        <v>59232</v>
      </c>
      <c r="F260" s="4" t="str">
        <v>9.99K</v>
      </c>
      <c r="G260" s="4" t="str">
        <v>0.21%</v>
      </c>
      <c r="H260" s="3">
        <v>45005</v>
      </c>
      <c r="I260" s="4">
        <v>59843.5</v>
      </c>
    </row>
    <row r="261" spans="1:9" x14ac:dyDescent="0.25">
      <c r="A261" s="3">
        <v>45002</v>
      </c>
      <c r="B261" s="4">
        <v>59383</v>
      </c>
      <c r="C261" s="4">
        <v>58269</v>
      </c>
      <c r="D261" s="4">
        <v>59461</v>
      </c>
      <c r="E261" s="4">
        <v>58143</v>
      </c>
      <c r="F261" s="4" t="str">
        <v>7.74K</v>
      </c>
      <c r="G261" s="4" t="str">
        <v>2.37%</v>
      </c>
      <c r="H261" s="3">
        <v>45002</v>
      </c>
      <c r="I261" s="4">
        <v>58802</v>
      </c>
    </row>
    <row r="262" spans="1:9" x14ac:dyDescent="0.25">
      <c r="A262" s="3">
        <v>45001</v>
      </c>
      <c r="B262" s="4">
        <v>58006</v>
      </c>
      <c r="C262" s="4">
        <v>57955</v>
      </c>
      <c r="D262" s="4">
        <v>58525</v>
      </c>
      <c r="E262" s="4">
        <v>57845</v>
      </c>
      <c r="F262" s="4" t="str">
        <v>7.27K</v>
      </c>
      <c r="G262" s="4" t="str">
        <v>-0.57%</v>
      </c>
      <c r="H262" s="3">
        <v>45001</v>
      </c>
      <c r="I262" s="4">
        <v>58185</v>
      </c>
    </row>
    <row r="263" spans="1:9" x14ac:dyDescent="0.25">
      <c r="A263" s="3">
        <v>45000</v>
      </c>
      <c r="B263" s="4">
        <v>58336</v>
      </c>
      <c r="C263" s="4">
        <v>57380</v>
      </c>
      <c r="D263" s="4">
        <v>58661</v>
      </c>
      <c r="E263" s="4">
        <v>57068</v>
      </c>
      <c r="F263" s="4" t="str">
        <v>10.02K</v>
      </c>
      <c r="G263" s="4" t="str">
        <v>1.48%</v>
      </c>
      <c r="H263" s="3">
        <v>45000</v>
      </c>
      <c r="I263" s="4">
        <v>57864.5</v>
      </c>
    </row>
    <row r="264" spans="1:9" x14ac:dyDescent="0.25">
      <c r="A264" s="3">
        <v>44999</v>
      </c>
      <c r="B264" s="4">
        <v>57483</v>
      </c>
      <c r="C264" s="4">
        <v>57483</v>
      </c>
      <c r="D264" s="4">
        <v>57738</v>
      </c>
      <c r="E264" s="4">
        <v>57231</v>
      </c>
      <c r="F264" s="4" t="str">
        <v>6.12K</v>
      </c>
      <c r="G264" s="4" t="str">
        <v>-0.28%</v>
      </c>
      <c r="H264" s="3">
        <v>44999</v>
      </c>
      <c r="I264" s="4">
        <v>57484.5</v>
      </c>
    </row>
    <row r="265" spans="1:9" x14ac:dyDescent="0.25">
      <c r="A265" s="3">
        <v>44998</v>
      </c>
      <c r="B265" s="4">
        <v>57642</v>
      </c>
      <c r="C265" s="4">
        <v>56667</v>
      </c>
      <c r="D265" s="4">
        <v>57680</v>
      </c>
      <c r="E265" s="4">
        <v>56353</v>
      </c>
      <c r="F265" s="4" t="str">
        <v>10.61K</v>
      </c>
      <c r="G265" s="4" t="str">
        <v>2.66%</v>
      </c>
      <c r="H265" s="3">
        <v>44998</v>
      </c>
      <c r="I265" s="4">
        <v>57016.5</v>
      </c>
    </row>
    <row r="266" spans="1:9" x14ac:dyDescent="0.25">
      <c r="A266" s="3">
        <v>44995</v>
      </c>
      <c r="B266" s="4">
        <v>56150</v>
      </c>
      <c r="C266" s="4">
        <v>55325</v>
      </c>
      <c r="D266" s="4">
        <v>56190</v>
      </c>
      <c r="E266" s="4">
        <v>55270</v>
      </c>
      <c r="F266" s="4" t="str">
        <v>7.08K</v>
      </c>
      <c r="G266" s="4" t="str">
        <v>1.54%</v>
      </c>
      <c r="H266" s="3">
        <v>44995</v>
      </c>
      <c r="I266" s="4">
        <v>55730</v>
      </c>
    </row>
    <row r="267" spans="1:9" x14ac:dyDescent="0.25">
      <c r="A267" s="3">
        <v>44994</v>
      </c>
      <c r="B267" s="4">
        <v>55301</v>
      </c>
      <c r="C267" s="4">
        <v>54855</v>
      </c>
      <c r="D267" s="4">
        <v>55401</v>
      </c>
      <c r="E267" s="4">
        <v>54771</v>
      </c>
      <c r="F267" s="4" t="str">
        <v>5.79K</v>
      </c>
      <c r="G267" s="4" t="str">
        <v>0.71%</v>
      </c>
      <c r="H267" s="3">
        <v>44994</v>
      </c>
      <c r="I267" s="4">
        <v>55086</v>
      </c>
    </row>
    <row r="268" spans="1:9" x14ac:dyDescent="0.25">
      <c r="A268" s="3">
        <v>44993</v>
      </c>
      <c r="B268" s="4">
        <v>54911</v>
      </c>
      <c r="C268" s="4">
        <v>54935</v>
      </c>
      <c r="D268" s="4">
        <v>55112</v>
      </c>
      <c r="E268" s="4">
        <v>54850</v>
      </c>
      <c r="F268" s="4" t="str">
        <v>4.24K</v>
      </c>
      <c r="G268" s="4" t="str">
        <v>-0.20%</v>
      </c>
      <c r="H268" s="3">
        <v>44993</v>
      </c>
      <c r="I268" s="4">
        <v>54981</v>
      </c>
    </row>
    <row r="269" spans="1:9" x14ac:dyDescent="0.25">
      <c r="A269" s="3">
        <v>44992</v>
      </c>
      <c r="B269" s="4">
        <v>55022</v>
      </c>
      <c r="C269" s="4">
        <v>55700</v>
      </c>
      <c r="D269" s="4">
        <v>55700</v>
      </c>
      <c r="E269" s="4">
        <v>55000</v>
      </c>
      <c r="F269" s="4" t="str">
        <v>4.56K</v>
      </c>
      <c r="G269" s="4" t="str">
        <v>-1.34%</v>
      </c>
      <c r="H269" s="3">
        <v>44992</v>
      </c>
      <c r="I269" s="4">
        <v>55350</v>
      </c>
    </row>
    <row r="270" spans="1:9" x14ac:dyDescent="0.25">
      <c r="A270" s="3">
        <v>44991</v>
      </c>
      <c r="B270" s="4">
        <v>55769</v>
      </c>
      <c r="C270" s="4">
        <v>55878</v>
      </c>
      <c r="D270" s="4">
        <v>55982</v>
      </c>
      <c r="E270" s="4">
        <v>55751</v>
      </c>
      <c r="F270" s="4" t="str">
        <v>4.47K</v>
      </c>
      <c r="G270" s="4" t="str">
        <v>0.09%</v>
      </c>
      <c r="H270" s="3">
        <v>44991</v>
      </c>
      <c r="I270" s="4">
        <v>55866.5</v>
      </c>
    </row>
    <row r="271" spans="1:9" x14ac:dyDescent="0.25">
      <c r="A271" s="3">
        <v>44988</v>
      </c>
      <c r="B271" s="4">
        <v>55721</v>
      </c>
      <c r="C271" s="4">
        <v>55899</v>
      </c>
      <c r="D271" s="4">
        <v>55899</v>
      </c>
      <c r="E271" s="4">
        <v>55580</v>
      </c>
      <c r="F271" s="4" t="str">
        <v>4.59K</v>
      </c>
      <c r="G271" s="4" t="str">
        <v>-0.03%</v>
      </c>
      <c r="H271" s="3">
        <v>44988</v>
      </c>
      <c r="I271" s="4">
        <v>55739.5</v>
      </c>
    </row>
    <row r="272" spans="1:9" x14ac:dyDescent="0.25">
      <c r="A272" s="3">
        <v>44987</v>
      </c>
      <c r="B272" s="4">
        <v>55739</v>
      </c>
      <c r="C272" s="4">
        <v>55777</v>
      </c>
      <c r="D272" s="4">
        <v>55925</v>
      </c>
      <c r="E272" s="4">
        <v>55705</v>
      </c>
      <c r="F272" s="4" t="str">
        <v>4.55K</v>
      </c>
      <c r="G272" s="4" t="str">
        <v>-0.16%</v>
      </c>
      <c r="H272" s="3">
        <v>44987</v>
      </c>
      <c r="I272" s="4">
        <v>55815</v>
      </c>
    </row>
    <row r="273" spans="1:9" x14ac:dyDescent="0.25">
      <c r="A273" s="3">
        <v>44986</v>
      </c>
      <c r="B273" s="4">
        <v>55830</v>
      </c>
      <c r="C273" s="4">
        <v>55760</v>
      </c>
      <c r="D273" s="4">
        <v>56020</v>
      </c>
      <c r="E273" s="4">
        <v>55627</v>
      </c>
      <c r="F273" s="4" t="str">
        <v>4.58K</v>
      </c>
      <c r="G273" s="4" t="str">
        <v>0.13%</v>
      </c>
      <c r="H273" s="3">
        <v>44986</v>
      </c>
      <c r="I273" s="4">
        <v>55823.5</v>
      </c>
    </row>
    <row r="274" spans="1:9" x14ac:dyDescent="0.25">
      <c r="A274" s="3">
        <v>44985</v>
      </c>
      <c r="B274" s="4">
        <v>55756</v>
      </c>
      <c r="C274" s="4">
        <v>55402</v>
      </c>
      <c r="D274" s="4">
        <v>55798</v>
      </c>
      <c r="E274" s="4">
        <v>55132</v>
      </c>
      <c r="F274" s="4" t="str">
        <v>5.46K</v>
      </c>
      <c r="G274" s="4" t="str">
        <v>0.50%</v>
      </c>
      <c r="H274" s="3">
        <v>44985</v>
      </c>
      <c r="I274" s="4">
        <v>55465</v>
      </c>
    </row>
    <row r="275" spans="1:9" x14ac:dyDescent="0.25">
      <c r="A275" s="3">
        <v>44984</v>
      </c>
      <c r="B275" s="4">
        <v>55476</v>
      </c>
      <c r="C275" s="4">
        <v>55397</v>
      </c>
      <c r="D275" s="4">
        <v>55497</v>
      </c>
      <c r="E275" s="4">
        <v>55290</v>
      </c>
      <c r="F275" s="4" t="str">
        <v>4.26K</v>
      </c>
      <c r="G275" s="4" t="str">
        <v>0.08%</v>
      </c>
      <c r="H275" s="3">
        <v>44984</v>
      </c>
      <c r="I275" s="4">
        <v>55393.5</v>
      </c>
    </row>
    <row r="276" spans="1:9" x14ac:dyDescent="0.25">
      <c r="A276" s="3">
        <v>44981</v>
      </c>
      <c r="B276" s="4">
        <v>55432</v>
      </c>
      <c r="C276" s="4">
        <v>55707</v>
      </c>
      <c r="D276" s="4">
        <v>55790</v>
      </c>
      <c r="E276" s="4">
        <v>55380</v>
      </c>
      <c r="F276" s="4" t="str">
        <v>5.41K</v>
      </c>
      <c r="G276" s="4" t="str">
        <v>-0.28%</v>
      </c>
      <c r="H276" s="3">
        <v>44981</v>
      </c>
      <c r="I276" s="4">
        <v>55585</v>
      </c>
    </row>
    <row r="277" spans="1:9" x14ac:dyDescent="0.25">
      <c r="A277" s="3">
        <v>44980</v>
      </c>
      <c r="B277" s="4">
        <v>55587</v>
      </c>
      <c r="C277" s="4">
        <v>55954</v>
      </c>
      <c r="D277" s="4">
        <v>56010</v>
      </c>
      <c r="E277" s="4">
        <v>55511</v>
      </c>
      <c r="F277" s="4" t="str">
        <v>6.62K</v>
      </c>
      <c r="G277" s="4" t="str">
        <v>-0.88%</v>
      </c>
      <c r="H277" s="3">
        <v>44980</v>
      </c>
      <c r="I277" s="4">
        <v>55760.5</v>
      </c>
    </row>
    <row r="278" spans="1:9" x14ac:dyDescent="0.25">
      <c r="A278" s="3">
        <v>44979</v>
      </c>
      <c r="B278" s="4">
        <v>56083</v>
      </c>
      <c r="C278" s="4">
        <v>56169</v>
      </c>
      <c r="D278" s="4">
        <v>56395</v>
      </c>
      <c r="E278" s="4">
        <v>56027</v>
      </c>
      <c r="F278" s="4" t="str">
        <v>4.42K</v>
      </c>
      <c r="G278" s="4" t="str">
        <v>-0.15%</v>
      </c>
      <c r="H278" s="3">
        <v>44979</v>
      </c>
      <c r="I278" s="4">
        <v>56211</v>
      </c>
    </row>
    <row r="279" spans="1:9" x14ac:dyDescent="0.25">
      <c r="A279" s="3">
        <v>44978</v>
      </c>
      <c r="B279" s="4">
        <v>56168</v>
      </c>
      <c r="C279" s="4">
        <v>56191</v>
      </c>
      <c r="D279" s="4">
        <v>56310</v>
      </c>
      <c r="E279" s="4">
        <v>56003</v>
      </c>
      <c r="F279" s="4" t="str">
        <v>5.38K</v>
      </c>
      <c r="G279" s="4" t="str">
        <v>-0.08%</v>
      </c>
      <c r="H279" s="3">
        <v>44978</v>
      </c>
      <c r="I279" s="4">
        <v>56156.5</v>
      </c>
    </row>
    <row r="280" spans="1:9" x14ac:dyDescent="0.25">
      <c r="A280" s="3">
        <v>44977</v>
      </c>
      <c r="B280" s="4">
        <v>56213</v>
      </c>
      <c r="C280" s="4">
        <v>56209</v>
      </c>
      <c r="D280" s="4">
        <v>56345</v>
      </c>
      <c r="E280" s="4">
        <v>56188</v>
      </c>
      <c r="F280" s="4" t="str">
        <v>3.30K</v>
      </c>
      <c r="G280" s="4" t="str">
        <v>-0.08%</v>
      </c>
      <c r="H280" s="3">
        <v>44977</v>
      </c>
      <c r="I280" s="4">
        <v>56266.5</v>
      </c>
    </row>
    <row r="281" spans="1:9" x14ac:dyDescent="0.25">
      <c r="A281" s="3">
        <v>44974</v>
      </c>
      <c r="B281" s="4">
        <v>56257</v>
      </c>
      <c r="C281" s="4">
        <v>55975</v>
      </c>
      <c r="D281" s="4">
        <v>56287</v>
      </c>
      <c r="E281" s="4">
        <v>55691</v>
      </c>
      <c r="F281" s="4" t="str">
        <v>7.49K</v>
      </c>
      <c r="G281" s="4" t="str">
        <v>0.05%</v>
      </c>
      <c r="H281" s="3">
        <v>44974</v>
      </c>
      <c r="I281" s="4">
        <v>55989</v>
      </c>
    </row>
    <row r="282" spans="1:9" x14ac:dyDescent="0.25">
      <c r="A282" s="3">
        <v>44973</v>
      </c>
      <c r="B282" s="4">
        <v>56228</v>
      </c>
      <c r="C282" s="4">
        <v>56225</v>
      </c>
      <c r="D282" s="4">
        <v>56279</v>
      </c>
      <c r="E282" s="4">
        <v>55910</v>
      </c>
      <c r="F282" s="4" t="str">
        <v>6.84K</v>
      </c>
      <c r="G282" s="4" t="str">
        <v>0.18%</v>
      </c>
      <c r="H282" s="3">
        <v>44973</v>
      </c>
      <c r="I282" s="4">
        <v>56094.5</v>
      </c>
    </row>
    <row r="283" spans="1:9" x14ac:dyDescent="0.25">
      <c r="A283" s="3">
        <v>44972</v>
      </c>
      <c r="B283" s="4">
        <v>56126</v>
      </c>
      <c r="C283" s="4">
        <v>56666</v>
      </c>
      <c r="D283" s="4">
        <v>56674</v>
      </c>
      <c r="E283" s="4">
        <v>56078</v>
      </c>
      <c r="F283" s="4" t="str">
        <v>8.24K</v>
      </c>
      <c r="G283" s="4" t="str">
        <v>-1.10%</v>
      </c>
      <c r="H283" s="3">
        <v>44972</v>
      </c>
      <c r="I283" s="4">
        <v>56376</v>
      </c>
    </row>
    <row r="284" spans="1:9" x14ac:dyDescent="0.25">
      <c r="A284" s="3">
        <v>44971</v>
      </c>
      <c r="B284" s="4">
        <v>56750</v>
      </c>
      <c r="C284" s="4">
        <v>56611</v>
      </c>
      <c r="D284" s="4">
        <v>56999</v>
      </c>
      <c r="E284" s="4">
        <v>56478</v>
      </c>
      <c r="F284" s="4" t="str">
        <v>9.68K</v>
      </c>
      <c r="G284" s="4" t="str">
        <v>0.45%</v>
      </c>
      <c r="H284" s="3">
        <v>44971</v>
      </c>
      <c r="I284" s="4">
        <v>56738.5</v>
      </c>
    </row>
    <row r="285" spans="1:9" x14ac:dyDescent="0.25">
      <c r="A285" s="3">
        <v>44970</v>
      </c>
      <c r="B285" s="4">
        <v>56497</v>
      </c>
      <c r="C285" s="4">
        <v>56762</v>
      </c>
      <c r="D285" s="4">
        <v>56920</v>
      </c>
      <c r="E285" s="4">
        <v>56470</v>
      </c>
      <c r="F285" s="4" t="str">
        <v>4.94K</v>
      </c>
      <c r="G285" s="4" t="str">
        <v>-0.43%</v>
      </c>
      <c r="H285" s="3">
        <v>44970</v>
      </c>
      <c r="I285" s="4">
        <v>56695</v>
      </c>
    </row>
    <row r="286" spans="1:9" x14ac:dyDescent="0.25">
      <c r="A286" s="3">
        <v>44967</v>
      </c>
      <c r="B286" s="4">
        <v>56741</v>
      </c>
      <c r="C286" s="4">
        <v>56760</v>
      </c>
      <c r="D286" s="4">
        <v>56865</v>
      </c>
      <c r="E286" s="4">
        <v>56496</v>
      </c>
      <c r="F286" s="4" t="str">
        <v>8.49K</v>
      </c>
      <c r="G286" s="4" t="str">
        <v>-0.20%</v>
      </c>
      <c r="H286" s="3">
        <v>44967</v>
      </c>
      <c r="I286" s="4">
        <v>56680.5</v>
      </c>
    </row>
    <row r="287" spans="1:9" x14ac:dyDescent="0.25">
      <c r="A287" s="3">
        <v>44966</v>
      </c>
      <c r="B287" s="4">
        <v>56852</v>
      </c>
      <c r="C287" s="4">
        <v>57238</v>
      </c>
      <c r="D287" s="4">
        <v>57419</v>
      </c>
      <c r="E287" s="4">
        <v>56750</v>
      </c>
      <c r="F287" s="4" t="str">
        <v>6.62K</v>
      </c>
      <c r="G287" s="4" t="str">
        <v>-0.63%</v>
      </c>
      <c r="H287" s="3">
        <v>44966</v>
      </c>
      <c r="I287" s="4">
        <v>57084.5</v>
      </c>
    </row>
    <row r="288" spans="1:9" x14ac:dyDescent="0.25">
      <c r="A288" s="3">
        <v>44965</v>
      </c>
      <c r="B288" s="4">
        <v>57215</v>
      </c>
      <c r="C288" s="4">
        <v>57220</v>
      </c>
      <c r="D288" s="4">
        <v>57384</v>
      </c>
      <c r="E288" s="4">
        <v>56986</v>
      </c>
      <c r="F288" s="4" t="str">
        <v>6.03K</v>
      </c>
      <c r="G288" s="4" t="str">
        <v>-0.07%</v>
      </c>
      <c r="H288" s="3">
        <v>44965</v>
      </c>
      <c r="I288" s="4">
        <v>57185</v>
      </c>
    </row>
    <row r="289" spans="1:9" x14ac:dyDescent="0.25">
      <c r="A289" s="3">
        <v>44964</v>
      </c>
      <c r="B289" s="4">
        <v>57257</v>
      </c>
      <c r="C289" s="4">
        <v>57000</v>
      </c>
      <c r="D289" s="4">
        <v>57380</v>
      </c>
      <c r="E289" s="4">
        <v>56950</v>
      </c>
      <c r="F289" s="4" t="str">
        <v>7.13K</v>
      </c>
      <c r="G289" s="4" t="str">
        <v>0.53%</v>
      </c>
      <c r="H289" s="3">
        <v>44964</v>
      </c>
      <c r="I289" s="4">
        <v>57165</v>
      </c>
    </row>
    <row r="290" spans="1:9" x14ac:dyDescent="0.25">
      <c r="A290" s="3">
        <v>44963</v>
      </c>
      <c r="B290" s="4">
        <v>56955</v>
      </c>
      <c r="C290" s="4">
        <v>56638</v>
      </c>
      <c r="D290" s="4">
        <v>57195</v>
      </c>
      <c r="E290" s="4">
        <v>56638</v>
      </c>
      <c r="F290" s="4" t="str">
        <v>5.47K</v>
      </c>
      <c r="G290" s="4" t="str">
        <v>-1.02%</v>
      </c>
      <c r="H290" s="3">
        <v>44963</v>
      </c>
      <c r="I290" s="4">
        <v>56916.5</v>
      </c>
    </row>
    <row r="291" spans="1:9" x14ac:dyDescent="0.25">
      <c r="A291" s="3">
        <v>44960</v>
      </c>
      <c r="B291" s="4">
        <v>57543</v>
      </c>
      <c r="C291" s="4">
        <v>57865</v>
      </c>
      <c r="D291" s="4">
        <v>58000</v>
      </c>
      <c r="E291" s="4">
        <v>56801</v>
      </c>
      <c r="F291" s="4" t="str">
        <v>0.04K</v>
      </c>
      <c r="G291" s="4" t="str">
        <v>-0.98%</v>
      </c>
      <c r="H291" s="3">
        <v>44960</v>
      </c>
      <c r="I291" s="4">
        <v>57400.5</v>
      </c>
    </row>
    <row r="292" spans="1:9" x14ac:dyDescent="0.25">
      <c r="A292" s="3">
        <v>44959</v>
      </c>
      <c r="B292" s="4">
        <v>58114</v>
      </c>
      <c r="C292" s="4">
        <v>58826</v>
      </c>
      <c r="D292" s="4">
        <v>58826</v>
      </c>
      <c r="E292" s="4">
        <v>57700</v>
      </c>
      <c r="F292" s="4" t="str">
        <v>0.05K</v>
      </c>
      <c r="G292" s="4" t="str">
        <v>0.28%</v>
      </c>
      <c r="H292" s="3">
        <v>44959</v>
      </c>
      <c r="I292" s="4">
        <v>58263</v>
      </c>
    </row>
    <row r="293" spans="1:9" x14ac:dyDescent="0.25">
      <c r="A293" s="3">
        <v>44958</v>
      </c>
      <c r="B293" s="4">
        <v>57952</v>
      </c>
      <c r="C293" s="4">
        <v>57150</v>
      </c>
      <c r="D293" s="4">
        <v>58099</v>
      </c>
      <c r="E293" s="4">
        <v>57100</v>
      </c>
      <c r="F293" s="4" t="str">
        <v>0.08K</v>
      </c>
      <c r="G293" s="4" t="str">
        <v>1.24%</v>
      </c>
      <c r="H293" s="3">
        <v>44958</v>
      </c>
      <c r="I293" s="4">
        <v>57599.5</v>
      </c>
    </row>
    <row r="294" spans="1:9" x14ac:dyDescent="0.25">
      <c r="A294" s="3">
        <v>44957</v>
      </c>
      <c r="B294" s="4">
        <v>57242</v>
      </c>
      <c r="C294" s="4">
        <v>56860</v>
      </c>
      <c r="D294" s="4">
        <v>57270</v>
      </c>
      <c r="E294" s="4">
        <v>56620</v>
      </c>
      <c r="F294" s="4" t="str">
        <v>0.21K</v>
      </c>
      <c r="G294" s="4" t="str">
        <v>0.81%</v>
      </c>
      <c r="H294" s="3">
        <v>44957</v>
      </c>
      <c r="I294" s="4">
        <v>56945</v>
      </c>
    </row>
    <row r="295" spans="1:9" x14ac:dyDescent="0.25">
      <c r="A295" s="3">
        <v>44956</v>
      </c>
      <c r="B295" s="4">
        <v>56782</v>
      </c>
      <c r="C295" s="4">
        <v>56900</v>
      </c>
      <c r="D295" s="4">
        <v>57149</v>
      </c>
      <c r="E295" s="4">
        <v>56720</v>
      </c>
      <c r="F295" s="4" t="str">
        <v>2.10K</v>
      </c>
      <c r="G295" s="4" t="str">
        <v>-0.13%</v>
      </c>
      <c r="H295" s="3">
        <v>44956</v>
      </c>
      <c r="I295" s="4">
        <v>56934.5</v>
      </c>
    </row>
    <row r="296" spans="1:9" x14ac:dyDescent="0.25">
      <c r="A296" s="3">
        <v>44953</v>
      </c>
      <c r="B296" s="4">
        <v>56857</v>
      </c>
      <c r="C296" s="4">
        <v>56760</v>
      </c>
      <c r="D296" s="4">
        <v>56985</v>
      </c>
      <c r="E296" s="4">
        <v>56640</v>
      </c>
      <c r="F296" s="4" t="str">
        <v>6.95K</v>
      </c>
      <c r="G296" s="4" t="str">
        <v>-0.18%</v>
      </c>
      <c r="H296" s="3">
        <v>44953</v>
      </c>
      <c r="I296" s="4">
        <v>56812.5</v>
      </c>
    </row>
    <row r="297" spans="1:9" x14ac:dyDescent="0.25">
      <c r="A297" s="3">
        <v>44951</v>
      </c>
      <c r="B297" s="4">
        <v>56962</v>
      </c>
      <c r="C297" s="4">
        <v>56940</v>
      </c>
      <c r="D297" s="4">
        <v>57021</v>
      </c>
      <c r="E297" s="4">
        <v>56702</v>
      </c>
      <c r="F297" s="4" t="str">
        <v>5.17K</v>
      </c>
      <c r="G297" s="4" t="str">
        <v>-0.01%</v>
      </c>
      <c r="H297" s="3">
        <v>44951</v>
      </c>
      <c r="I297" s="4">
        <v>56861.5</v>
      </c>
    </row>
    <row r="298" spans="1:9" x14ac:dyDescent="0.25">
      <c r="A298" s="3">
        <v>44950</v>
      </c>
      <c r="B298" s="4">
        <v>56969</v>
      </c>
      <c r="C298" s="4">
        <v>56986</v>
      </c>
      <c r="D298" s="4">
        <v>57125</v>
      </c>
      <c r="E298" s="4">
        <v>56775</v>
      </c>
      <c r="F298" s="4" t="str">
        <v>6.28K</v>
      </c>
      <c r="G298" s="4" t="str">
        <v>0.27%</v>
      </c>
      <c r="H298" s="3">
        <v>44950</v>
      </c>
      <c r="I298" s="4">
        <v>56950</v>
      </c>
    </row>
    <row r="299" spans="1:9" x14ac:dyDescent="0.25">
      <c r="A299" s="3">
        <v>44949</v>
      </c>
      <c r="B299" s="4">
        <v>56815</v>
      </c>
      <c r="C299" s="4">
        <v>56751</v>
      </c>
      <c r="D299" s="4">
        <v>56920</v>
      </c>
      <c r="E299" s="4">
        <v>56514</v>
      </c>
      <c r="F299" s="4" t="str">
        <v>5.51K</v>
      </c>
      <c r="G299" s="4" t="str">
        <v>0.28%</v>
      </c>
      <c r="H299" s="3">
        <v>44949</v>
      </c>
      <c r="I299" s="4">
        <v>56717</v>
      </c>
    </row>
    <row r="300" spans="1:9" x14ac:dyDescent="0.25">
      <c r="A300" s="3">
        <v>44946</v>
      </c>
      <c r="B300" s="4">
        <v>56658</v>
      </c>
      <c r="C300" s="4">
        <v>56641</v>
      </c>
      <c r="D300" s="4">
        <v>56850</v>
      </c>
      <c r="E300" s="4">
        <v>56560</v>
      </c>
      <c r="F300" s="4" t="str">
        <v>4.92K</v>
      </c>
      <c r="G300" s="4" t="str">
        <v>0.20%</v>
      </c>
      <c r="H300" s="3">
        <v>44946</v>
      </c>
      <c r="I300" s="4">
        <v>56705</v>
      </c>
    </row>
    <row r="301" spans="1:9" x14ac:dyDescent="0.25">
      <c r="A301" s="3">
        <v>44945</v>
      </c>
      <c r="B301" s="4">
        <v>56546</v>
      </c>
      <c r="C301" s="4">
        <v>56305</v>
      </c>
      <c r="D301" s="4">
        <v>56588</v>
      </c>
      <c r="E301" s="4">
        <v>56245</v>
      </c>
      <c r="F301" s="4" t="str">
        <v>4.72K</v>
      </c>
      <c r="G301" s="4" t="str">
        <v>0.46%</v>
      </c>
      <c r="H301" s="3">
        <v>44945</v>
      </c>
      <c r="I301" s="4">
        <v>56416.5</v>
      </c>
    </row>
    <row r="302" spans="1:9" x14ac:dyDescent="0.25">
      <c r="A302" s="3">
        <v>44944</v>
      </c>
      <c r="B302" s="4">
        <v>56286</v>
      </c>
      <c r="C302" s="4">
        <v>56303</v>
      </c>
      <c r="D302" s="4">
        <v>56550</v>
      </c>
      <c r="E302" s="4">
        <v>56122</v>
      </c>
      <c r="F302" s="4" t="str">
        <v>5.92K</v>
      </c>
      <c r="G302" s="4" t="str">
        <v>-0.12%</v>
      </c>
      <c r="H302" s="3">
        <v>44944</v>
      </c>
      <c r="I302" s="4">
        <v>56336</v>
      </c>
    </row>
    <row r="303" spans="1:9" x14ac:dyDescent="0.25">
      <c r="A303" s="3">
        <v>44943</v>
      </c>
      <c r="B303" s="4">
        <v>56352</v>
      </c>
      <c r="C303" s="4">
        <v>56479</v>
      </c>
      <c r="D303" s="4">
        <v>56521</v>
      </c>
      <c r="E303" s="4">
        <v>56305</v>
      </c>
      <c r="F303" s="4" t="str">
        <v>4.93K</v>
      </c>
      <c r="G303" s="4" t="str">
        <v>-0.23%</v>
      </c>
      <c r="H303" s="3">
        <v>44943</v>
      </c>
      <c r="I303" s="4">
        <v>56413</v>
      </c>
    </row>
    <row r="304" spans="1:9" x14ac:dyDescent="0.25">
      <c r="A304" s="3">
        <v>44942</v>
      </c>
      <c r="B304" s="4">
        <v>56482</v>
      </c>
      <c r="C304" s="4">
        <v>56467</v>
      </c>
      <c r="D304" s="4">
        <v>56562</v>
      </c>
      <c r="E304" s="4">
        <v>56330</v>
      </c>
      <c r="F304" s="4" t="str">
        <v>3.95K</v>
      </c>
      <c r="G304" s="4" t="str">
        <v>0.28%</v>
      </c>
      <c r="H304" s="3">
        <v>44942</v>
      </c>
      <c r="I304" s="4">
        <v>56446</v>
      </c>
    </row>
    <row r="305" spans="1:9" x14ac:dyDescent="0.25">
      <c r="A305" s="3">
        <v>44939</v>
      </c>
      <c r="B305" s="4">
        <v>56324</v>
      </c>
      <c r="C305" s="4">
        <v>55915</v>
      </c>
      <c r="D305" s="4">
        <v>56370</v>
      </c>
      <c r="E305" s="4">
        <v>55900</v>
      </c>
      <c r="F305" s="4" t="str">
        <v>5.89K</v>
      </c>
      <c r="G305" s="4" t="str">
        <v>0.80%</v>
      </c>
      <c r="H305" s="3">
        <v>44939</v>
      </c>
      <c r="I305" s="4">
        <v>56135</v>
      </c>
    </row>
    <row r="306" spans="1:9" x14ac:dyDescent="0.25">
      <c r="A306" s="3">
        <v>44938</v>
      </c>
      <c r="B306" s="4">
        <v>55875</v>
      </c>
      <c r="C306" s="4">
        <v>55792</v>
      </c>
      <c r="D306" s="4">
        <v>55990</v>
      </c>
      <c r="E306" s="4">
        <v>55610</v>
      </c>
      <c r="F306" s="4" t="str">
        <v>5.52K</v>
      </c>
      <c r="G306" s="4" t="str">
        <v>0.33%</v>
      </c>
      <c r="H306" s="3">
        <v>44938</v>
      </c>
      <c r="I306" s="4">
        <v>55800</v>
      </c>
    </row>
    <row r="307" spans="1:9" x14ac:dyDescent="0.25">
      <c r="A307" s="3">
        <v>44937</v>
      </c>
      <c r="B307" s="4">
        <v>55693</v>
      </c>
      <c r="C307" s="4">
        <v>55819</v>
      </c>
      <c r="D307" s="4">
        <v>55930</v>
      </c>
      <c r="E307" s="4">
        <v>55522</v>
      </c>
      <c r="F307" s="4" t="str">
        <v>5.19K</v>
      </c>
      <c r="G307" s="4" t="str">
        <v>-0.03%</v>
      </c>
      <c r="H307" s="3">
        <v>44937</v>
      </c>
      <c r="I307" s="4">
        <v>55726</v>
      </c>
    </row>
    <row r="308" spans="1:9" x14ac:dyDescent="0.25">
      <c r="A308" s="3">
        <v>44936</v>
      </c>
      <c r="B308" s="4">
        <v>55712</v>
      </c>
      <c r="C308" s="4">
        <v>55920</v>
      </c>
      <c r="D308" s="4">
        <v>55950</v>
      </c>
      <c r="E308" s="4">
        <v>55640</v>
      </c>
      <c r="F308" s="4" t="str">
        <v>3.76K</v>
      </c>
      <c r="G308" s="4" t="str">
        <v>-0.27%</v>
      </c>
      <c r="H308" s="3">
        <v>44936</v>
      </c>
      <c r="I308" s="4">
        <v>55795</v>
      </c>
    </row>
    <row r="309" spans="1:9" x14ac:dyDescent="0.25">
      <c r="A309" s="3">
        <v>44935</v>
      </c>
      <c r="B309" s="4">
        <v>55864</v>
      </c>
      <c r="C309" s="4">
        <v>55800</v>
      </c>
      <c r="D309" s="4">
        <v>56175</v>
      </c>
      <c r="E309" s="4">
        <v>55800</v>
      </c>
      <c r="F309" s="4" t="str">
        <v>4.57K</v>
      </c>
      <c r="G309" s="4" t="str">
        <v>0.22%</v>
      </c>
      <c r="H309" s="3">
        <v>44935</v>
      </c>
      <c r="I309" s="4">
        <v>55987.5</v>
      </c>
    </row>
    <row r="310" spans="1:9" x14ac:dyDescent="0.25">
      <c r="A310" s="3">
        <v>44932</v>
      </c>
      <c r="B310" s="4">
        <v>55743</v>
      </c>
      <c r="C310" s="4">
        <v>55382</v>
      </c>
      <c r="D310" s="4">
        <v>55790</v>
      </c>
      <c r="E310" s="4">
        <v>55291</v>
      </c>
      <c r="F310" s="4" t="str">
        <v>5.06K</v>
      </c>
      <c r="G310" s="4" t="str">
        <v>0.82%</v>
      </c>
      <c r="H310" s="3">
        <v>44932</v>
      </c>
      <c r="I310" s="4">
        <v>55540.5</v>
      </c>
    </row>
    <row r="311" spans="1:9" x14ac:dyDescent="0.25">
      <c r="A311" s="3">
        <v>44931</v>
      </c>
      <c r="B311" s="4">
        <v>55290</v>
      </c>
      <c r="C311" s="4">
        <v>55794</v>
      </c>
      <c r="D311" s="4">
        <v>55920</v>
      </c>
      <c r="E311" s="4">
        <v>55051</v>
      </c>
      <c r="F311" s="4" t="str">
        <v>6.42K</v>
      </c>
      <c r="G311" s="4" t="str">
        <v>-0.86%</v>
      </c>
      <c r="H311" s="3">
        <v>44931</v>
      </c>
      <c r="I311" s="4">
        <v>55485.5</v>
      </c>
    </row>
    <row r="312" spans="1:9" x14ac:dyDescent="0.25">
      <c r="A312" s="3">
        <v>44930</v>
      </c>
      <c r="B312" s="4">
        <v>55767</v>
      </c>
      <c r="C312" s="4">
        <v>55620</v>
      </c>
      <c r="D312" s="4">
        <v>56010</v>
      </c>
      <c r="E312" s="4">
        <v>55620</v>
      </c>
      <c r="F312" s="4" t="str">
        <v>6.97K</v>
      </c>
      <c r="G312" s="4" t="str">
        <v>0.43%</v>
      </c>
      <c r="H312" s="3">
        <v>44930</v>
      </c>
      <c r="I312" s="4">
        <v>55815</v>
      </c>
    </row>
    <row r="313" spans="1:9" x14ac:dyDescent="0.25">
      <c r="A313" s="3">
        <v>44929</v>
      </c>
      <c r="B313" s="4">
        <v>55530</v>
      </c>
      <c r="C313" s="4">
        <v>55280</v>
      </c>
      <c r="D313" s="4">
        <v>55800</v>
      </c>
      <c r="E313" s="4">
        <v>55280</v>
      </c>
      <c r="F313" s="4" t="str">
        <v>5.42K</v>
      </c>
      <c r="G313" s="4" t="str">
        <v>0.64%</v>
      </c>
      <c r="H313" s="3">
        <v>44929</v>
      </c>
      <c r="I313" s="4">
        <v>55540</v>
      </c>
    </row>
    <row r="314" spans="1:9" x14ac:dyDescent="0.25">
      <c r="A314" s="3">
        <v>44928</v>
      </c>
      <c r="B314" s="4">
        <v>55178</v>
      </c>
      <c r="C314" s="4">
        <v>55052</v>
      </c>
      <c r="D314" s="4">
        <v>55200</v>
      </c>
      <c r="E314" s="4">
        <v>55040</v>
      </c>
      <c r="F314" s="4" t="str">
        <v>1.61K</v>
      </c>
      <c r="G314" s="4" t="str">
        <v>0.29%</v>
      </c>
      <c r="H314" s="3">
        <v>44928</v>
      </c>
      <c r="I314" s="4">
        <v>55120</v>
      </c>
    </row>
    <row r="315" spans="1:9" x14ac:dyDescent="0.25">
      <c r="A315" s="3">
        <v>44925</v>
      </c>
      <c r="B315" s="4">
        <v>55017</v>
      </c>
      <c r="C315" s="4">
        <v>54975</v>
      </c>
      <c r="D315" s="4">
        <v>55125</v>
      </c>
      <c r="E315" s="4">
        <v>54860</v>
      </c>
      <c r="F315" s="4" t="str">
        <v>4.36K</v>
      </c>
      <c r="G315" s="4" t="str">
        <v>0.08%</v>
      </c>
      <c r="H315" s="3">
        <v>44925</v>
      </c>
      <c r="I315" s="4">
        <v>54992.5</v>
      </c>
    </row>
    <row r="316" spans="1:9" x14ac:dyDescent="0.25">
      <c r="A316" s="3">
        <v>44924</v>
      </c>
      <c r="B316" s="4">
        <v>54971</v>
      </c>
      <c r="C316" s="4">
        <v>54720</v>
      </c>
      <c r="D316" s="4">
        <v>55018</v>
      </c>
      <c r="E316" s="4">
        <v>54672</v>
      </c>
      <c r="F316" s="4" t="str">
        <v>3.86K</v>
      </c>
      <c r="G316" s="4" t="str">
        <v>0.38%</v>
      </c>
      <c r="H316" s="3">
        <v>44924</v>
      </c>
      <c r="I316" s="4">
        <v>54845</v>
      </c>
    </row>
    <row r="317" spans="1:9" x14ac:dyDescent="0.25">
      <c r="A317" s="3">
        <v>44923</v>
      </c>
      <c r="B317" s="4">
        <v>54761</v>
      </c>
      <c r="C317" s="4">
        <v>54923</v>
      </c>
      <c r="D317" s="4">
        <v>54950</v>
      </c>
      <c r="E317" s="4">
        <v>54530</v>
      </c>
      <c r="F317" s="4" t="str">
        <v>4.12K</v>
      </c>
      <c r="G317" s="4" t="str">
        <v>-0.43%</v>
      </c>
      <c r="H317" s="3">
        <v>44923</v>
      </c>
      <c r="I317" s="4">
        <v>54740</v>
      </c>
    </row>
    <row r="318" spans="1:9" x14ac:dyDescent="0.25">
      <c r="A318" s="3">
        <v>44922</v>
      </c>
      <c r="B318" s="4">
        <v>54997</v>
      </c>
      <c r="C318" s="4">
        <v>54764</v>
      </c>
      <c r="D318" s="4">
        <v>55365</v>
      </c>
      <c r="E318" s="4">
        <v>54692</v>
      </c>
      <c r="F318" s="4" t="str">
        <v>5.26K</v>
      </c>
      <c r="G318" s="4" t="str">
        <v>0.59%</v>
      </c>
      <c r="H318" s="3">
        <v>44922</v>
      </c>
      <c r="I318" s="4">
        <v>55028.5</v>
      </c>
    </row>
    <row r="319" spans="1:9" x14ac:dyDescent="0.25">
      <c r="A319" s="3">
        <v>44921</v>
      </c>
      <c r="B319" s="4">
        <v>54677</v>
      </c>
      <c r="C319" s="4">
        <v>54525</v>
      </c>
      <c r="D319" s="4">
        <v>54748</v>
      </c>
      <c r="E319" s="4">
        <v>54520</v>
      </c>
      <c r="F319" s="4" t="str">
        <v>2.13K</v>
      </c>
      <c r="G319" s="4" t="str">
        <v>0.19%</v>
      </c>
      <c r="H319" s="3">
        <v>44921</v>
      </c>
      <c r="I319" s="4">
        <v>54634</v>
      </c>
    </row>
    <row r="320" spans="1:9" x14ac:dyDescent="0.25">
      <c r="A320" s="3">
        <v>44918</v>
      </c>
      <c r="B320" s="4">
        <v>54574</v>
      </c>
      <c r="C320" s="4">
        <v>54517</v>
      </c>
      <c r="D320" s="4">
        <v>54745</v>
      </c>
      <c r="E320" s="4">
        <v>54441</v>
      </c>
      <c r="F320" s="4" t="str">
        <v>3.38K</v>
      </c>
      <c r="G320" s="4" t="str">
        <v>0.10%</v>
      </c>
      <c r="H320" s="3">
        <v>44918</v>
      </c>
      <c r="I320" s="4">
        <v>54593</v>
      </c>
    </row>
    <row r="321" spans="1:9" x14ac:dyDescent="0.25">
      <c r="A321" s="3">
        <v>44917</v>
      </c>
      <c r="B321" s="4">
        <v>54521</v>
      </c>
      <c r="C321" s="4">
        <v>55069</v>
      </c>
      <c r="D321" s="4">
        <v>55117</v>
      </c>
      <c r="E321" s="4">
        <v>54445</v>
      </c>
      <c r="F321" s="4" t="str">
        <v>5.74K</v>
      </c>
      <c r="G321" s="4" t="str">
        <v>-1.00%</v>
      </c>
      <c r="H321" s="3">
        <v>44917</v>
      </c>
      <c r="I321" s="4">
        <v>54781</v>
      </c>
    </row>
    <row r="322" spans="1:9" x14ac:dyDescent="0.25">
      <c r="A322" s="3">
        <v>44916</v>
      </c>
      <c r="B322" s="4">
        <v>55071</v>
      </c>
      <c r="C322" s="4">
        <v>54900</v>
      </c>
      <c r="D322" s="4">
        <v>55220</v>
      </c>
      <c r="E322" s="4">
        <v>54863</v>
      </c>
      <c r="F322" s="4" t="str">
        <v>4.25K</v>
      </c>
      <c r="G322" s="4" t="str">
        <v>0.32%</v>
      </c>
      <c r="H322" s="3">
        <v>44916</v>
      </c>
      <c r="I322" s="4">
        <v>55041.5</v>
      </c>
    </row>
    <row r="323" spans="1:9" x14ac:dyDescent="0.25">
      <c r="A323" s="3">
        <v>44915</v>
      </c>
      <c r="B323" s="4">
        <v>54898</v>
      </c>
      <c r="C323" s="4">
        <v>54429</v>
      </c>
      <c r="D323" s="4">
        <v>54995</v>
      </c>
      <c r="E323" s="4">
        <v>54350</v>
      </c>
      <c r="F323" s="4" t="str">
        <v>8.12K</v>
      </c>
      <c r="G323" s="4" t="str">
        <v>1.18%</v>
      </c>
      <c r="H323" s="3">
        <v>44915</v>
      </c>
      <c r="I323" s="4">
        <v>54672.5</v>
      </c>
    </row>
    <row r="324" spans="1:9" x14ac:dyDescent="0.25">
      <c r="A324" s="3">
        <v>44914</v>
      </c>
      <c r="B324" s="4">
        <v>54260</v>
      </c>
      <c r="C324" s="4">
        <v>54354</v>
      </c>
      <c r="D324" s="4">
        <v>54490</v>
      </c>
      <c r="E324" s="4">
        <v>54182</v>
      </c>
      <c r="F324" s="4" t="str">
        <v>4.05K</v>
      </c>
      <c r="G324" s="4" t="str">
        <v>-0.07%</v>
      </c>
      <c r="H324" s="3">
        <v>44914</v>
      </c>
      <c r="I324" s="4">
        <v>54336</v>
      </c>
    </row>
    <row r="325" spans="1:9" x14ac:dyDescent="0.25">
      <c r="A325" s="3">
        <v>44911</v>
      </c>
      <c r="B325" s="4">
        <v>54300</v>
      </c>
      <c r="C325" s="4">
        <v>54157</v>
      </c>
      <c r="D325" s="4">
        <v>54414</v>
      </c>
      <c r="E325" s="4">
        <v>54005</v>
      </c>
      <c r="F325" s="4" t="str">
        <v>4.99K</v>
      </c>
      <c r="G325" s="4" t="str">
        <v>0.36%</v>
      </c>
      <c r="H325" s="3">
        <v>44911</v>
      </c>
      <c r="I325" s="4">
        <v>54209.5</v>
      </c>
    </row>
    <row r="326" spans="1:9" x14ac:dyDescent="0.25">
      <c r="A326" s="3">
        <v>44910</v>
      </c>
      <c r="B326" s="4">
        <v>54107</v>
      </c>
      <c r="C326" s="4">
        <v>54481</v>
      </c>
      <c r="D326" s="4">
        <v>54481</v>
      </c>
      <c r="E326" s="4">
        <v>53882</v>
      </c>
      <c r="F326" s="4" t="str">
        <v>6.78K</v>
      </c>
      <c r="G326" s="4" t="str">
        <v>-1.04%</v>
      </c>
      <c r="H326" s="3">
        <v>44910</v>
      </c>
      <c r="I326" s="4">
        <v>54181.5</v>
      </c>
    </row>
    <row r="327" spans="1:9" x14ac:dyDescent="0.25">
      <c r="A327" s="3">
        <v>44909</v>
      </c>
      <c r="B327" s="4">
        <v>54674</v>
      </c>
      <c r="C327" s="4">
        <v>54770</v>
      </c>
      <c r="D327" s="4">
        <v>54890</v>
      </c>
      <c r="E327" s="4">
        <v>54580</v>
      </c>
      <c r="F327" s="4" t="str">
        <v>3.85K</v>
      </c>
      <c r="G327" s="4" t="str">
        <v>-0.13%</v>
      </c>
      <c r="H327" s="3">
        <v>44909</v>
      </c>
      <c r="I327" s="4">
        <v>54735</v>
      </c>
    </row>
    <row r="328" spans="1:9" x14ac:dyDescent="0.25">
      <c r="A328" s="3">
        <v>44908</v>
      </c>
      <c r="B328" s="4">
        <v>54743</v>
      </c>
      <c r="C328" s="4">
        <v>54132</v>
      </c>
      <c r="D328" s="4">
        <v>55047</v>
      </c>
      <c r="E328" s="4">
        <v>54132</v>
      </c>
      <c r="F328" s="4" t="str">
        <v>6.17K</v>
      </c>
      <c r="G328" s="4" t="str">
        <v>1.13%</v>
      </c>
      <c r="H328" s="3">
        <v>44908</v>
      </c>
      <c r="I328" s="4">
        <v>54589.5</v>
      </c>
    </row>
    <row r="329" spans="1:9" x14ac:dyDescent="0.25">
      <c r="A329" s="3">
        <v>44907</v>
      </c>
      <c r="B329" s="4">
        <v>54132</v>
      </c>
      <c r="C329" s="4">
        <v>54109</v>
      </c>
      <c r="D329" s="4">
        <v>54294</v>
      </c>
      <c r="E329" s="4">
        <v>54061</v>
      </c>
      <c r="F329" s="4" t="str">
        <v>4.27K</v>
      </c>
      <c r="G329" s="4" t="str">
        <v>-0.30%</v>
      </c>
      <c r="H329" s="3">
        <v>44907</v>
      </c>
      <c r="I329" s="4">
        <v>54177.5</v>
      </c>
    </row>
    <row r="330" spans="1:9" x14ac:dyDescent="0.25">
      <c r="A330" s="3">
        <v>44904</v>
      </c>
      <c r="B330" s="4">
        <v>54295</v>
      </c>
      <c r="C330" s="4">
        <v>54262</v>
      </c>
      <c r="D330" s="4">
        <v>54400</v>
      </c>
      <c r="E330" s="4">
        <v>54030</v>
      </c>
      <c r="F330" s="4" t="str">
        <v>4.34K</v>
      </c>
      <c r="G330" s="4" t="str">
        <v>0.45%</v>
      </c>
      <c r="H330" s="3">
        <v>44904</v>
      </c>
      <c r="I330" s="4">
        <v>54215</v>
      </c>
    </row>
    <row r="331" spans="1:9" x14ac:dyDescent="0.25">
      <c r="A331" s="3">
        <v>44903</v>
      </c>
      <c r="B331" s="4">
        <v>54051</v>
      </c>
      <c r="C331" s="4">
        <v>53999</v>
      </c>
      <c r="D331" s="4">
        <v>54201</v>
      </c>
      <c r="E331" s="4">
        <v>53937</v>
      </c>
      <c r="F331" s="4" t="str">
        <v>3.48K</v>
      </c>
      <c r="G331" s="4" t="str">
        <v>0.12%</v>
      </c>
      <c r="H331" s="3">
        <v>44903</v>
      </c>
      <c r="I331" s="4">
        <v>54069</v>
      </c>
    </row>
    <row r="332" spans="1:9" x14ac:dyDescent="0.25">
      <c r="A332" s="3">
        <v>44902</v>
      </c>
      <c r="B332" s="4">
        <v>53987</v>
      </c>
      <c r="C332" s="4">
        <v>53810</v>
      </c>
      <c r="D332" s="4">
        <v>54033</v>
      </c>
      <c r="E332" s="4">
        <v>53701</v>
      </c>
      <c r="F332" s="4" t="str">
        <v>4.27K</v>
      </c>
      <c r="G332" s="4" t="str">
        <v>0.42%</v>
      </c>
      <c r="H332" s="3">
        <v>44902</v>
      </c>
      <c r="I332" s="4">
        <v>53867</v>
      </c>
    </row>
    <row r="333" spans="1:9" x14ac:dyDescent="0.25">
      <c r="A333" s="3">
        <v>44901</v>
      </c>
      <c r="B333" s="4">
        <v>53760</v>
      </c>
      <c r="C333" s="4">
        <v>53561</v>
      </c>
      <c r="D333" s="4">
        <v>53935</v>
      </c>
      <c r="E333" s="4">
        <v>53513</v>
      </c>
      <c r="F333" s="4" t="str">
        <v>4.66K</v>
      </c>
      <c r="G333" s="4" t="str">
        <v>0.36%</v>
      </c>
      <c r="H333" s="3">
        <v>44901</v>
      </c>
      <c r="I333" s="4">
        <v>53724</v>
      </c>
    </row>
    <row r="334" spans="1:9" x14ac:dyDescent="0.25">
      <c r="A334" s="3">
        <v>44900</v>
      </c>
      <c r="B334" s="4">
        <v>53566</v>
      </c>
      <c r="C334" s="4">
        <v>54348</v>
      </c>
      <c r="D334" s="4">
        <v>54348</v>
      </c>
      <c r="E334" s="4">
        <v>53217</v>
      </c>
      <c r="F334" s="4" t="str">
        <v>0.01K</v>
      </c>
      <c r="G334" s="4" t="str">
        <v>0.57%</v>
      </c>
      <c r="H334" s="3">
        <v>44900</v>
      </c>
      <c r="I334" s="4">
        <v>53782.5</v>
      </c>
    </row>
    <row r="335" spans="1:9" x14ac:dyDescent="0.25">
      <c r="A335" s="3">
        <v>44897</v>
      </c>
      <c r="B335" s="4">
        <v>53265</v>
      </c>
      <c r="C335" s="4">
        <v>53337</v>
      </c>
      <c r="D335" s="4">
        <v>53458</v>
      </c>
      <c r="E335" s="4">
        <v>53184</v>
      </c>
      <c r="F335" s="4" t="str">
        <v>0.02K</v>
      </c>
      <c r="G335" s="4" t="str">
        <v>0.05%</v>
      </c>
      <c r="H335" s="3">
        <v>44897</v>
      </c>
      <c r="I335" s="4">
        <v>53321</v>
      </c>
    </row>
    <row r="336" spans="1:9" x14ac:dyDescent="0.25">
      <c r="A336" s="3">
        <v>44896</v>
      </c>
      <c r="B336" s="4">
        <v>53238</v>
      </c>
      <c r="C336" s="4">
        <v>52838</v>
      </c>
      <c r="D336" s="4">
        <v>53462</v>
      </c>
      <c r="E336" s="4">
        <v>52819</v>
      </c>
      <c r="F336" s="4" t="str">
        <v>0.05K</v>
      </c>
      <c r="G336" s="4" t="str">
        <v>1.44%</v>
      </c>
      <c r="H336" s="3">
        <v>44896</v>
      </c>
      <c r="I336" s="4">
        <v>53140.5</v>
      </c>
    </row>
    <row r="337" spans="1:9" x14ac:dyDescent="0.25">
      <c r="A337" s="3">
        <v>44895</v>
      </c>
      <c r="B337" s="4">
        <v>52480</v>
      </c>
      <c r="C337" s="4">
        <v>52509</v>
      </c>
      <c r="D337" s="4">
        <v>52710</v>
      </c>
      <c r="E337" s="4">
        <v>52380</v>
      </c>
      <c r="F337" s="4" t="str">
        <v>0.16K</v>
      </c>
      <c r="G337" s="4" t="str">
        <v>0.33%</v>
      </c>
      <c r="H337" s="3">
        <v>44895</v>
      </c>
      <c r="I337" s="4">
        <v>52545</v>
      </c>
    </row>
    <row r="338" spans="1:9" x14ac:dyDescent="0.25">
      <c r="A338" s="3">
        <v>44894</v>
      </c>
      <c r="B338" s="4">
        <v>52308</v>
      </c>
      <c r="C338" s="4">
        <v>52247</v>
      </c>
      <c r="D338" s="4">
        <v>52595</v>
      </c>
      <c r="E338" s="4">
        <v>52247</v>
      </c>
      <c r="F338" s="4" t="str">
        <v>1.17K</v>
      </c>
      <c r="G338" s="4" t="str">
        <v>0.26%</v>
      </c>
      <c r="H338" s="3">
        <v>44894</v>
      </c>
      <c r="I338" s="4">
        <v>52421</v>
      </c>
    </row>
    <row r="339" spans="1:9" x14ac:dyDescent="0.25">
      <c r="A339" s="3">
        <v>44893</v>
      </c>
      <c r="B339" s="4">
        <v>52173</v>
      </c>
      <c r="C339" s="4">
        <v>52421</v>
      </c>
      <c r="D339" s="4">
        <v>52696</v>
      </c>
      <c r="E339" s="4">
        <v>52141</v>
      </c>
      <c r="F339" s="4" t="str">
        <v>5.12K</v>
      </c>
      <c r="G339" s="4" t="str">
        <v>-0.71%</v>
      </c>
      <c r="H339" s="3">
        <v>44893</v>
      </c>
      <c r="I339" s="4">
        <v>52418.5</v>
      </c>
    </row>
    <row r="340" spans="1:9" x14ac:dyDescent="0.25">
      <c r="A340" s="3">
        <v>44890</v>
      </c>
      <c r="B340" s="4">
        <v>52544</v>
      </c>
      <c r="C340" s="4">
        <v>52665</v>
      </c>
      <c r="D340" s="4">
        <v>52750</v>
      </c>
      <c r="E340" s="4">
        <v>52405</v>
      </c>
      <c r="F340" s="4" t="str">
        <v>4.17K</v>
      </c>
      <c r="G340" s="4" t="str">
        <v>-0.24%</v>
      </c>
      <c r="H340" s="3">
        <v>44890</v>
      </c>
      <c r="I340" s="4">
        <v>52577.5</v>
      </c>
    </row>
    <row r="341" spans="1:9" x14ac:dyDescent="0.25">
      <c r="A341" s="3">
        <v>44889</v>
      </c>
      <c r="B341" s="4">
        <v>52671</v>
      </c>
      <c r="C341" s="4">
        <v>52500</v>
      </c>
      <c r="D341" s="4">
        <v>52748</v>
      </c>
      <c r="E341" s="4">
        <v>52500</v>
      </c>
      <c r="F341" s="4" t="str">
        <v>3.25K</v>
      </c>
      <c r="G341" s="4" t="str">
        <v>0.42%</v>
      </c>
      <c r="H341" s="3">
        <v>44889</v>
      </c>
      <c r="I341" s="4">
        <v>52624</v>
      </c>
    </row>
    <row r="342" spans="1:9" x14ac:dyDescent="0.25">
      <c r="A342" s="3">
        <v>44888</v>
      </c>
      <c r="B342" s="4">
        <v>52451</v>
      </c>
      <c r="C342" s="4">
        <v>52349</v>
      </c>
      <c r="D342" s="4">
        <v>52475</v>
      </c>
      <c r="E342" s="4">
        <v>52068</v>
      </c>
      <c r="F342" s="4" t="str">
        <v>5.00K</v>
      </c>
      <c r="G342" s="4" t="str">
        <v>0.31%</v>
      </c>
      <c r="H342" s="3">
        <v>44888</v>
      </c>
      <c r="I342" s="4">
        <v>52271.5</v>
      </c>
    </row>
    <row r="343" spans="1:9" x14ac:dyDescent="0.25">
      <c r="A343" s="3">
        <v>44887</v>
      </c>
      <c r="B343" s="4">
        <v>52289</v>
      </c>
      <c r="C343" s="4">
        <v>52475</v>
      </c>
      <c r="D343" s="4">
        <v>52495</v>
      </c>
      <c r="E343" s="4">
        <v>52237</v>
      </c>
      <c r="F343" s="4" t="str">
        <v>4.46K</v>
      </c>
      <c r="G343" s="4" t="str">
        <v>-0.01%</v>
      </c>
      <c r="H343" s="3">
        <v>44887</v>
      </c>
      <c r="I343" s="4">
        <v>52366</v>
      </c>
    </row>
    <row r="344" spans="1:9" x14ac:dyDescent="0.25">
      <c r="A344" s="3">
        <v>44886</v>
      </c>
      <c r="B344" s="4">
        <v>52292</v>
      </c>
      <c r="C344" s="4">
        <v>52508</v>
      </c>
      <c r="D344" s="4">
        <v>52590</v>
      </c>
      <c r="E344" s="4">
        <v>52136</v>
      </c>
      <c r="F344" s="4" t="str">
        <v>5.40K</v>
      </c>
      <c r="G344" s="4" t="str">
        <v>-0.56%</v>
      </c>
      <c r="H344" s="3">
        <v>44886</v>
      </c>
      <c r="I344" s="4">
        <v>52363</v>
      </c>
    </row>
    <row r="345" spans="1:9" x14ac:dyDescent="0.25">
      <c r="A345" s="3">
        <v>44883</v>
      </c>
      <c r="B345" s="4">
        <v>52588</v>
      </c>
      <c r="C345" s="4">
        <v>52843</v>
      </c>
      <c r="D345" s="4">
        <v>52990</v>
      </c>
      <c r="E345" s="4">
        <v>52547</v>
      </c>
      <c r="F345" s="4" t="str">
        <v>4.83K</v>
      </c>
      <c r="G345" s="4" t="str">
        <v>-0.48%</v>
      </c>
      <c r="H345" s="3">
        <v>44883</v>
      </c>
      <c r="I345" s="4">
        <v>52768.5</v>
      </c>
    </row>
    <row r="346" spans="1:9" x14ac:dyDescent="0.25">
      <c r="A346" s="3">
        <v>44882</v>
      </c>
      <c r="B346" s="4">
        <v>52843</v>
      </c>
      <c r="C346" s="4">
        <v>52950</v>
      </c>
      <c r="D346" s="4">
        <v>52993</v>
      </c>
      <c r="E346" s="4">
        <v>52777</v>
      </c>
      <c r="F346" s="4" t="str">
        <v>5.38K</v>
      </c>
      <c r="G346" s="4" t="str">
        <v>-0.41%</v>
      </c>
      <c r="H346" s="3">
        <v>44882</v>
      </c>
      <c r="I346" s="4">
        <v>52885</v>
      </c>
    </row>
    <row r="347" spans="1:9" x14ac:dyDescent="0.25">
      <c r="A347" s="3">
        <v>44881</v>
      </c>
      <c r="B347" s="4">
        <v>53062</v>
      </c>
      <c r="C347" s="4">
        <v>52992</v>
      </c>
      <c r="D347" s="4">
        <v>53200</v>
      </c>
      <c r="E347" s="4">
        <v>52942</v>
      </c>
      <c r="F347" s="4" t="str">
        <v>5.88K</v>
      </c>
      <c r="G347" s="4" t="str">
        <v>0.60%</v>
      </c>
      <c r="H347" s="3">
        <v>44881</v>
      </c>
      <c r="I347" s="4">
        <v>53071</v>
      </c>
    </row>
    <row r="348" spans="1:9" x14ac:dyDescent="0.25">
      <c r="A348" s="3">
        <v>44880</v>
      </c>
      <c r="B348" s="4">
        <v>52745</v>
      </c>
      <c r="C348" s="4">
        <v>52743</v>
      </c>
      <c r="D348" s="4">
        <v>53051</v>
      </c>
      <c r="E348" s="4">
        <v>52675</v>
      </c>
      <c r="F348" s="4" t="str">
        <v>6.59K</v>
      </c>
      <c r="G348" s="4" t="str">
        <v>0.05%</v>
      </c>
      <c r="H348" s="3">
        <v>44880</v>
      </c>
      <c r="I348" s="4">
        <v>52863</v>
      </c>
    </row>
    <row r="349" spans="1:9" x14ac:dyDescent="0.25">
      <c r="A349" s="3">
        <v>44879</v>
      </c>
      <c r="B349" s="4">
        <v>52718</v>
      </c>
      <c r="C349" s="4">
        <v>52318</v>
      </c>
      <c r="D349" s="4">
        <v>52786</v>
      </c>
      <c r="E349" s="4">
        <v>52300</v>
      </c>
      <c r="F349" s="4" t="str">
        <v>5.64K</v>
      </c>
      <c r="G349" s="4" t="str">
        <v>0.73%</v>
      </c>
      <c r="H349" s="3">
        <v>44879</v>
      </c>
      <c r="I349" s="4">
        <v>52543</v>
      </c>
    </row>
    <row r="350" spans="1:9" x14ac:dyDescent="0.25">
      <c r="A350" s="3">
        <v>44876</v>
      </c>
      <c r="B350" s="4">
        <v>52334</v>
      </c>
      <c r="C350" s="4">
        <v>52050</v>
      </c>
      <c r="D350" s="4">
        <v>52534</v>
      </c>
      <c r="E350" s="4">
        <v>52050</v>
      </c>
      <c r="F350" s="4" t="str">
        <v>6.16K</v>
      </c>
      <c r="G350" s="4" t="str">
        <v>0.43%</v>
      </c>
      <c r="H350" s="3">
        <v>44876</v>
      </c>
      <c r="I350" s="4">
        <v>52292</v>
      </c>
    </row>
    <row r="351" spans="1:9" x14ac:dyDescent="0.25">
      <c r="A351" s="3">
        <v>44875</v>
      </c>
      <c r="B351" s="4">
        <v>52109</v>
      </c>
      <c r="C351" s="4">
        <v>51541</v>
      </c>
      <c r="D351" s="4">
        <v>52210</v>
      </c>
      <c r="E351" s="4">
        <v>51481</v>
      </c>
      <c r="F351" s="4" t="str">
        <v>7.83K</v>
      </c>
      <c r="G351" s="4" t="str">
        <v>1.17%</v>
      </c>
      <c r="H351" s="3">
        <v>44875</v>
      </c>
      <c r="I351" s="4">
        <v>51845.5</v>
      </c>
    </row>
    <row r="352" spans="1:9" x14ac:dyDescent="0.25">
      <c r="A352" s="3">
        <v>44874</v>
      </c>
      <c r="B352" s="4">
        <v>51506</v>
      </c>
      <c r="C352" s="4">
        <v>51450</v>
      </c>
      <c r="D352" s="4">
        <v>51725</v>
      </c>
      <c r="E352" s="4">
        <v>51315</v>
      </c>
      <c r="F352" s="4" t="str">
        <v>6.33K</v>
      </c>
      <c r="G352" s="4" t="str">
        <v>-0.24%</v>
      </c>
      <c r="H352" s="3">
        <v>44874</v>
      </c>
      <c r="I352" s="4">
        <v>51520</v>
      </c>
    </row>
    <row r="353" spans="1:9" x14ac:dyDescent="0.25">
      <c r="A353" s="3">
        <v>44873</v>
      </c>
      <c r="B353" s="4">
        <v>51630</v>
      </c>
      <c r="C353" s="4">
        <v>50710</v>
      </c>
      <c r="D353" s="4">
        <v>51685</v>
      </c>
      <c r="E353" s="4">
        <v>50606</v>
      </c>
      <c r="F353" s="4" t="str">
        <v>7.16K</v>
      </c>
      <c r="G353" s="4" t="str">
        <v>1.38%</v>
      </c>
      <c r="H353" s="3">
        <v>44873</v>
      </c>
      <c r="I353" s="4">
        <v>51145.5</v>
      </c>
    </row>
    <row r="354" spans="1:9" x14ac:dyDescent="0.25">
      <c r="A354" s="3">
        <v>44872</v>
      </c>
      <c r="B354" s="4">
        <v>50927</v>
      </c>
      <c r="C354" s="4">
        <v>50862</v>
      </c>
      <c r="D354" s="4">
        <v>51060</v>
      </c>
      <c r="E354" s="4">
        <v>50831</v>
      </c>
      <c r="F354" s="4" t="str">
        <v>4.57K</v>
      </c>
      <c r="G354" s="4" t="str">
        <v>0.12%</v>
      </c>
      <c r="H354" s="3">
        <v>44872</v>
      </c>
      <c r="I354" s="4">
        <v>50945.5</v>
      </c>
    </row>
    <row r="355" spans="1:9" x14ac:dyDescent="0.25">
      <c r="A355" s="3">
        <v>44869</v>
      </c>
      <c r="B355" s="4">
        <v>50866</v>
      </c>
      <c r="C355" s="4">
        <v>50350</v>
      </c>
      <c r="D355" s="4">
        <v>50900</v>
      </c>
      <c r="E355" s="4">
        <v>50310</v>
      </c>
      <c r="F355" s="4" t="str">
        <v>9.95K</v>
      </c>
      <c r="G355" s="4" t="str">
        <v>1.36%</v>
      </c>
      <c r="H355" s="3">
        <v>44869</v>
      </c>
      <c r="I355" s="4">
        <v>50605</v>
      </c>
    </row>
    <row r="356" spans="1:9" x14ac:dyDescent="0.25">
      <c r="A356" s="3">
        <v>44868</v>
      </c>
      <c r="B356" s="4">
        <v>50184</v>
      </c>
      <c r="C356" s="4">
        <v>50500</v>
      </c>
      <c r="D356" s="4">
        <v>50500</v>
      </c>
      <c r="E356" s="4">
        <v>50000</v>
      </c>
      <c r="F356" s="4" t="str">
        <v>10.45K</v>
      </c>
      <c r="G356" s="4" t="str">
        <v>-0.83%</v>
      </c>
      <c r="H356" s="3">
        <v>44868</v>
      </c>
      <c r="I356" s="4">
        <v>50250</v>
      </c>
    </row>
    <row r="357" spans="1:9" x14ac:dyDescent="0.25">
      <c r="A357" s="3">
        <v>44867</v>
      </c>
      <c r="B357" s="4">
        <v>50606</v>
      </c>
      <c r="C357" s="4">
        <v>50560</v>
      </c>
      <c r="D357" s="4">
        <v>50833</v>
      </c>
      <c r="E357" s="4">
        <v>50535</v>
      </c>
      <c r="F357" s="4" t="str">
        <v>5.83K</v>
      </c>
      <c r="G357" s="4" t="str">
        <v>0.21%</v>
      </c>
      <c r="H357" s="3">
        <v>44867</v>
      </c>
      <c r="I357" s="4">
        <v>50684</v>
      </c>
    </row>
    <row r="358" spans="1:9" x14ac:dyDescent="0.25">
      <c r="A358" s="3">
        <v>44866</v>
      </c>
      <c r="B358" s="4">
        <v>50502</v>
      </c>
      <c r="C358" s="4">
        <v>50351</v>
      </c>
      <c r="D358" s="4">
        <v>50698</v>
      </c>
      <c r="E358" s="4">
        <v>50277</v>
      </c>
      <c r="F358" s="4" t="str">
        <v>7.22K</v>
      </c>
      <c r="G358" s="4" t="str">
        <v>0.36%</v>
      </c>
      <c r="H358" s="3">
        <v>44866</v>
      </c>
      <c r="I358" s="4">
        <v>50487.5</v>
      </c>
    </row>
    <row r="359" spans="1:9" x14ac:dyDescent="0.25">
      <c r="A359" s="3">
        <v>44865</v>
      </c>
      <c r="B359" s="4">
        <v>50322</v>
      </c>
      <c r="C359" s="4">
        <v>50266</v>
      </c>
      <c r="D359" s="4">
        <v>50447</v>
      </c>
      <c r="E359" s="4">
        <v>50161</v>
      </c>
      <c r="F359" s="4" t="str">
        <v>4.80K</v>
      </c>
      <c r="G359" s="4" t="str">
        <v>0.18%</v>
      </c>
      <c r="H359" s="3">
        <v>44865</v>
      </c>
      <c r="I359" s="4">
        <v>50304</v>
      </c>
    </row>
    <row r="360" spans="1:9" x14ac:dyDescent="0.25">
      <c r="A360" s="3">
        <v>44862</v>
      </c>
      <c r="B360" s="4">
        <v>50230</v>
      </c>
      <c r="C360" s="4">
        <v>50765</v>
      </c>
      <c r="D360" s="4">
        <v>50795</v>
      </c>
      <c r="E360" s="4">
        <v>50165</v>
      </c>
      <c r="F360" s="4" t="str">
        <v>7.89K</v>
      </c>
      <c r="G360" s="4" t="str">
        <v>-1.00%</v>
      </c>
      <c r="H360" s="3">
        <v>44862</v>
      </c>
      <c r="I360" s="4">
        <v>50480</v>
      </c>
    </row>
    <row r="361" spans="1:9" x14ac:dyDescent="0.25">
      <c r="A361" s="3">
        <v>44861</v>
      </c>
      <c r="B361" s="4">
        <v>50737</v>
      </c>
      <c r="C361" s="4">
        <v>50715</v>
      </c>
      <c r="D361" s="4">
        <v>50875</v>
      </c>
      <c r="E361" s="4">
        <v>50576</v>
      </c>
      <c r="F361" s="4" t="str">
        <v>6.28K</v>
      </c>
      <c r="G361" s="4" t="str">
        <v>0.10%</v>
      </c>
      <c r="H361" s="3">
        <v>44861</v>
      </c>
      <c r="I361" s="4">
        <v>50725.5</v>
      </c>
    </row>
    <row r="362" spans="1:9" x14ac:dyDescent="0.25">
      <c r="A362" s="3">
        <v>44860</v>
      </c>
      <c r="B362" s="4">
        <v>50687</v>
      </c>
      <c r="C362" s="4">
        <v>50867</v>
      </c>
      <c r="D362" s="4">
        <v>50867</v>
      </c>
      <c r="E362" s="4">
        <v>50610</v>
      </c>
      <c r="F362" s="4" t="str">
        <v>2.24K</v>
      </c>
      <c r="G362" s="4" t="str">
        <v>0.11%</v>
      </c>
      <c r="H362" s="3">
        <v>44860</v>
      </c>
      <c r="I362" s="4">
        <v>50738.5</v>
      </c>
    </row>
    <row r="363" spans="1:9" x14ac:dyDescent="0.25">
      <c r="A363" s="3">
        <v>44859</v>
      </c>
      <c r="B363" s="4">
        <v>50633</v>
      </c>
      <c r="C363" s="4">
        <v>50530</v>
      </c>
      <c r="D363" s="4">
        <v>50816</v>
      </c>
      <c r="E363" s="4">
        <v>50336</v>
      </c>
      <c r="F363" s="4" t="str">
        <v>4.96K</v>
      </c>
      <c r="G363" s="4" t="str">
        <v>0.10%</v>
      </c>
      <c r="H363" s="3">
        <v>44859</v>
      </c>
      <c r="I363" s="4">
        <v>50576</v>
      </c>
    </row>
    <row r="364" spans="1:9" x14ac:dyDescent="0.25">
      <c r="A364" s="3">
        <v>44858</v>
      </c>
      <c r="B364" s="4">
        <v>50580</v>
      </c>
      <c r="C364" s="4">
        <v>50700</v>
      </c>
      <c r="D364" s="4">
        <v>50700</v>
      </c>
      <c r="E364" s="4">
        <v>50517</v>
      </c>
      <c r="F364" s="4" t="str">
        <v>1.04K</v>
      </c>
      <c r="G364" s="4" t="str">
        <v>-0.09%</v>
      </c>
      <c r="H364" s="3">
        <v>44858</v>
      </c>
      <c r="I364" s="4">
        <v>50608.5</v>
      </c>
    </row>
    <row r="365" spans="1:9" x14ac:dyDescent="0.25">
      <c r="A365" s="3">
        <v>44855</v>
      </c>
      <c r="B365" s="4">
        <v>50626</v>
      </c>
      <c r="C365" s="4">
        <v>50069</v>
      </c>
      <c r="D365" s="4">
        <v>50649</v>
      </c>
      <c r="E365" s="4">
        <v>49808</v>
      </c>
      <c r="F365" s="4" t="str">
        <v>12.24K</v>
      </c>
      <c r="G365" s="4" t="str">
        <v>0.96%</v>
      </c>
      <c r="H365" s="3">
        <v>44855</v>
      </c>
      <c r="I365" s="4">
        <v>50228.5</v>
      </c>
    </row>
    <row r="366" spans="1:9" x14ac:dyDescent="0.25">
      <c r="A366" s="3">
        <v>44854</v>
      </c>
      <c r="B366" s="4">
        <v>50143</v>
      </c>
      <c r="C366" s="4">
        <v>50100</v>
      </c>
      <c r="D366" s="4">
        <v>50410</v>
      </c>
      <c r="E366" s="4">
        <v>50065</v>
      </c>
      <c r="F366" s="4" t="str">
        <v>7.14K</v>
      </c>
      <c r="G366" s="4" t="str">
        <v>-0.11%</v>
      </c>
      <c r="H366" s="3">
        <v>44854</v>
      </c>
      <c r="I366" s="4">
        <v>50237.5</v>
      </c>
    </row>
    <row r="367" spans="1:9" x14ac:dyDescent="0.25">
      <c r="A367" s="3">
        <v>44853</v>
      </c>
      <c r="B367" s="4">
        <v>50199</v>
      </c>
      <c r="C367" s="4">
        <v>50397</v>
      </c>
      <c r="D367" s="4">
        <v>50480</v>
      </c>
      <c r="E367" s="4">
        <v>50069</v>
      </c>
      <c r="F367" s="4" t="str">
        <v>7.78K</v>
      </c>
      <c r="G367" s="4" t="str">
        <v>-0.43%</v>
      </c>
      <c r="H367" s="3">
        <v>44853</v>
      </c>
      <c r="I367" s="4">
        <v>50274.5</v>
      </c>
    </row>
    <row r="368" spans="1:9" x14ac:dyDescent="0.25">
      <c r="A368" s="3">
        <v>44852</v>
      </c>
      <c r="B368" s="4">
        <v>50414</v>
      </c>
      <c r="C368" s="4">
        <v>50364</v>
      </c>
      <c r="D368" s="4">
        <v>50545</v>
      </c>
      <c r="E368" s="4">
        <v>50310</v>
      </c>
      <c r="F368" s="4" t="str">
        <v>6.46K</v>
      </c>
      <c r="G368" s="4" t="str">
        <v>-0.12%</v>
      </c>
      <c r="H368" s="3">
        <v>44852</v>
      </c>
      <c r="I368" s="4">
        <v>50427.5</v>
      </c>
    </row>
    <row r="369" spans="1:9" x14ac:dyDescent="0.25">
      <c r="A369" s="3">
        <v>44851</v>
      </c>
      <c r="B369" s="4">
        <v>50473</v>
      </c>
      <c r="C369" s="4">
        <v>50382</v>
      </c>
      <c r="D369" s="4">
        <v>50747</v>
      </c>
      <c r="E369" s="4">
        <v>50334</v>
      </c>
      <c r="F369" s="4" t="str">
        <v>6.90K</v>
      </c>
      <c r="G369" s="4" t="str">
        <v>0.42%</v>
      </c>
      <c r="H369" s="3">
        <v>44851</v>
      </c>
      <c r="I369" s="4">
        <v>50540.5</v>
      </c>
    </row>
    <row r="370" spans="1:9" x14ac:dyDescent="0.25">
      <c r="A370" s="3">
        <v>44848</v>
      </c>
      <c r="B370" s="4">
        <v>50260</v>
      </c>
      <c r="C370" s="4">
        <v>50794</v>
      </c>
      <c r="D370" s="4">
        <v>50974</v>
      </c>
      <c r="E370" s="4">
        <v>50174</v>
      </c>
      <c r="F370" s="4" t="str">
        <v>10.51K</v>
      </c>
      <c r="G370" s="4" t="str">
        <v>-1.23%</v>
      </c>
      <c r="H370" s="3">
        <v>44848</v>
      </c>
      <c r="I370" s="4">
        <v>50574</v>
      </c>
    </row>
    <row r="371" spans="1:9" x14ac:dyDescent="0.25">
      <c r="A371" s="3">
        <v>44847</v>
      </c>
      <c r="B371" s="4">
        <v>50884</v>
      </c>
      <c r="C371" s="4">
        <v>50891</v>
      </c>
      <c r="D371" s="4">
        <v>51160</v>
      </c>
      <c r="E371" s="4">
        <v>50400</v>
      </c>
      <c r="F371" s="4" t="str">
        <v>11.08K</v>
      </c>
      <c r="G371" s="4" t="str">
        <v>-0.04%</v>
      </c>
      <c r="H371" s="3">
        <v>44847</v>
      </c>
      <c r="I371" s="4">
        <v>50780</v>
      </c>
    </row>
    <row r="372" spans="1:9" x14ac:dyDescent="0.25">
      <c r="A372" s="3">
        <v>44846</v>
      </c>
      <c r="B372" s="4">
        <v>50905</v>
      </c>
      <c r="C372" s="4">
        <v>50814</v>
      </c>
      <c r="D372" s="4">
        <v>51049</v>
      </c>
      <c r="E372" s="4">
        <v>50762</v>
      </c>
      <c r="F372" s="4" t="str">
        <v>6.02K</v>
      </c>
      <c r="G372" s="4" t="str">
        <v>-0.37%</v>
      </c>
      <c r="H372" s="3">
        <v>44846</v>
      </c>
      <c r="I372" s="4">
        <v>50905.5</v>
      </c>
    </row>
    <row r="373" spans="1:9" x14ac:dyDescent="0.25">
      <c r="A373" s="3">
        <v>44845</v>
      </c>
      <c r="B373" s="4">
        <v>51096</v>
      </c>
      <c r="C373" s="4">
        <v>50915</v>
      </c>
      <c r="D373" s="4">
        <v>51218</v>
      </c>
      <c r="E373" s="4">
        <v>50710</v>
      </c>
      <c r="F373" s="4" t="str">
        <v>7.87K</v>
      </c>
      <c r="G373" s="4" t="str">
        <v>0.14%</v>
      </c>
      <c r="H373" s="3">
        <v>44845</v>
      </c>
      <c r="I373" s="4">
        <v>50964</v>
      </c>
    </row>
    <row r="374" spans="1:9" x14ac:dyDescent="0.25">
      <c r="A374" s="3">
        <v>44844</v>
      </c>
      <c r="B374" s="4">
        <v>51023</v>
      </c>
      <c r="C374" s="4">
        <v>51685</v>
      </c>
      <c r="D374" s="4">
        <v>51685</v>
      </c>
      <c r="E374" s="4">
        <v>50901</v>
      </c>
      <c r="F374" s="4" t="str">
        <v>10.82K</v>
      </c>
      <c r="G374" s="4" t="str">
        <v>-1.80%</v>
      </c>
      <c r="H374" s="3">
        <v>44844</v>
      </c>
      <c r="I374" s="4">
        <v>51293</v>
      </c>
    </row>
    <row r="375" spans="1:9" x14ac:dyDescent="0.25">
      <c r="A375" s="3">
        <v>44841</v>
      </c>
      <c r="B375" s="4">
        <v>51960</v>
      </c>
      <c r="C375" s="4">
        <v>51904</v>
      </c>
      <c r="D375" s="4">
        <v>52120</v>
      </c>
      <c r="E375" s="4">
        <v>51637</v>
      </c>
      <c r="F375" s="4" t="str">
        <v>7.68K</v>
      </c>
      <c r="G375" s="4" t="str">
        <v>-0.02%</v>
      </c>
      <c r="H375" s="3">
        <v>44841</v>
      </c>
      <c r="I375" s="4">
        <v>51878.5</v>
      </c>
    </row>
    <row r="376" spans="1:9" x14ac:dyDescent="0.25">
      <c r="A376" s="3">
        <v>44840</v>
      </c>
      <c r="B376" s="4">
        <v>51972</v>
      </c>
      <c r="C376" s="4">
        <v>51836</v>
      </c>
      <c r="D376" s="4">
        <v>52093</v>
      </c>
      <c r="E376" s="4">
        <v>51790</v>
      </c>
      <c r="F376" s="4" t="str">
        <v>7.45K</v>
      </c>
      <c r="G376" s="4" t="str">
        <v>0.54%</v>
      </c>
      <c r="H376" s="3">
        <v>44840</v>
      </c>
      <c r="I376" s="4">
        <v>51941.5</v>
      </c>
    </row>
    <row r="377" spans="1:9" x14ac:dyDescent="0.25">
      <c r="A377" s="3">
        <v>44839</v>
      </c>
      <c r="B377" s="4">
        <v>51692</v>
      </c>
      <c r="C377" s="4">
        <v>51692</v>
      </c>
      <c r="D377" s="4">
        <v>51692</v>
      </c>
      <c r="E377" s="4">
        <v>51692</v>
      </c>
      <c r="F377" s="4" t="str">
        <v>0</v>
      </c>
      <c r="G377" s="4" t="str">
        <v>1.22%</v>
      </c>
      <c r="H377" s="3">
        <v>44839</v>
      </c>
      <c r="I377" s="4">
        <v>51692</v>
      </c>
    </row>
    <row r="378" spans="1:9" x14ac:dyDescent="0.25">
      <c r="A378" s="3">
        <v>44838</v>
      </c>
      <c r="B378" s="4">
        <v>51070</v>
      </c>
      <c r="C378" s="4">
        <v>51000</v>
      </c>
      <c r="D378" s="4">
        <v>51480</v>
      </c>
      <c r="E378" s="4">
        <v>50800</v>
      </c>
      <c r="F378" s="4" t="str">
        <v>0.01K</v>
      </c>
      <c r="G378" s="4" t="str">
        <v>1.80%</v>
      </c>
      <c r="H378" s="3">
        <v>44838</v>
      </c>
      <c r="I378" s="4">
        <v>51140</v>
      </c>
    </row>
    <row r="379" spans="1:9" x14ac:dyDescent="0.25">
      <c r="A379" s="3">
        <v>44837</v>
      </c>
      <c r="B379" s="4">
        <v>50165</v>
      </c>
      <c r="C379" s="4">
        <v>50250</v>
      </c>
      <c r="D379" s="4">
        <v>50250</v>
      </c>
      <c r="E379" s="4">
        <v>50130</v>
      </c>
      <c r="F379" s="4" t="str">
        <v>0.01K</v>
      </c>
      <c r="G379" s="4" t="str">
        <v>0.14%</v>
      </c>
      <c r="H379" s="3">
        <v>44837</v>
      </c>
      <c r="I379" s="4">
        <v>50190</v>
      </c>
    </row>
    <row r="380" spans="1:9" x14ac:dyDescent="0.25">
      <c r="A380" s="3">
        <v>44834</v>
      </c>
      <c r="B380" s="4">
        <v>50094</v>
      </c>
      <c r="C380" s="4">
        <v>49971</v>
      </c>
      <c r="D380" s="4">
        <v>50689</v>
      </c>
      <c r="E380" s="4">
        <v>49935</v>
      </c>
      <c r="F380" s="4" t="str">
        <v>0.12K</v>
      </c>
      <c r="G380" s="4" t="str">
        <v>0.20%</v>
      </c>
      <c r="H380" s="3">
        <v>44834</v>
      </c>
      <c r="I380" s="4">
        <v>50312</v>
      </c>
    </row>
    <row r="381" spans="1:9" x14ac:dyDescent="0.25">
      <c r="A381" s="3">
        <v>44833</v>
      </c>
      <c r="B381" s="4">
        <v>49994</v>
      </c>
      <c r="C381" s="4">
        <v>49650</v>
      </c>
      <c r="D381" s="4">
        <v>50130</v>
      </c>
      <c r="E381" s="4">
        <v>49650</v>
      </c>
      <c r="F381" s="4" t="str">
        <v>0.62K</v>
      </c>
      <c r="G381" s="4" t="str">
        <v>0.49%</v>
      </c>
      <c r="H381" s="3">
        <v>44833</v>
      </c>
      <c r="I381" s="4">
        <v>49890</v>
      </c>
    </row>
    <row r="382" spans="1:9" x14ac:dyDescent="0.25">
      <c r="A382" s="3">
        <v>44832</v>
      </c>
      <c r="B382" s="4">
        <v>49750</v>
      </c>
      <c r="C382" s="4">
        <v>49160</v>
      </c>
      <c r="D382" s="4">
        <v>49890</v>
      </c>
      <c r="E382" s="4">
        <v>48980</v>
      </c>
      <c r="F382" s="4" t="str">
        <v>4.72K</v>
      </c>
      <c r="G382" s="4" t="str">
        <v>0.87%</v>
      </c>
      <c r="H382" s="3">
        <v>44832</v>
      </c>
      <c r="I382" s="4">
        <v>49435</v>
      </c>
    </row>
    <row r="383" spans="1:9" x14ac:dyDescent="0.25">
      <c r="A383" s="3">
        <v>44831</v>
      </c>
      <c r="B383" s="4">
        <v>49319</v>
      </c>
      <c r="C383" s="4">
        <v>49190</v>
      </c>
      <c r="D383" s="4">
        <v>49499</v>
      </c>
      <c r="E383" s="4">
        <v>49082</v>
      </c>
      <c r="F383" s="4" t="str">
        <v>7.05K</v>
      </c>
      <c r="G383" s="4" t="str">
        <v>0.34%</v>
      </c>
      <c r="H383" s="3">
        <v>44831</v>
      </c>
      <c r="I383" s="4">
        <v>49290.5</v>
      </c>
    </row>
    <row r="384" spans="1:9" x14ac:dyDescent="0.25">
      <c r="A384" s="3">
        <v>44830</v>
      </c>
      <c r="B384" s="4">
        <v>49150</v>
      </c>
      <c r="C384" s="4">
        <v>49350</v>
      </c>
      <c r="D384" s="4">
        <v>49688</v>
      </c>
      <c r="E384" s="4">
        <v>49105</v>
      </c>
      <c r="F384" s="4" t="str">
        <v>7.10K</v>
      </c>
      <c r="G384" s="4" t="str">
        <v>-0.51%</v>
      </c>
      <c r="H384" s="3">
        <v>44830</v>
      </c>
      <c r="I384" s="4">
        <v>49396.5</v>
      </c>
    </row>
    <row r="385" spans="1:9" x14ac:dyDescent="0.25">
      <c r="A385" s="3">
        <v>44827</v>
      </c>
      <c r="B385" s="4">
        <v>49401</v>
      </c>
      <c r="C385" s="4">
        <v>50005</v>
      </c>
      <c r="D385" s="4">
        <v>50057</v>
      </c>
      <c r="E385" s="4">
        <v>49250</v>
      </c>
      <c r="F385" s="4" t="str">
        <v>8.07K</v>
      </c>
      <c r="G385" s="4" t="str">
        <v>-1.20%</v>
      </c>
      <c r="H385" s="3">
        <v>44827</v>
      </c>
      <c r="I385" s="4">
        <v>49653.5</v>
      </c>
    </row>
    <row r="386" spans="1:9" x14ac:dyDescent="0.25">
      <c r="A386" s="3">
        <v>44826</v>
      </c>
      <c r="B386" s="4">
        <v>50000</v>
      </c>
      <c r="C386" s="4">
        <v>49314</v>
      </c>
      <c r="D386" s="4">
        <v>50175</v>
      </c>
      <c r="E386" s="4">
        <v>49314</v>
      </c>
      <c r="F386" s="4" t="str">
        <v>8.73K</v>
      </c>
      <c r="G386" s="4" t="str">
        <v>1.13%</v>
      </c>
      <c r="H386" s="3">
        <v>44826</v>
      </c>
      <c r="I386" s="4">
        <v>49744.5</v>
      </c>
    </row>
    <row r="387" spans="1:9" x14ac:dyDescent="0.25">
      <c r="A387" s="3">
        <v>44825</v>
      </c>
      <c r="B387" s="4">
        <v>49443</v>
      </c>
      <c r="C387" s="4">
        <v>49189</v>
      </c>
      <c r="D387" s="4">
        <v>49569</v>
      </c>
      <c r="E387" s="4">
        <v>49114</v>
      </c>
      <c r="F387" s="4" t="str">
        <v>5.55K</v>
      </c>
      <c r="G387" s="4" t="str">
        <v>0.54%</v>
      </c>
      <c r="H387" s="3">
        <v>44825</v>
      </c>
      <c r="I387" s="4">
        <v>49341.5</v>
      </c>
    </row>
    <row r="388" spans="1:9" x14ac:dyDescent="0.25">
      <c r="A388" s="3">
        <v>44824</v>
      </c>
      <c r="B388" s="4">
        <v>49175</v>
      </c>
      <c r="C388" s="4">
        <v>49400</v>
      </c>
      <c r="D388" s="4">
        <v>49457</v>
      </c>
      <c r="E388" s="4">
        <v>49100</v>
      </c>
      <c r="F388" s="4" t="str">
        <v>4.40K</v>
      </c>
      <c r="G388" s="4" t="str">
        <v>-0.26%</v>
      </c>
      <c r="H388" s="3">
        <v>44824</v>
      </c>
      <c r="I388" s="4">
        <v>49278.5</v>
      </c>
    </row>
    <row r="389" spans="1:9" x14ac:dyDescent="0.25">
      <c r="A389" s="3">
        <v>44823</v>
      </c>
      <c r="B389" s="4">
        <v>49302</v>
      </c>
      <c r="C389" s="4">
        <v>49257</v>
      </c>
      <c r="D389" s="4">
        <v>49410</v>
      </c>
      <c r="E389" s="4">
        <v>49044</v>
      </c>
      <c r="F389" s="4" t="str">
        <v>5.38K</v>
      </c>
      <c r="G389" s="4" t="str">
        <v>-0.16%</v>
      </c>
      <c r="H389" s="3">
        <v>44823</v>
      </c>
      <c r="I389" s="4">
        <v>49227</v>
      </c>
    </row>
    <row r="390" spans="1:9" x14ac:dyDescent="0.25">
      <c r="A390" s="3">
        <v>44820</v>
      </c>
      <c r="B390" s="4">
        <v>49380</v>
      </c>
      <c r="C390" s="4">
        <v>49220</v>
      </c>
      <c r="D390" s="4">
        <v>49504</v>
      </c>
      <c r="E390" s="4">
        <v>48951</v>
      </c>
      <c r="F390" s="4" t="str">
        <v>7.55K</v>
      </c>
      <c r="G390" s="4" t="str">
        <v>0.14%</v>
      </c>
      <c r="H390" s="3">
        <v>44820</v>
      </c>
      <c r="I390" s="4">
        <v>49227.5</v>
      </c>
    </row>
    <row r="391" spans="1:9" x14ac:dyDescent="0.25">
      <c r="A391" s="3">
        <v>44819</v>
      </c>
      <c r="B391" s="4">
        <v>49312</v>
      </c>
      <c r="C391" s="4">
        <v>49942</v>
      </c>
      <c r="D391" s="4">
        <v>49942</v>
      </c>
      <c r="E391" s="4">
        <v>49170</v>
      </c>
      <c r="F391" s="4" t="str">
        <v>8.70K</v>
      </c>
      <c r="G391" s="4" t="str">
        <v>-1.41%</v>
      </c>
      <c r="H391" s="3">
        <v>44819</v>
      </c>
      <c r="I391" s="4">
        <v>49556</v>
      </c>
    </row>
    <row r="392" spans="1:9" x14ac:dyDescent="0.25">
      <c r="A392" s="3">
        <v>44818</v>
      </c>
      <c r="B392" s="4">
        <v>50018</v>
      </c>
      <c r="C392" s="4">
        <v>50069</v>
      </c>
      <c r="D392" s="4">
        <v>50148</v>
      </c>
      <c r="E392" s="4">
        <v>50000</v>
      </c>
      <c r="F392" s="4" t="str">
        <v>5.42K</v>
      </c>
      <c r="G392" s="4" t="str">
        <v>-0.24%</v>
      </c>
      <c r="H392" s="3">
        <v>44818</v>
      </c>
      <c r="I392" s="4">
        <v>50074</v>
      </c>
    </row>
    <row r="393" spans="1:9" x14ac:dyDescent="0.25">
      <c r="A393" s="3">
        <v>44817</v>
      </c>
      <c r="B393" s="4">
        <v>50138</v>
      </c>
      <c r="C393" s="4">
        <v>50525</v>
      </c>
      <c r="D393" s="4">
        <v>50573</v>
      </c>
      <c r="E393" s="4">
        <v>49972</v>
      </c>
      <c r="F393" s="4" t="str">
        <v>9.98K</v>
      </c>
      <c r="G393" s="4" t="str">
        <v>-0.97%</v>
      </c>
      <c r="H393" s="3">
        <v>44817</v>
      </c>
      <c r="I393" s="4">
        <v>50272.5</v>
      </c>
    </row>
    <row r="394" spans="1:9" x14ac:dyDescent="0.25">
      <c r="A394" s="3">
        <v>44816</v>
      </c>
      <c r="B394" s="4">
        <v>50631</v>
      </c>
      <c r="C394" s="4">
        <v>50505</v>
      </c>
      <c r="D394" s="4">
        <v>50780</v>
      </c>
      <c r="E394" s="4">
        <v>50378</v>
      </c>
      <c r="F394" s="4" t="str">
        <v>7.04K</v>
      </c>
      <c r="G394" s="4" t="str">
        <v>0.20%</v>
      </c>
      <c r="H394" s="3">
        <v>44816</v>
      </c>
      <c r="I394" s="4">
        <v>50579</v>
      </c>
    </row>
    <row r="395" spans="1:9" x14ac:dyDescent="0.25">
      <c r="A395" s="3">
        <v>44813</v>
      </c>
      <c r="B395" s="4">
        <v>50529</v>
      </c>
      <c r="C395" s="4">
        <v>50386</v>
      </c>
      <c r="D395" s="4">
        <v>50739</v>
      </c>
      <c r="E395" s="4">
        <v>50350</v>
      </c>
      <c r="F395" s="4" t="str">
        <v>5.42K</v>
      </c>
      <c r="G395" s="4" t="str">
        <v>0.34%</v>
      </c>
      <c r="H395" s="3">
        <v>44813</v>
      </c>
      <c r="I395" s="4">
        <v>50544.5</v>
      </c>
    </row>
    <row r="396" spans="1:9" x14ac:dyDescent="0.25">
      <c r="A396" s="3">
        <v>44812</v>
      </c>
      <c r="B396" s="4">
        <v>50356</v>
      </c>
      <c r="C396" s="4">
        <v>50470</v>
      </c>
      <c r="D396" s="4">
        <v>50743</v>
      </c>
      <c r="E396" s="4">
        <v>50201</v>
      </c>
      <c r="F396" s="4" t="str">
        <v>5.42K</v>
      </c>
      <c r="G396" s="4" t="str">
        <v>-0.30%</v>
      </c>
      <c r="H396" s="3">
        <v>44812</v>
      </c>
      <c r="I396" s="4">
        <v>50472</v>
      </c>
    </row>
    <row r="397" spans="1:9" x14ac:dyDescent="0.25">
      <c r="A397" s="3">
        <v>44811</v>
      </c>
      <c r="B397" s="4">
        <v>50506</v>
      </c>
      <c r="C397" s="4">
        <v>50207</v>
      </c>
      <c r="D397" s="4">
        <v>50535</v>
      </c>
      <c r="E397" s="4">
        <v>50007</v>
      </c>
      <c r="F397" s="4" t="str">
        <v>5.63K</v>
      </c>
      <c r="G397" s="4" t="str">
        <v>0.45%</v>
      </c>
      <c r="H397" s="3">
        <v>44811</v>
      </c>
      <c r="I397" s="4">
        <v>50271</v>
      </c>
    </row>
    <row r="398" spans="1:9" x14ac:dyDescent="0.25">
      <c r="A398" s="3">
        <v>44810</v>
      </c>
      <c r="B398" s="4">
        <v>50281</v>
      </c>
      <c r="C398" s="4">
        <v>50555</v>
      </c>
      <c r="D398" s="4">
        <v>50693</v>
      </c>
      <c r="E398" s="4">
        <v>50230</v>
      </c>
      <c r="F398" s="4" t="str">
        <v>4.58K</v>
      </c>
      <c r="G398" s="4" t="str">
        <v>-0.30%</v>
      </c>
      <c r="H398" s="3">
        <v>44810</v>
      </c>
      <c r="I398" s="4">
        <v>50461.5</v>
      </c>
    </row>
    <row r="399" spans="1:9" x14ac:dyDescent="0.25">
      <c r="A399" s="3">
        <v>44809</v>
      </c>
      <c r="B399" s="4">
        <v>50433</v>
      </c>
      <c r="C399" s="4">
        <v>50410</v>
      </c>
      <c r="D399" s="4">
        <v>50522</v>
      </c>
      <c r="E399" s="4">
        <v>50404</v>
      </c>
      <c r="F399" s="4" t="str">
        <v>2.94K</v>
      </c>
      <c r="G399" s="4" t="str">
        <v>0.13%</v>
      </c>
      <c r="H399" s="3">
        <v>44809</v>
      </c>
      <c r="I399" s="4">
        <v>50463</v>
      </c>
    </row>
    <row r="400" spans="1:9" x14ac:dyDescent="0.25">
      <c r="A400" s="3">
        <v>44806</v>
      </c>
      <c r="B400" s="4">
        <v>50368</v>
      </c>
      <c r="C400" s="4">
        <v>50050</v>
      </c>
      <c r="D400" s="4">
        <v>50587</v>
      </c>
      <c r="E400" s="4">
        <v>50050</v>
      </c>
      <c r="F400" s="4" t="str">
        <v>4.33K</v>
      </c>
      <c r="G400" s="4" t="str">
        <v>0.60%</v>
      </c>
      <c r="H400" s="3">
        <v>44806</v>
      </c>
      <c r="I400" s="4">
        <v>50318.5</v>
      </c>
    </row>
    <row r="401" spans="1:9" x14ac:dyDescent="0.25">
      <c r="A401" s="3">
        <v>44805</v>
      </c>
      <c r="B401" s="4">
        <v>50070</v>
      </c>
      <c r="C401" s="4">
        <v>50202</v>
      </c>
      <c r="D401" s="4">
        <v>50293</v>
      </c>
      <c r="E401" s="4">
        <v>49876</v>
      </c>
      <c r="F401" s="4" t="str">
        <v>7.26K</v>
      </c>
      <c r="G401" s="4" t="str">
        <v>-0.68%</v>
      </c>
      <c r="H401" s="3">
        <v>44805</v>
      </c>
      <c r="I401" s="4">
        <v>50084.5</v>
      </c>
    </row>
    <row r="402" spans="1:9" x14ac:dyDescent="0.25">
      <c r="A402" s="3">
        <v>44804</v>
      </c>
      <c r="B402" s="4">
        <v>50414</v>
      </c>
      <c r="C402" s="4">
        <v>50500</v>
      </c>
      <c r="D402" s="4">
        <v>50661</v>
      </c>
      <c r="E402" s="4">
        <v>50333</v>
      </c>
      <c r="F402" s="4" t="str">
        <v>3.02K</v>
      </c>
      <c r="G402" s="4" t="str">
        <v>-0.64%</v>
      </c>
      <c r="H402" s="3">
        <v>44804</v>
      </c>
      <c r="I402" s="4">
        <v>50497</v>
      </c>
    </row>
    <row r="403" spans="1:9" x14ac:dyDescent="0.25">
      <c r="A403" s="3">
        <v>44803</v>
      </c>
      <c r="B403" s="4">
        <v>50737</v>
      </c>
      <c r="C403" s="4">
        <v>51151</v>
      </c>
      <c r="D403" s="4">
        <v>51164</v>
      </c>
      <c r="E403" s="4">
        <v>50701</v>
      </c>
      <c r="F403" s="4" t="str">
        <v>5.67K</v>
      </c>
      <c r="G403" s="4" t="str">
        <v>-1.00%</v>
      </c>
      <c r="H403" s="3">
        <v>44803</v>
      </c>
      <c r="I403" s="4">
        <v>50932.5</v>
      </c>
    </row>
    <row r="404" spans="1:9" x14ac:dyDescent="0.25">
      <c r="A404" s="3">
        <v>44802</v>
      </c>
      <c r="B404" s="4">
        <v>51250</v>
      </c>
      <c r="C404" s="4">
        <v>51100</v>
      </c>
      <c r="D404" s="4">
        <v>51369</v>
      </c>
      <c r="E404" s="4">
        <v>50830</v>
      </c>
      <c r="F404" s="4" t="str">
        <v>5.73K</v>
      </c>
      <c r="G404" s="4" t="str">
        <v>0.02%</v>
      </c>
      <c r="H404" s="3">
        <v>44802</v>
      </c>
      <c r="I404" s="4">
        <v>51099.5</v>
      </c>
    </row>
    <row r="405" spans="1:9" x14ac:dyDescent="0.25">
      <c r="A405" s="3">
        <v>44799</v>
      </c>
      <c r="B405" s="4">
        <v>51238</v>
      </c>
      <c r="C405" s="4">
        <v>51636</v>
      </c>
      <c r="D405" s="4">
        <v>51685</v>
      </c>
      <c r="E405" s="4">
        <v>51120</v>
      </c>
      <c r="F405" s="4" t="str">
        <v>6.79K</v>
      </c>
      <c r="G405" s="4" t="str">
        <v>-0.90%</v>
      </c>
      <c r="H405" s="3">
        <v>44799</v>
      </c>
      <c r="I405" s="4">
        <v>51402.5</v>
      </c>
    </row>
    <row r="406" spans="1:9" x14ac:dyDescent="0.25">
      <c r="A406" s="3">
        <v>44798</v>
      </c>
      <c r="B406" s="4">
        <v>51702</v>
      </c>
      <c r="C406" s="4">
        <v>51497</v>
      </c>
      <c r="D406" s="4">
        <v>51846</v>
      </c>
      <c r="E406" s="4">
        <v>51497</v>
      </c>
      <c r="F406" s="4" t="str">
        <v>5.44K</v>
      </c>
      <c r="G406" s="4" t="str">
        <v>0.51%</v>
      </c>
      <c r="H406" s="3">
        <v>44798</v>
      </c>
      <c r="I406" s="4">
        <v>51671.5</v>
      </c>
    </row>
    <row r="407" spans="1:9" x14ac:dyDescent="0.25">
      <c r="A407" s="3">
        <v>44797</v>
      </c>
      <c r="B407" s="4">
        <v>51439</v>
      </c>
      <c r="C407" s="4">
        <v>51350</v>
      </c>
      <c r="D407" s="4">
        <v>51569</v>
      </c>
      <c r="E407" s="4">
        <v>51290</v>
      </c>
      <c r="F407" s="4" t="str">
        <v>3.79K</v>
      </c>
      <c r="G407" s="4" t="str">
        <v>0.04%</v>
      </c>
      <c r="H407" s="3">
        <v>44797</v>
      </c>
      <c r="I407" s="4">
        <v>51429.5</v>
      </c>
    </row>
    <row r="408" spans="1:9" x14ac:dyDescent="0.25">
      <c r="A408" s="3">
        <v>44796</v>
      </c>
      <c r="B408" s="4">
        <v>51417</v>
      </c>
      <c r="C408" s="4">
        <v>51211</v>
      </c>
      <c r="D408" s="4">
        <v>51520</v>
      </c>
      <c r="E408" s="4">
        <v>51051</v>
      </c>
      <c r="F408" s="4" t="str">
        <v>5.18K</v>
      </c>
      <c r="G408" s="4" t="str">
        <v>0.50%</v>
      </c>
      <c r="H408" s="3">
        <v>44796</v>
      </c>
      <c r="I408" s="4">
        <v>51285.5</v>
      </c>
    </row>
    <row r="409" spans="1:9" x14ac:dyDescent="0.25">
      <c r="A409" s="3">
        <v>44795</v>
      </c>
      <c r="B409" s="4">
        <v>51163</v>
      </c>
      <c r="C409" s="4">
        <v>51409</v>
      </c>
      <c r="D409" s="4">
        <v>51409</v>
      </c>
      <c r="E409" s="4">
        <v>50971</v>
      </c>
      <c r="F409" s="4" t="str">
        <v>5.09K</v>
      </c>
      <c r="G409" s="4" t="str">
        <v>-0.61%</v>
      </c>
      <c r="H409" s="3">
        <v>44795</v>
      </c>
      <c r="I409" s="4">
        <v>51190</v>
      </c>
    </row>
    <row r="410" spans="1:9" x14ac:dyDescent="0.25">
      <c r="A410" s="3">
        <v>44792</v>
      </c>
      <c r="B410" s="4">
        <v>51479</v>
      </c>
      <c r="C410" s="4">
        <v>51524</v>
      </c>
      <c r="D410" s="4">
        <v>51671</v>
      </c>
      <c r="E410" s="4">
        <v>51435</v>
      </c>
      <c r="F410" s="4" t="str">
        <v>3.95K</v>
      </c>
      <c r="G410" s="4" t="str">
        <v>-0.24%</v>
      </c>
      <c r="H410" s="3">
        <v>44792</v>
      </c>
      <c r="I410" s="4">
        <v>51553</v>
      </c>
    </row>
    <row r="411" spans="1:9" x14ac:dyDescent="0.25">
      <c r="A411" s="3">
        <v>44791</v>
      </c>
      <c r="B411" s="4">
        <v>51603</v>
      </c>
      <c r="C411" s="4">
        <v>51644</v>
      </c>
      <c r="D411" s="4">
        <v>51870</v>
      </c>
      <c r="E411" s="4">
        <v>51565</v>
      </c>
      <c r="F411" s="4" t="str">
        <v>4.43K</v>
      </c>
      <c r="G411" s="4" t="str">
        <v>0.12%</v>
      </c>
      <c r="H411" s="3">
        <v>44791</v>
      </c>
      <c r="I411" s="4">
        <v>51717.5</v>
      </c>
    </row>
    <row r="412" spans="1:9" x14ac:dyDescent="0.25">
      <c r="A412" s="3">
        <v>44790</v>
      </c>
      <c r="B412" s="4">
        <v>51543</v>
      </c>
      <c r="C412" s="4">
        <v>51843</v>
      </c>
      <c r="D412" s="4">
        <v>51965</v>
      </c>
      <c r="E412" s="4">
        <v>51470</v>
      </c>
      <c r="F412" s="4" t="str">
        <v>5.88K</v>
      </c>
      <c r="G412" s="4" t="str">
        <v>-0.57%</v>
      </c>
      <c r="H412" s="3">
        <v>44790</v>
      </c>
      <c r="I412" s="4">
        <v>51717.5</v>
      </c>
    </row>
    <row r="413" spans="1:9" x14ac:dyDescent="0.25">
      <c r="A413" s="3">
        <v>44789</v>
      </c>
      <c r="B413" s="4">
        <v>51837</v>
      </c>
      <c r="C413" s="4">
        <v>52265</v>
      </c>
      <c r="D413" s="4">
        <v>52265</v>
      </c>
      <c r="E413" s="4">
        <v>51770</v>
      </c>
      <c r="F413" s="4" t="str">
        <v>6.95K</v>
      </c>
      <c r="G413" s="4" t="str">
        <v>-1.42%</v>
      </c>
      <c r="H413" s="3">
        <v>44789</v>
      </c>
      <c r="I413" s="4">
        <v>52017.5</v>
      </c>
    </row>
    <row r="414" spans="1:9" x14ac:dyDescent="0.25">
      <c r="A414" s="3">
        <v>44785</v>
      </c>
      <c r="B414" s="4">
        <v>52585</v>
      </c>
      <c r="C414" s="4">
        <v>52382</v>
      </c>
      <c r="D414" s="4">
        <v>52610</v>
      </c>
      <c r="E414" s="4">
        <v>52263</v>
      </c>
      <c r="F414" s="4" t="str">
        <v>4.57K</v>
      </c>
      <c r="G414" s="4" t="str">
        <v>0.48%</v>
      </c>
      <c r="H414" s="3">
        <v>44785</v>
      </c>
      <c r="I414" s="4">
        <v>52436.5</v>
      </c>
    </row>
    <row r="415" spans="1:9" x14ac:dyDescent="0.25">
      <c r="A415" s="3">
        <v>44784</v>
      </c>
      <c r="B415" s="4">
        <v>52336</v>
      </c>
      <c r="C415" s="4">
        <v>52144</v>
      </c>
      <c r="D415" s="4">
        <v>52520</v>
      </c>
      <c r="E415" s="4">
        <v>52014</v>
      </c>
      <c r="F415" s="4" t="str">
        <v>4.92K</v>
      </c>
      <c r="G415" s="4" t="str">
        <v>0.18%</v>
      </c>
      <c r="H415" s="3">
        <v>44784</v>
      </c>
      <c r="I415" s="4">
        <v>52267</v>
      </c>
    </row>
    <row r="416" spans="1:9" x14ac:dyDescent="0.25">
      <c r="A416" s="3">
        <v>44783</v>
      </c>
      <c r="B416" s="4">
        <v>52241</v>
      </c>
      <c r="C416" s="4">
        <v>52450</v>
      </c>
      <c r="D416" s="4">
        <v>52620</v>
      </c>
      <c r="E416" s="4">
        <v>52207</v>
      </c>
      <c r="F416" s="4" t="str">
        <v>5.87K</v>
      </c>
      <c r="G416" s="4" t="str">
        <v>-0.47%</v>
      </c>
      <c r="H416" s="3">
        <v>44783</v>
      </c>
      <c r="I416" s="4">
        <v>52413.5</v>
      </c>
    </row>
    <row r="417" spans="1:9" x14ac:dyDescent="0.25">
      <c r="A417" s="3">
        <v>44782</v>
      </c>
      <c r="B417" s="4">
        <v>52489</v>
      </c>
      <c r="C417" s="4">
        <v>52350</v>
      </c>
      <c r="D417" s="4">
        <v>52600</v>
      </c>
      <c r="E417" s="4">
        <v>52279</v>
      </c>
      <c r="F417" s="4" t="str">
        <v>2.65K</v>
      </c>
      <c r="G417" s="4" t="str">
        <v>0.38%</v>
      </c>
      <c r="H417" s="3">
        <v>44782</v>
      </c>
      <c r="I417" s="4">
        <v>52439.5</v>
      </c>
    </row>
    <row r="418" spans="1:9" x14ac:dyDescent="0.25">
      <c r="A418" s="3">
        <v>44781</v>
      </c>
      <c r="B418" s="4">
        <v>52288</v>
      </c>
      <c r="C418" s="4">
        <v>51793</v>
      </c>
      <c r="D418" s="4">
        <v>52333</v>
      </c>
      <c r="E418" s="4">
        <v>51793</v>
      </c>
      <c r="F418" s="4" t="str">
        <v>5.68K</v>
      </c>
      <c r="G418" s="4" t="str">
        <v>-0.02%</v>
      </c>
      <c r="H418" s="3">
        <v>44781</v>
      </c>
      <c r="I418" s="4">
        <v>52063</v>
      </c>
    </row>
    <row r="419" spans="1:9" x14ac:dyDescent="0.25">
      <c r="A419" s="3">
        <v>44778</v>
      </c>
      <c r="B419" s="4">
        <v>52301</v>
      </c>
      <c r="C419" s="4">
        <v>52201</v>
      </c>
      <c r="D419" s="4">
        <v>52401</v>
      </c>
      <c r="E419" s="4">
        <v>52201</v>
      </c>
      <c r="F419" s="4" t="str">
        <v>0.00K</v>
      </c>
      <c r="G419" s="4" t="str">
        <v>0.56%</v>
      </c>
      <c r="H419" s="3">
        <v>44778</v>
      </c>
      <c r="I419" s="4">
        <v>52301</v>
      </c>
    </row>
    <row r="420" spans="1:9" x14ac:dyDescent="0.25">
      <c r="A420" s="3">
        <v>44777</v>
      </c>
      <c r="B420" s="4">
        <v>52009</v>
      </c>
      <c r="C420" s="4">
        <v>51651</v>
      </c>
      <c r="D420" s="4">
        <v>53113</v>
      </c>
      <c r="E420" s="4">
        <v>51550</v>
      </c>
      <c r="F420" s="4" t="str">
        <v>0.01K</v>
      </c>
      <c r="G420" s="4" t="str">
        <v>0.61%</v>
      </c>
      <c r="H420" s="3">
        <v>44777</v>
      </c>
      <c r="I420" s="4">
        <v>52331.5</v>
      </c>
    </row>
    <row r="421" spans="1:9" x14ac:dyDescent="0.25">
      <c r="A421" s="3">
        <v>44776</v>
      </c>
      <c r="B421" s="4">
        <v>51694</v>
      </c>
      <c r="C421" s="4">
        <v>51300</v>
      </c>
      <c r="D421" s="4">
        <v>52450</v>
      </c>
      <c r="E421" s="4">
        <v>51171</v>
      </c>
      <c r="F421" s="4" t="str">
        <v>0.01K</v>
      </c>
      <c r="G421" s="4" t="str">
        <v>0.75%</v>
      </c>
      <c r="H421" s="3">
        <v>44776</v>
      </c>
      <c r="I421" s="4">
        <v>51810.5</v>
      </c>
    </row>
    <row r="422" spans="1:9" x14ac:dyDescent="0.25">
      <c r="A422" s="3">
        <v>44775</v>
      </c>
      <c r="B422" s="4">
        <v>51310</v>
      </c>
      <c r="C422" s="4">
        <v>51563</v>
      </c>
      <c r="D422" s="4">
        <v>51584</v>
      </c>
      <c r="E422" s="4">
        <v>51135</v>
      </c>
      <c r="F422" s="4" t="str">
        <v>0.02K</v>
      </c>
      <c r="G422" s="4" t="str">
        <v>0.09%</v>
      </c>
      <c r="H422" s="3">
        <v>44775</v>
      </c>
      <c r="I422" s="4">
        <v>51359.5</v>
      </c>
    </row>
    <row r="423" spans="1:9" x14ac:dyDescent="0.25">
      <c r="A423" s="3">
        <v>44774</v>
      </c>
      <c r="B423" s="4">
        <v>51263</v>
      </c>
      <c r="C423" s="4">
        <v>51250</v>
      </c>
      <c r="D423" s="4">
        <v>51489</v>
      </c>
      <c r="E423" s="4">
        <v>51115</v>
      </c>
      <c r="F423" s="4" t="str">
        <v>0.23K</v>
      </c>
      <c r="G423" s="4" t="str">
        <v>-0.32%</v>
      </c>
      <c r="H423" s="3">
        <v>44774</v>
      </c>
      <c r="I423" s="4">
        <v>51302</v>
      </c>
    </row>
    <row r="424" spans="1:9" x14ac:dyDescent="0.25">
      <c r="A424" s="3">
        <v>44771</v>
      </c>
      <c r="B424" s="4">
        <v>51426</v>
      </c>
      <c r="C424" s="4">
        <v>51490</v>
      </c>
      <c r="D424" s="4">
        <v>51501</v>
      </c>
      <c r="E424" s="4">
        <v>51159</v>
      </c>
      <c r="F424" s="4" t="str">
        <v>2.09K</v>
      </c>
      <c r="G424" s="4" t="str">
        <v>0.24%</v>
      </c>
      <c r="H424" s="3">
        <v>44771</v>
      </c>
      <c r="I424" s="4">
        <v>51330</v>
      </c>
    </row>
    <row r="425" spans="1:9" x14ac:dyDescent="0.25">
      <c r="A425" s="3">
        <v>44770</v>
      </c>
      <c r="B425" s="4">
        <v>51304</v>
      </c>
      <c r="C425" s="4">
        <v>50760</v>
      </c>
      <c r="D425" s="4">
        <v>51391</v>
      </c>
      <c r="E425" s="4">
        <v>50760</v>
      </c>
      <c r="F425" s="4" t="str">
        <v>3.70K</v>
      </c>
      <c r="G425" s="4" t="str">
        <v>1.15%</v>
      </c>
      <c r="H425" s="3">
        <v>44770</v>
      </c>
      <c r="I425" s="4">
        <v>51075.5</v>
      </c>
    </row>
    <row r="426" spans="1:9" x14ac:dyDescent="0.25">
      <c r="A426" s="3">
        <v>44769</v>
      </c>
      <c r="B426" s="4">
        <v>50720</v>
      </c>
      <c r="C426" s="4">
        <v>50568</v>
      </c>
      <c r="D426" s="4">
        <v>50753</v>
      </c>
      <c r="E426" s="4">
        <v>50505</v>
      </c>
      <c r="F426" s="4" t="str">
        <v>4.91K</v>
      </c>
      <c r="G426" s="4" t="str">
        <v>0.27%</v>
      </c>
      <c r="H426" s="3">
        <v>44769</v>
      </c>
      <c r="I426" s="4">
        <v>50629</v>
      </c>
    </row>
    <row r="427" spans="1:9" x14ac:dyDescent="0.25">
      <c r="A427" s="3">
        <v>44768</v>
      </c>
      <c r="B427" s="4">
        <v>50584</v>
      </c>
      <c r="C427" s="4">
        <v>50598</v>
      </c>
      <c r="D427" s="4">
        <v>50705</v>
      </c>
      <c r="E427" s="4">
        <v>50465</v>
      </c>
      <c r="F427" s="4" t="str">
        <v>4.81K</v>
      </c>
      <c r="G427" s="4" t="str">
        <v>0.09%</v>
      </c>
      <c r="H427" s="3">
        <v>44768</v>
      </c>
      <c r="I427" s="4">
        <v>50585</v>
      </c>
    </row>
    <row r="428" spans="1:9" x14ac:dyDescent="0.25">
      <c r="A428" s="3">
        <v>44767</v>
      </c>
      <c r="B428" s="4">
        <v>50536</v>
      </c>
      <c r="C428" s="4">
        <v>50673</v>
      </c>
      <c r="D428" s="4">
        <v>50793</v>
      </c>
      <c r="E428" s="4">
        <v>50446</v>
      </c>
      <c r="F428" s="4" t="str">
        <v>4.71K</v>
      </c>
      <c r="G428" s="4" t="str">
        <v>-0.21%</v>
      </c>
      <c r="H428" s="3">
        <v>44767</v>
      </c>
      <c r="I428" s="4">
        <v>50619.5</v>
      </c>
    </row>
    <row r="429" spans="1:9" x14ac:dyDescent="0.25">
      <c r="A429" s="3">
        <v>44764</v>
      </c>
      <c r="B429" s="4">
        <v>50644</v>
      </c>
      <c r="C429" s="4">
        <v>50385</v>
      </c>
      <c r="D429" s="4">
        <v>50870</v>
      </c>
      <c r="E429" s="4">
        <v>50315</v>
      </c>
      <c r="F429" s="4" t="str">
        <v>5.03K</v>
      </c>
      <c r="G429" s="4" t="str">
        <v>0.53%</v>
      </c>
      <c r="H429" s="3">
        <v>44764</v>
      </c>
      <c r="I429" s="4">
        <v>50592.5</v>
      </c>
    </row>
    <row r="430" spans="1:9" x14ac:dyDescent="0.25">
      <c r="A430" s="3">
        <v>44763</v>
      </c>
      <c r="B430" s="4">
        <v>50375</v>
      </c>
      <c r="C430" s="4">
        <v>50000</v>
      </c>
      <c r="D430" s="4">
        <v>50480</v>
      </c>
      <c r="E430" s="4">
        <v>49703</v>
      </c>
      <c r="F430" s="4" t="str">
        <v>7.87K</v>
      </c>
      <c r="G430" s="4" t="str">
        <v>0.30%</v>
      </c>
      <c r="H430" s="3">
        <v>44763</v>
      </c>
      <c r="I430" s="4">
        <v>50091.5</v>
      </c>
    </row>
    <row r="431" spans="1:9" x14ac:dyDescent="0.25">
      <c r="A431" s="3">
        <v>44762</v>
      </c>
      <c r="B431" s="4">
        <v>50225</v>
      </c>
      <c r="C431" s="4">
        <v>50275</v>
      </c>
      <c r="D431" s="4">
        <v>50465</v>
      </c>
      <c r="E431" s="4">
        <v>50191</v>
      </c>
      <c r="F431" s="4" t="str">
        <v>4.97K</v>
      </c>
      <c r="G431" s="4" t="str">
        <v>-0.19%</v>
      </c>
      <c r="H431" s="3">
        <v>44762</v>
      </c>
      <c r="I431" s="4">
        <v>50328</v>
      </c>
    </row>
    <row r="432" spans="1:9" x14ac:dyDescent="0.25">
      <c r="A432" s="3">
        <v>44761</v>
      </c>
      <c r="B432" s="4">
        <v>50320</v>
      </c>
      <c r="C432" s="4">
        <v>50300</v>
      </c>
      <c r="D432" s="4">
        <v>50489</v>
      </c>
      <c r="E432" s="4">
        <v>50211</v>
      </c>
      <c r="F432" s="4" t="str">
        <v>4.61K</v>
      </c>
      <c r="G432" s="4" t="str">
        <v>-0.08%</v>
      </c>
      <c r="H432" s="3">
        <v>44761</v>
      </c>
      <c r="I432" s="4">
        <v>50350</v>
      </c>
    </row>
    <row r="433" spans="1:9" x14ac:dyDescent="0.25">
      <c r="A433" s="3">
        <v>44760</v>
      </c>
      <c r="B433" s="4">
        <v>50361</v>
      </c>
      <c r="C433" s="4">
        <v>50150</v>
      </c>
      <c r="D433" s="4">
        <v>50620</v>
      </c>
      <c r="E433" s="4">
        <v>50150</v>
      </c>
      <c r="F433" s="4" t="str">
        <v>5.35K</v>
      </c>
      <c r="G433" s="4" t="str">
        <v>0.51%</v>
      </c>
      <c r="H433" s="3">
        <v>44760</v>
      </c>
      <c r="I433" s="4">
        <v>50385</v>
      </c>
    </row>
    <row r="434" spans="1:9" x14ac:dyDescent="0.25">
      <c r="A434" s="3">
        <v>44757</v>
      </c>
      <c r="B434" s="4">
        <v>50107</v>
      </c>
      <c r="C434" s="4">
        <v>50262</v>
      </c>
      <c r="D434" s="4">
        <v>50280</v>
      </c>
      <c r="E434" s="4">
        <v>49957</v>
      </c>
      <c r="F434" s="4" t="str">
        <v>6.19K</v>
      </c>
      <c r="G434" s="4" t="str">
        <v>-0.24%</v>
      </c>
      <c r="H434" s="3">
        <v>44757</v>
      </c>
      <c r="I434" s="4">
        <v>50118.5</v>
      </c>
    </row>
    <row r="435" spans="1:9" x14ac:dyDescent="0.25">
      <c r="A435" s="3">
        <v>44756</v>
      </c>
      <c r="B435" s="4">
        <v>50228</v>
      </c>
      <c r="C435" s="4">
        <v>50725</v>
      </c>
      <c r="D435" s="4">
        <v>50729</v>
      </c>
      <c r="E435" s="4">
        <v>50067</v>
      </c>
      <c r="F435" s="4" t="str">
        <v>7.11K</v>
      </c>
      <c r="G435" s="4" t="str">
        <v>-1.13%</v>
      </c>
      <c r="H435" s="3">
        <v>44756</v>
      </c>
      <c r="I435" s="4">
        <v>50398</v>
      </c>
    </row>
    <row r="436" spans="1:9" x14ac:dyDescent="0.25">
      <c r="A436" s="3">
        <v>44755</v>
      </c>
      <c r="B436" s="4">
        <v>50802</v>
      </c>
      <c r="C436" s="4">
        <v>50431</v>
      </c>
      <c r="D436" s="4">
        <v>50946</v>
      </c>
      <c r="E436" s="4">
        <v>50160</v>
      </c>
      <c r="F436" s="4" t="str">
        <v>7.58K</v>
      </c>
      <c r="G436" s="4" t="str">
        <v>0.68%</v>
      </c>
      <c r="H436" s="3">
        <v>44755</v>
      </c>
      <c r="I436" s="4">
        <v>50553</v>
      </c>
    </row>
    <row r="437" spans="1:9" x14ac:dyDescent="0.25">
      <c r="A437" s="3">
        <v>44754</v>
      </c>
      <c r="B437" s="4">
        <v>50457</v>
      </c>
      <c r="C437" s="4">
        <v>50680</v>
      </c>
      <c r="D437" s="4">
        <v>50794</v>
      </c>
      <c r="E437" s="4">
        <v>50438</v>
      </c>
      <c r="F437" s="4" t="str">
        <v>5.63K</v>
      </c>
      <c r="G437" s="4" t="str">
        <v>-0.37%</v>
      </c>
      <c r="H437" s="3">
        <v>44754</v>
      </c>
      <c r="I437" s="4">
        <v>50616</v>
      </c>
    </row>
    <row r="438" spans="1:9" x14ac:dyDescent="0.25">
      <c r="A438" s="3">
        <v>44753</v>
      </c>
      <c r="B438" s="4">
        <v>50644</v>
      </c>
      <c r="C438" s="4">
        <v>50709</v>
      </c>
      <c r="D438" s="4">
        <v>50869</v>
      </c>
      <c r="E438" s="4">
        <v>50616</v>
      </c>
      <c r="F438" s="4" t="str">
        <v>3.27K</v>
      </c>
      <c r="G438" s="4" t="str">
        <v>-0.27%</v>
      </c>
      <c r="H438" s="3">
        <v>44753</v>
      </c>
      <c r="I438" s="4">
        <v>50742.5</v>
      </c>
    </row>
    <row r="439" spans="1:9" x14ac:dyDescent="0.25">
      <c r="A439" s="3">
        <v>44750</v>
      </c>
      <c r="B439" s="4">
        <v>50779</v>
      </c>
      <c r="C439" s="4">
        <v>50670</v>
      </c>
      <c r="D439" s="4">
        <v>50973</v>
      </c>
      <c r="E439" s="4">
        <v>50366</v>
      </c>
      <c r="F439" s="4" t="str">
        <v>5.56K</v>
      </c>
      <c r="G439" s="4" t="str">
        <v>0.31%</v>
      </c>
      <c r="H439" s="3">
        <v>44750</v>
      </c>
      <c r="I439" s="4">
        <v>50669.5</v>
      </c>
    </row>
    <row r="440" spans="1:9" x14ac:dyDescent="0.25">
      <c r="A440" s="3">
        <v>44749</v>
      </c>
      <c r="B440" s="4">
        <v>50621</v>
      </c>
      <c r="C440" s="4">
        <v>50661</v>
      </c>
      <c r="D440" s="4">
        <v>50830</v>
      </c>
      <c r="E440" s="4">
        <v>50562</v>
      </c>
      <c r="F440" s="4" t="str">
        <v>4.89K</v>
      </c>
      <c r="G440" s="4" t="str">
        <v>0.24%</v>
      </c>
      <c r="H440" s="3">
        <v>44749</v>
      </c>
      <c r="I440" s="4">
        <v>50696</v>
      </c>
    </row>
    <row r="441" spans="1:9" x14ac:dyDescent="0.25">
      <c r="A441" s="3">
        <v>44748</v>
      </c>
      <c r="B441" s="4">
        <v>50500</v>
      </c>
      <c r="C441" s="4">
        <v>51382</v>
      </c>
      <c r="D441" s="4">
        <v>51520</v>
      </c>
      <c r="E441" s="4">
        <v>50450</v>
      </c>
      <c r="F441" s="4" t="str">
        <v>8.88K</v>
      </c>
      <c r="G441" s="4" t="str">
        <v>-1.56%</v>
      </c>
      <c r="H441" s="3">
        <v>44748</v>
      </c>
      <c r="I441" s="4">
        <v>50985</v>
      </c>
    </row>
    <row r="442" spans="1:9" x14ac:dyDescent="0.25">
      <c r="A442" s="3">
        <v>44747</v>
      </c>
      <c r="B442" s="4">
        <v>51302</v>
      </c>
      <c r="C442" s="4">
        <v>52199</v>
      </c>
      <c r="D442" s="4">
        <v>52279</v>
      </c>
      <c r="E442" s="4">
        <v>51250</v>
      </c>
      <c r="F442" s="4" t="str">
        <v>7.77K</v>
      </c>
      <c r="G442" s="4" t="str">
        <v>-1.57%</v>
      </c>
      <c r="H442" s="3">
        <v>44747</v>
      </c>
      <c r="I442" s="4">
        <v>51764.5</v>
      </c>
    </row>
    <row r="443" spans="1:9" x14ac:dyDescent="0.25">
      <c r="A443" s="3">
        <v>44746</v>
      </c>
      <c r="B443" s="4">
        <v>52122</v>
      </c>
      <c r="C443" s="4">
        <v>52050</v>
      </c>
      <c r="D443" s="4">
        <v>52300</v>
      </c>
      <c r="E443" s="4">
        <v>52000</v>
      </c>
      <c r="F443" s="4" t="str">
        <v>4.39K</v>
      </c>
      <c r="G443" s="4" t="str">
        <v>0.39%</v>
      </c>
      <c r="H443" s="3">
        <v>44746</v>
      </c>
      <c r="I443" s="4">
        <v>52150</v>
      </c>
    </row>
    <row r="444" spans="1:9" x14ac:dyDescent="0.25">
      <c r="A444" s="3">
        <v>44743</v>
      </c>
      <c r="B444" s="4">
        <v>51917</v>
      </c>
      <c r="C444" s="4">
        <v>51000</v>
      </c>
      <c r="D444" s="4">
        <v>52032</v>
      </c>
      <c r="E444" s="4">
        <v>50727</v>
      </c>
      <c r="F444" s="4" t="str">
        <v>13.27K</v>
      </c>
      <c r="G444" s="4" t="str">
        <v>2.77%</v>
      </c>
      <c r="H444" s="3">
        <v>44743</v>
      </c>
      <c r="I444" s="4">
        <v>51379.5</v>
      </c>
    </row>
    <row r="445" spans="1:9" x14ac:dyDescent="0.25">
      <c r="A445" s="3">
        <v>44742</v>
      </c>
      <c r="B445" s="4">
        <v>50517</v>
      </c>
      <c r="C445" s="4">
        <v>50740</v>
      </c>
      <c r="D445" s="4">
        <v>50991</v>
      </c>
      <c r="E445" s="4">
        <v>50433</v>
      </c>
      <c r="F445" s="4" t="str">
        <v>8.36K</v>
      </c>
      <c r="G445" s="4" t="str">
        <v>-0.42%</v>
      </c>
      <c r="H445" s="3">
        <v>44742</v>
      </c>
      <c r="I445" s="4">
        <v>50712</v>
      </c>
    </row>
    <row r="446" spans="1:9" x14ac:dyDescent="0.25">
      <c r="A446" s="3">
        <v>44741</v>
      </c>
      <c r="B446" s="4">
        <v>50729</v>
      </c>
      <c r="C446" s="4">
        <v>50779</v>
      </c>
      <c r="D446" s="4">
        <v>51146</v>
      </c>
      <c r="E446" s="4">
        <v>50640</v>
      </c>
      <c r="F446" s="4" t="str">
        <v>7.29K</v>
      </c>
      <c r="G446" s="4" t="str">
        <v>-0.18%</v>
      </c>
      <c r="H446" s="3">
        <v>44741</v>
      </c>
      <c r="I446" s="4">
        <v>50893</v>
      </c>
    </row>
    <row r="447" spans="1:9" x14ac:dyDescent="0.25">
      <c r="A447" s="3">
        <v>44740</v>
      </c>
      <c r="B447" s="4">
        <v>50822</v>
      </c>
      <c r="C447" s="4">
        <v>50604</v>
      </c>
      <c r="D447" s="4">
        <v>50960</v>
      </c>
      <c r="E447" s="4">
        <v>50604</v>
      </c>
      <c r="F447" s="4" t="str">
        <v>5.10K</v>
      </c>
      <c r="G447" s="4" t="str">
        <v>0.34%</v>
      </c>
      <c r="H447" s="3">
        <v>44740</v>
      </c>
      <c r="I447" s="4">
        <v>50782</v>
      </c>
    </row>
    <row r="448" spans="1:9" x14ac:dyDescent="0.25">
      <c r="A448" s="3">
        <v>44739</v>
      </c>
      <c r="B448" s="4">
        <v>50649</v>
      </c>
      <c r="C448" s="4">
        <v>50730</v>
      </c>
      <c r="D448" s="4">
        <v>50980</v>
      </c>
      <c r="E448" s="4">
        <v>50575</v>
      </c>
      <c r="F448" s="4" t="str">
        <v>6.28K</v>
      </c>
      <c r="G448" s="4" t="str">
        <v>0.05%</v>
      </c>
      <c r="H448" s="3">
        <v>44739</v>
      </c>
      <c r="I448" s="4">
        <v>50777.5</v>
      </c>
    </row>
    <row r="449" spans="1:9" x14ac:dyDescent="0.25">
      <c r="A449" s="3">
        <v>44736</v>
      </c>
      <c r="B449" s="4">
        <v>50623</v>
      </c>
      <c r="C449" s="4">
        <v>50549</v>
      </c>
      <c r="D449" s="4">
        <v>50741</v>
      </c>
      <c r="E449" s="4">
        <v>50410</v>
      </c>
      <c r="F449" s="4" t="str">
        <v>4.98K</v>
      </c>
      <c r="G449" s="4" t="str">
        <v>0.06%</v>
      </c>
      <c r="H449" s="3">
        <v>44736</v>
      </c>
      <c r="I449" s="4">
        <v>50575.5</v>
      </c>
    </row>
    <row r="450" spans="1:9" x14ac:dyDescent="0.25">
      <c r="A450" s="3">
        <v>44735</v>
      </c>
      <c r="B450" s="4">
        <v>50594</v>
      </c>
      <c r="C450" s="4">
        <v>50800</v>
      </c>
      <c r="D450" s="4">
        <v>51060</v>
      </c>
      <c r="E450" s="4">
        <v>50560</v>
      </c>
      <c r="F450" s="4" t="str">
        <v>7.22K</v>
      </c>
      <c r="G450" s="4" t="str">
        <v>-0.61%</v>
      </c>
      <c r="H450" s="3">
        <v>44735</v>
      </c>
      <c r="I450" s="4">
        <v>50810</v>
      </c>
    </row>
    <row r="451" spans="1:9" x14ac:dyDescent="0.25">
      <c r="A451" s="3">
        <v>44734</v>
      </c>
      <c r="B451" s="4">
        <v>50904</v>
      </c>
      <c r="C451" s="4">
        <v>50691</v>
      </c>
      <c r="D451" s="4">
        <v>51146</v>
      </c>
      <c r="E451" s="4">
        <v>50522</v>
      </c>
      <c r="F451" s="4" t="str">
        <v>6.31K</v>
      </c>
      <c r="G451" s="4" t="str">
        <v>0.28%</v>
      </c>
      <c r="H451" s="3">
        <v>44734</v>
      </c>
      <c r="I451" s="4">
        <v>50834</v>
      </c>
    </row>
    <row r="452" spans="1:9" x14ac:dyDescent="0.25">
      <c r="A452" s="3">
        <v>44733</v>
      </c>
      <c r="B452" s="4">
        <v>50760</v>
      </c>
      <c r="C452" s="4">
        <v>50827</v>
      </c>
      <c r="D452" s="4">
        <v>50950</v>
      </c>
      <c r="E452" s="4">
        <v>50650</v>
      </c>
      <c r="F452" s="4" t="str">
        <v>4.65K</v>
      </c>
      <c r="G452" s="4" t="str">
        <v>0.05%</v>
      </c>
      <c r="H452" s="3">
        <v>44733</v>
      </c>
      <c r="I452" s="4">
        <v>50800</v>
      </c>
    </row>
    <row r="453" spans="1:9" x14ac:dyDescent="0.25">
      <c r="A453" s="3">
        <v>44732</v>
      </c>
      <c r="B453" s="4">
        <v>50735</v>
      </c>
      <c r="C453" s="4">
        <v>50985</v>
      </c>
      <c r="D453" s="4">
        <v>50985</v>
      </c>
      <c r="E453" s="4">
        <v>50713</v>
      </c>
      <c r="F453" s="4" t="str">
        <v>2.75K</v>
      </c>
      <c r="G453" s="4" t="str">
        <v>-0.19%</v>
      </c>
      <c r="H453" s="3">
        <v>44732</v>
      </c>
      <c r="I453" s="4">
        <v>50849</v>
      </c>
    </row>
    <row r="454" spans="1:9" x14ac:dyDescent="0.25">
      <c r="A454" s="3">
        <v>44729</v>
      </c>
      <c r="B454" s="4">
        <v>50834</v>
      </c>
      <c r="C454" s="4">
        <v>50977</v>
      </c>
      <c r="D454" s="4">
        <v>51179</v>
      </c>
      <c r="E454" s="4">
        <v>50815</v>
      </c>
      <c r="F454" s="4" t="str">
        <v>5.17K</v>
      </c>
      <c r="G454" s="4" t="str">
        <v>-0.30%</v>
      </c>
      <c r="H454" s="3">
        <v>44729</v>
      </c>
      <c r="I454" s="4">
        <v>50997</v>
      </c>
    </row>
    <row r="455" spans="1:9" x14ac:dyDescent="0.25">
      <c r="A455" s="3">
        <v>44728</v>
      </c>
      <c r="B455" s="4">
        <v>50986</v>
      </c>
      <c r="C455" s="4">
        <v>50650</v>
      </c>
      <c r="D455" s="4">
        <v>51092</v>
      </c>
      <c r="E455" s="4">
        <v>50295</v>
      </c>
      <c r="F455" s="4" t="str">
        <v>7.78K</v>
      </c>
      <c r="G455" s="4" t="str">
        <v>1.09%</v>
      </c>
      <c r="H455" s="3">
        <v>44728</v>
      </c>
      <c r="I455" s="4">
        <v>50693.5</v>
      </c>
    </row>
    <row r="456" spans="1:9" x14ac:dyDescent="0.25">
      <c r="A456" s="3">
        <v>44727</v>
      </c>
      <c r="B456" s="4">
        <v>50438</v>
      </c>
      <c r="C456" s="4">
        <v>50261</v>
      </c>
      <c r="D456" s="4">
        <v>50861</v>
      </c>
      <c r="E456" s="4">
        <v>50211</v>
      </c>
      <c r="F456" s="4" t="str">
        <v>7.08K</v>
      </c>
      <c r="G456" s="4" t="str">
        <v>0.48%</v>
      </c>
      <c r="H456" s="3">
        <v>44727</v>
      </c>
      <c r="I456" s="4">
        <v>50536</v>
      </c>
    </row>
    <row r="457" spans="1:9" x14ac:dyDescent="0.25">
      <c r="A457" s="3">
        <v>44726</v>
      </c>
      <c r="B457" s="4">
        <v>50195</v>
      </c>
      <c r="C457" s="4">
        <v>50537</v>
      </c>
      <c r="D457" s="4">
        <v>50667</v>
      </c>
      <c r="E457" s="4">
        <v>50151</v>
      </c>
      <c r="F457" s="4" t="str">
        <v>6.59K</v>
      </c>
      <c r="G457" s="4" t="str">
        <v>-0.93%</v>
      </c>
      <c r="H457" s="3">
        <v>44726</v>
      </c>
      <c r="I457" s="4">
        <v>50409</v>
      </c>
    </row>
    <row r="458" spans="1:9" x14ac:dyDescent="0.25">
      <c r="A458" s="3">
        <v>44725</v>
      </c>
      <c r="B458" s="4">
        <v>50664</v>
      </c>
      <c r="C458" s="4">
        <v>51530</v>
      </c>
      <c r="D458" s="4">
        <v>51660</v>
      </c>
      <c r="E458" s="4">
        <v>50551</v>
      </c>
      <c r="F458" s="4" t="str">
        <v>9.02K</v>
      </c>
      <c r="G458" s="4" t="str">
        <v>-2.01%</v>
      </c>
      <c r="H458" s="3">
        <v>44725</v>
      </c>
      <c r="I458" s="4">
        <v>51105.5</v>
      </c>
    </row>
    <row r="459" spans="1:9" x14ac:dyDescent="0.25">
      <c r="A459" s="3">
        <v>44722</v>
      </c>
      <c r="B459" s="4">
        <v>51701</v>
      </c>
      <c r="C459" s="4">
        <v>50900</v>
      </c>
      <c r="D459" s="4">
        <v>51797</v>
      </c>
      <c r="E459" s="4">
        <v>50420</v>
      </c>
      <c r="F459" s="4" t="str">
        <v>11.97K</v>
      </c>
      <c r="G459" s="4" t="str">
        <v>1.36%</v>
      </c>
      <c r="H459" s="3">
        <v>44722</v>
      </c>
      <c r="I459" s="4">
        <v>51108.5</v>
      </c>
    </row>
    <row r="460" spans="1:9" x14ac:dyDescent="0.25">
      <c r="A460" s="3">
        <v>44721</v>
      </c>
      <c r="B460" s="4">
        <v>51005</v>
      </c>
      <c r="C460" s="4">
        <v>51046</v>
      </c>
      <c r="D460" s="4">
        <v>51135</v>
      </c>
      <c r="E460" s="4">
        <v>50805</v>
      </c>
      <c r="F460" s="4" t="str">
        <v>4.58K</v>
      </c>
      <c r="G460" s="4" t="str">
        <v>-0.09%</v>
      </c>
      <c r="H460" s="3">
        <v>44721</v>
      </c>
      <c r="I460" s="4">
        <v>50970</v>
      </c>
    </row>
    <row r="461" spans="1:9" x14ac:dyDescent="0.25">
      <c r="A461" s="3">
        <v>44720</v>
      </c>
      <c r="B461" s="4">
        <v>51051</v>
      </c>
      <c r="C461" s="4">
        <v>50900</v>
      </c>
      <c r="D461" s="4">
        <v>51155</v>
      </c>
      <c r="E461" s="4">
        <v>50851</v>
      </c>
      <c r="F461" s="4" t="str">
        <v>4.55K</v>
      </c>
      <c r="G461" s="4" t="str">
        <v>0.16%</v>
      </c>
      <c r="H461" s="3">
        <v>44720</v>
      </c>
      <c r="I461" s="4">
        <v>51003</v>
      </c>
    </row>
    <row r="462" spans="1:9" x14ac:dyDescent="0.25">
      <c r="A462" s="3">
        <v>44719</v>
      </c>
      <c r="B462" s="4">
        <v>50968</v>
      </c>
      <c r="C462" s="4">
        <v>50787</v>
      </c>
      <c r="D462" s="4">
        <v>51070</v>
      </c>
      <c r="E462" s="4">
        <v>50681</v>
      </c>
      <c r="F462" s="4" t="str">
        <v>4.86K</v>
      </c>
      <c r="G462" s="4" t="str">
        <v>0.19%</v>
      </c>
      <c r="H462" s="3">
        <v>44719</v>
      </c>
      <c r="I462" s="4">
        <v>50875.5</v>
      </c>
    </row>
    <row r="463" spans="1:9" x14ac:dyDescent="0.25">
      <c r="A463" s="3">
        <v>44718</v>
      </c>
      <c r="B463" s="4">
        <v>50870</v>
      </c>
      <c r="C463" s="4">
        <v>51126</v>
      </c>
      <c r="D463" s="4">
        <v>51133</v>
      </c>
      <c r="E463" s="4">
        <v>50815</v>
      </c>
      <c r="F463" s="4" t="str">
        <v>5.77K</v>
      </c>
      <c r="G463" s="4" t="str">
        <v>-0.85%</v>
      </c>
      <c r="H463" s="3">
        <v>44718</v>
      </c>
      <c r="I463" s="4">
        <v>50974</v>
      </c>
    </row>
    <row r="464" spans="1:9" x14ac:dyDescent="0.25">
      <c r="A464" s="3">
        <v>44715</v>
      </c>
      <c r="B464" s="4">
        <v>51306</v>
      </c>
      <c r="C464" s="4">
        <v>51306</v>
      </c>
      <c r="D464" s="4">
        <v>51306</v>
      </c>
      <c r="E464" s="4">
        <v>51306</v>
      </c>
      <c r="F464" s="4" t="str">
        <v>0.00K</v>
      </c>
      <c r="G464" s="4" t="str">
        <v>0.10%</v>
      </c>
      <c r="H464" s="3">
        <v>44715</v>
      </c>
      <c r="I464" s="4">
        <v>51306</v>
      </c>
    </row>
    <row r="465" spans="1:9" x14ac:dyDescent="0.25">
      <c r="A465" s="3">
        <v>44714</v>
      </c>
      <c r="B465" s="4">
        <v>51255</v>
      </c>
      <c r="C465" s="4">
        <v>50928</v>
      </c>
      <c r="D465" s="4">
        <v>51359</v>
      </c>
      <c r="E465" s="4">
        <v>50928</v>
      </c>
      <c r="F465" s="4" t="str">
        <v>0.02K</v>
      </c>
      <c r="G465" s="4" t="str">
        <v>0.92%</v>
      </c>
      <c r="H465" s="3">
        <v>44714</v>
      </c>
      <c r="I465" s="4">
        <v>51143.5</v>
      </c>
    </row>
    <row r="466" spans="1:9" x14ac:dyDescent="0.25">
      <c r="A466" s="3">
        <v>44713</v>
      </c>
      <c r="B466" s="4">
        <v>50788</v>
      </c>
      <c r="C466" s="4">
        <v>50654</v>
      </c>
      <c r="D466" s="4">
        <v>50903</v>
      </c>
      <c r="E466" s="4">
        <v>50462</v>
      </c>
      <c r="F466" s="4" t="str">
        <v>0.05K</v>
      </c>
      <c r="G466" s="4" t="str">
        <v>-0.13%</v>
      </c>
      <c r="H466" s="3">
        <v>44713</v>
      </c>
      <c r="I466" s="4">
        <v>50682.5</v>
      </c>
    </row>
    <row r="467" spans="1:9" x14ac:dyDescent="0.25">
      <c r="A467" s="3">
        <v>44712</v>
      </c>
      <c r="B467" s="4">
        <v>50855</v>
      </c>
      <c r="C467" s="4">
        <v>50959</v>
      </c>
      <c r="D467" s="4">
        <v>51180</v>
      </c>
      <c r="E467" s="4">
        <v>50800</v>
      </c>
      <c r="F467" s="4" t="str">
        <v>0.52K</v>
      </c>
      <c r="G467" s="4" t="str">
        <v>-0.12%</v>
      </c>
      <c r="H467" s="3">
        <v>44712</v>
      </c>
      <c r="I467" s="4">
        <v>50990</v>
      </c>
    </row>
    <row r="468" spans="1:9" x14ac:dyDescent="0.25">
      <c r="A468" s="3">
        <v>44711</v>
      </c>
      <c r="B468" s="4">
        <v>50915</v>
      </c>
      <c r="C468" s="4">
        <v>50974</v>
      </c>
      <c r="D468" s="4">
        <v>51112</v>
      </c>
      <c r="E468" s="4">
        <v>50901</v>
      </c>
      <c r="F468" s="4" t="str">
        <v>1.23K</v>
      </c>
      <c r="G468" s="4" t="str">
        <v>0.00%</v>
      </c>
      <c r="H468" s="3">
        <v>44711</v>
      </c>
      <c r="I468" s="4">
        <v>51006.5</v>
      </c>
    </row>
    <row r="469" spans="1:9" x14ac:dyDescent="0.25">
      <c r="A469" s="3">
        <v>44708</v>
      </c>
      <c r="B469" s="4">
        <v>50913</v>
      </c>
      <c r="C469" s="4">
        <v>50952</v>
      </c>
      <c r="D469" s="4">
        <v>51066</v>
      </c>
      <c r="E469" s="4">
        <v>50850</v>
      </c>
      <c r="F469" s="4" t="str">
        <v>4.38K</v>
      </c>
      <c r="G469" s="4" t="str">
        <v>0.08%</v>
      </c>
      <c r="H469" s="3">
        <v>44708</v>
      </c>
      <c r="I469" s="4">
        <v>50958</v>
      </c>
    </row>
    <row r="470" spans="1:9" x14ac:dyDescent="0.25">
      <c r="A470" s="3">
        <v>44707</v>
      </c>
      <c r="B470" s="4">
        <v>50871</v>
      </c>
      <c r="C470" s="4">
        <v>50840</v>
      </c>
      <c r="D470" s="4">
        <v>50920</v>
      </c>
      <c r="E470" s="4">
        <v>50580</v>
      </c>
      <c r="F470" s="4" t="str">
        <v>5.01K</v>
      </c>
      <c r="G470" s="4" t="str">
        <v>0.10%</v>
      </c>
      <c r="H470" s="3">
        <v>44707</v>
      </c>
      <c r="I470" s="4">
        <v>50750</v>
      </c>
    </row>
    <row r="471" spans="1:9" x14ac:dyDescent="0.25">
      <c r="A471" s="3">
        <v>44706</v>
      </c>
      <c r="B471" s="4">
        <v>50819</v>
      </c>
      <c r="C471" s="4">
        <v>51109</v>
      </c>
      <c r="D471" s="4">
        <v>51132</v>
      </c>
      <c r="E471" s="4">
        <v>50705</v>
      </c>
      <c r="F471" s="4" t="str">
        <v>6.20K</v>
      </c>
      <c r="G471" s="4" t="str">
        <v>-0.66%</v>
      </c>
      <c r="H471" s="3">
        <v>44706</v>
      </c>
      <c r="I471" s="4">
        <v>50918.5</v>
      </c>
    </row>
    <row r="472" spans="1:9" x14ac:dyDescent="0.25">
      <c r="A472" s="3">
        <v>44705</v>
      </c>
      <c r="B472" s="4">
        <v>51157</v>
      </c>
      <c r="C472" s="4">
        <v>50940</v>
      </c>
      <c r="D472" s="4">
        <v>51246</v>
      </c>
      <c r="E472" s="4">
        <v>50880</v>
      </c>
      <c r="F472" s="4" t="str">
        <v>5.02K</v>
      </c>
      <c r="G472" s="4" t="str">
        <v>0.49%</v>
      </c>
      <c r="H472" s="3">
        <v>44705</v>
      </c>
      <c r="I472" s="4">
        <v>51063</v>
      </c>
    </row>
    <row r="473" spans="1:9" x14ac:dyDescent="0.25">
      <c r="A473" s="3">
        <v>44704</v>
      </c>
      <c r="B473" s="4">
        <v>50907</v>
      </c>
      <c r="C473" s="4">
        <v>50897</v>
      </c>
      <c r="D473" s="4">
        <v>51156</v>
      </c>
      <c r="E473" s="4">
        <v>50808</v>
      </c>
      <c r="F473" s="4" t="str">
        <v>4.25K</v>
      </c>
      <c r="G473" s="4" t="str">
        <v>0.15%</v>
      </c>
      <c r="H473" s="3">
        <v>44704</v>
      </c>
      <c r="I473" s="4">
        <v>50982</v>
      </c>
    </row>
    <row r="474" spans="1:9" x14ac:dyDescent="0.25">
      <c r="A474" s="3">
        <v>44701</v>
      </c>
      <c r="B474" s="4">
        <v>50829</v>
      </c>
      <c r="C474" s="4">
        <v>50471</v>
      </c>
      <c r="D474" s="4">
        <v>50860</v>
      </c>
      <c r="E474" s="4">
        <v>50471</v>
      </c>
      <c r="F474" s="4" t="str">
        <v>6.15K</v>
      </c>
      <c r="G474" s="4" t="str">
        <v>0.56%</v>
      </c>
      <c r="H474" s="3">
        <v>44701</v>
      </c>
      <c r="I474" s="4">
        <v>50665.5</v>
      </c>
    </row>
    <row r="475" spans="1:9" x14ac:dyDescent="0.25">
      <c r="A475" s="3">
        <v>44700</v>
      </c>
      <c r="B475" s="4">
        <v>50544</v>
      </c>
      <c r="C475" s="4">
        <v>50280</v>
      </c>
      <c r="D475" s="4">
        <v>50760</v>
      </c>
      <c r="E475" s="4">
        <v>50058</v>
      </c>
      <c r="F475" s="4" t="str">
        <v>6.35K</v>
      </c>
      <c r="G475" s="4" t="str">
        <v>0.65%</v>
      </c>
      <c r="H475" s="3">
        <v>44700</v>
      </c>
      <c r="I475" s="4">
        <v>50409</v>
      </c>
    </row>
    <row r="476" spans="1:9" x14ac:dyDescent="0.25">
      <c r="A476" s="3">
        <v>44699</v>
      </c>
      <c r="B476" s="4">
        <v>50218</v>
      </c>
      <c r="C476" s="4">
        <v>50120</v>
      </c>
      <c r="D476" s="4">
        <v>50366</v>
      </c>
      <c r="E476" s="4">
        <v>49863</v>
      </c>
      <c r="F476" s="4" t="str">
        <v>6.97K</v>
      </c>
      <c r="G476" s="4" t="str">
        <v>0.09%</v>
      </c>
      <c r="H476" s="3">
        <v>44699</v>
      </c>
      <c r="I476" s="4">
        <v>50114.5</v>
      </c>
    </row>
    <row r="477" spans="1:9" x14ac:dyDescent="0.25">
      <c r="A477" s="3">
        <v>44698</v>
      </c>
      <c r="B477" s="4">
        <v>50173</v>
      </c>
      <c r="C477" s="4">
        <v>50399</v>
      </c>
      <c r="D477" s="4">
        <v>50580</v>
      </c>
      <c r="E477" s="4">
        <v>50130</v>
      </c>
      <c r="F477" s="4" t="str">
        <v>5.25K</v>
      </c>
      <c r="G477" s="4" t="str">
        <v>-0.15%</v>
      </c>
      <c r="H477" s="3">
        <v>44698</v>
      </c>
      <c r="I477" s="4">
        <v>50355</v>
      </c>
    </row>
    <row r="478" spans="1:9" x14ac:dyDescent="0.25">
      <c r="A478" s="3">
        <v>44697</v>
      </c>
      <c r="B478" s="4">
        <v>50248</v>
      </c>
      <c r="C478" s="4">
        <v>49930</v>
      </c>
      <c r="D478" s="4">
        <v>50297</v>
      </c>
      <c r="E478" s="4">
        <v>49572</v>
      </c>
      <c r="F478" s="4" t="str">
        <v>5.43K</v>
      </c>
      <c r="G478" s="4" t="str">
        <v>0.75%</v>
      </c>
      <c r="H478" s="3">
        <v>44697</v>
      </c>
      <c r="I478" s="4">
        <v>49934.5</v>
      </c>
    </row>
    <row r="479" spans="1:9" x14ac:dyDescent="0.25">
      <c r="A479" s="3">
        <v>44694</v>
      </c>
      <c r="B479" s="4">
        <v>49873</v>
      </c>
      <c r="C479" s="4">
        <v>50067</v>
      </c>
      <c r="D479" s="4">
        <v>50249</v>
      </c>
      <c r="E479" s="4">
        <v>49670</v>
      </c>
      <c r="F479" s="4" t="str">
        <v>7.46K</v>
      </c>
      <c r="G479" s="4" t="str">
        <v>-0.60%</v>
      </c>
      <c r="H479" s="3">
        <v>44694</v>
      </c>
      <c r="I479" s="4">
        <v>49959.5</v>
      </c>
    </row>
    <row r="480" spans="1:9" x14ac:dyDescent="0.25">
      <c r="A480" s="3">
        <v>44693</v>
      </c>
      <c r="B480" s="4">
        <v>50174</v>
      </c>
      <c r="C480" s="4">
        <v>50939</v>
      </c>
      <c r="D480" s="4">
        <v>50946</v>
      </c>
      <c r="E480" s="4">
        <v>50140</v>
      </c>
      <c r="F480" s="4" t="str">
        <v>7.24K</v>
      </c>
      <c r="G480" s="4" t="str">
        <v>-1.28%</v>
      </c>
      <c r="H480" s="3">
        <v>44693</v>
      </c>
      <c r="I480" s="4">
        <v>50543</v>
      </c>
    </row>
    <row r="481" spans="1:9" x14ac:dyDescent="0.25">
      <c r="A481" s="3">
        <v>44692</v>
      </c>
      <c r="B481" s="4">
        <v>50822</v>
      </c>
      <c r="C481" s="4">
        <v>50449</v>
      </c>
      <c r="D481" s="4">
        <v>50888</v>
      </c>
      <c r="E481" s="4">
        <v>50322</v>
      </c>
      <c r="F481" s="4" t="str">
        <v>6.73K</v>
      </c>
      <c r="G481" s="4" t="str">
        <v>0.47%</v>
      </c>
      <c r="H481" s="3">
        <v>44692</v>
      </c>
      <c r="I481" s="4">
        <v>50605</v>
      </c>
    </row>
    <row r="482" spans="1:9" x14ac:dyDescent="0.25">
      <c r="A482" s="3">
        <v>44691</v>
      </c>
      <c r="B482" s="4">
        <v>50586</v>
      </c>
      <c r="C482" s="4">
        <v>50971</v>
      </c>
      <c r="D482" s="4">
        <v>51118</v>
      </c>
      <c r="E482" s="4">
        <v>50511</v>
      </c>
      <c r="F482" s="4" t="str">
        <v>6.39K</v>
      </c>
      <c r="G482" s="4" t="str">
        <v>-0.73%</v>
      </c>
      <c r="H482" s="3">
        <v>44691</v>
      </c>
      <c r="I482" s="4">
        <v>50814.5</v>
      </c>
    </row>
    <row r="483" spans="1:9" x14ac:dyDescent="0.25">
      <c r="A483" s="3">
        <v>44690</v>
      </c>
      <c r="B483" s="4">
        <v>50959</v>
      </c>
      <c r="C483" s="4">
        <v>51259</v>
      </c>
      <c r="D483" s="4">
        <v>51386</v>
      </c>
      <c r="E483" s="4">
        <v>50901</v>
      </c>
      <c r="F483" s="4" t="str">
        <v>5.77K</v>
      </c>
      <c r="G483" s="4" t="str">
        <v>-0.75%</v>
      </c>
      <c r="H483" s="3">
        <v>44690</v>
      </c>
      <c r="I483" s="4">
        <v>51143.5</v>
      </c>
    </row>
    <row r="484" spans="1:9" x14ac:dyDescent="0.25">
      <c r="A484" s="3">
        <v>44687</v>
      </c>
      <c r="B484" s="4">
        <v>51343</v>
      </c>
      <c r="C484" s="4">
        <v>50936</v>
      </c>
      <c r="D484" s="4">
        <v>51538</v>
      </c>
      <c r="E484" s="4">
        <v>50905</v>
      </c>
      <c r="F484" s="4" t="str">
        <v>5.86K</v>
      </c>
      <c r="G484" s="4" t="str">
        <v>0.87%</v>
      </c>
      <c r="H484" s="3">
        <v>44687</v>
      </c>
      <c r="I484" s="4">
        <v>51221.5</v>
      </c>
    </row>
    <row r="485" spans="1:9" x14ac:dyDescent="0.25">
      <c r="A485" s="3">
        <v>44686</v>
      </c>
      <c r="B485" s="4">
        <v>50899</v>
      </c>
      <c r="C485" s="4">
        <v>50921</v>
      </c>
      <c r="D485" s="4">
        <v>51557</v>
      </c>
      <c r="E485" s="4">
        <v>50853</v>
      </c>
      <c r="F485" s="4" t="str">
        <v>9.29K</v>
      </c>
      <c r="G485" s="4" t="str">
        <v>0.57%</v>
      </c>
      <c r="H485" s="3">
        <v>44686</v>
      </c>
      <c r="I485" s="4">
        <v>51205</v>
      </c>
    </row>
    <row r="486" spans="1:9" x14ac:dyDescent="0.25">
      <c r="A486" s="3">
        <v>44685</v>
      </c>
      <c r="B486" s="4">
        <v>50610</v>
      </c>
      <c r="C486" s="4">
        <v>50675</v>
      </c>
      <c r="D486" s="4">
        <v>50830</v>
      </c>
      <c r="E486" s="4">
        <v>50502</v>
      </c>
      <c r="F486" s="4" t="str">
        <v>6.19K</v>
      </c>
      <c r="G486" s="4" t="str">
        <v>-0.39%</v>
      </c>
      <c r="H486" s="3">
        <v>44685</v>
      </c>
      <c r="I486" s="4">
        <v>50666</v>
      </c>
    </row>
    <row r="487" spans="1:9" x14ac:dyDescent="0.25">
      <c r="A487" s="3">
        <v>44684</v>
      </c>
      <c r="B487" s="4">
        <v>50808</v>
      </c>
      <c r="C487" s="4">
        <v>50555</v>
      </c>
      <c r="D487" s="4">
        <v>50992</v>
      </c>
      <c r="E487" s="4">
        <v>50515</v>
      </c>
      <c r="F487" s="4" t="str">
        <v>2.61K</v>
      </c>
      <c r="G487" s="4" t="str">
        <v>0.29%</v>
      </c>
      <c r="H487" s="3">
        <v>44684</v>
      </c>
      <c r="I487" s="4">
        <v>50753.5</v>
      </c>
    </row>
    <row r="488" spans="1:9" x14ac:dyDescent="0.25">
      <c r="A488" s="3">
        <v>44683</v>
      </c>
      <c r="B488" s="4">
        <v>50659</v>
      </c>
      <c r="C488" s="4">
        <v>51270</v>
      </c>
      <c r="D488" s="4">
        <v>51322</v>
      </c>
      <c r="E488" s="4">
        <v>50481</v>
      </c>
      <c r="F488" s="4" t="str">
        <v>10.57K</v>
      </c>
      <c r="G488" s="4" t="str">
        <v>-2.12%</v>
      </c>
      <c r="H488" s="3">
        <v>44683</v>
      </c>
      <c r="I488" s="4">
        <v>50901.5</v>
      </c>
    </row>
    <row r="489" spans="1:9" x14ac:dyDescent="0.25">
      <c r="A489" s="3">
        <v>44680</v>
      </c>
      <c r="B489" s="4">
        <v>51754</v>
      </c>
      <c r="C489" s="4">
        <v>51499</v>
      </c>
      <c r="D489" s="4">
        <v>51879</v>
      </c>
      <c r="E489" s="4">
        <v>51499</v>
      </c>
      <c r="F489" s="4" t="str">
        <v>6.04K</v>
      </c>
      <c r="G489" s="4" t="str">
        <v>0.96%</v>
      </c>
      <c r="H489" s="3">
        <v>44680</v>
      </c>
      <c r="I489" s="4">
        <v>51689</v>
      </c>
    </row>
    <row r="490" spans="1:9" x14ac:dyDescent="0.25">
      <c r="A490" s="3">
        <v>44679</v>
      </c>
      <c r="B490" s="4">
        <v>51262</v>
      </c>
      <c r="C490" s="4">
        <v>51089</v>
      </c>
      <c r="D490" s="4">
        <v>51335</v>
      </c>
      <c r="E490" s="4">
        <v>50828</v>
      </c>
      <c r="F490" s="4" t="str">
        <v>5.95K</v>
      </c>
      <c r="G490" s="4" t="str">
        <v>0.12%</v>
      </c>
      <c r="H490" s="3">
        <v>44679</v>
      </c>
      <c r="I490" s="4">
        <v>51081.5</v>
      </c>
    </row>
    <row r="491" spans="1:9" x14ac:dyDescent="0.25">
      <c r="A491" s="3">
        <v>44678</v>
      </c>
      <c r="B491" s="4">
        <v>51199</v>
      </c>
      <c r="C491" s="4">
        <v>51545</v>
      </c>
      <c r="D491" s="4">
        <v>51636</v>
      </c>
      <c r="E491" s="4">
        <v>51082</v>
      </c>
      <c r="F491" s="4" t="str">
        <v>7.57K</v>
      </c>
      <c r="G491" s="4" t="str">
        <v>-0.75%</v>
      </c>
      <c r="H491" s="3">
        <v>44678</v>
      </c>
      <c r="I491" s="4">
        <v>51359</v>
      </c>
    </row>
    <row r="492" spans="1:9" x14ac:dyDescent="0.25">
      <c r="A492" s="3">
        <v>44677</v>
      </c>
      <c r="B492" s="4">
        <v>51584</v>
      </c>
      <c r="C492" s="4">
        <v>51460</v>
      </c>
      <c r="D492" s="4">
        <v>51769</v>
      </c>
      <c r="E492" s="4">
        <v>51410</v>
      </c>
      <c r="F492" s="4" t="str">
        <v>5.11K</v>
      </c>
      <c r="G492" s="4" t="str">
        <v>0.37%</v>
      </c>
      <c r="H492" s="3">
        <v>44677</v>
      </c>
      <c r="I492" s="4">
        <v>51589.5</v>
      </c>
    </row>
    <row r="493" spans="1:9" x14ac:dyDescent="0.25">
      <c r="A493" s="3">
        <v>44676</v>
      </c>
      <c r="B493" s="4">
        <v>51393</v>
      </c>
      <c r="C493" s="4">
        <v>52033</v>
      </c>
      <c r="D493" s="4">
        <v>52115</v>
      </c>
      <c r="E493" s="4">
        <v>51300</v>
      </c>
      <c r="F493" s="4" t="str">
        <v>8.93K</v>
      </c>
      <c r="G493" s="4" t="str">
        <v>-1.66%</v>
      </c>
      <c r="H493" s="3">
        <v>44676</v>
      </c>
      <c r="I493" s="4">
        <v>51707.5</v>
      </c>
    </row>
    <row r="494" spans="1:9" x14ac:dyDescent="0.25">
      <c r="A494" s="3">
        <v>44673</v>
      </c>
      <c r="B494" s="4">
        <v>52261</v>
      </c>
      <c r="C494" s="4">
        <v>52529</v>
      </c>
      <c r="D494" s="4">
        <v>52662</v>
      </c>
      <c r="E494" s="4">
        <v>52104</v>
      </c>
      <c r="F494" s="4" t="str">
        <v>6.73K</v>
      </c>
      <c r="G494" s="4" t="str">
        <v>-0.29%</v>
      </c>
      <c r="H494" s="3">
        <v>44673</v>
      </c>
      <c r="I494" s="4">
        <v>52383</v>
      </c>
    </row>
    <row r="495" spans="1:9" x14ac:dyDescent="0.25">
      <c r="A495" s="3">
        <v>44672</v>
      </c>
      <c r="B495" s="4">
        <v>52413</v>
      </c>
      <c r="C495" s="4">
        <v>52628</v>
      </c>
      <c r="D495" s="4">
        <v>52649</v>
      </c>
      <c r="E495" s="4">
        <v>52144</v>
      </c>
      <c r="F495" s="4" t="str">
        <v>5.28K</v>
      </c>
      <c r="G495" s="4" t="str">
        <v>-0.41%</v>
      </c>
      <c r="H495" s="3">
        <v>44672</v>
      </c>
      <c r="I495" s="4">
        <v>52396.5</v>
      </c>
    </row>
    <row r="496" spans="1:9" x14ac:dyDescent="0.25">
      <c r="A496" s="3">
        <v>44671</v>
      </c>
      <c r="B496" s="4">
        <v>52628</v>
      </c>
      <c r="C496" s="4">
        <v>52562</v>
      </c>
      <c r="D496" s="4">
        <v>52650</v>
      </c>
      <c r="E496" s="4">
        <v>52310</v>
      </c>
      <c r="F496" s="4" t="str">
        <v>5.28K</v>
      </c>
      <c r="G496" s="4" t="str">
        <v>-0.23%</v>
      </c>
      <c r="H496" s="3">
        <v>44671</v>
      </c>
      <c r="I496" s="4">
        <v>52480</v>
      </c>
    </row>
    <row r="497" spans="1:9" x14ac:dyDescent="0.25">
      <c r="A497" s="3">
        <v>44670</v>
      </c>
      <c r="B497" s="4">
        <v>52749</v>
      </c>
      <c r="C497" s="4">
        <v>53248</v>
      </c>
      <c r="D497" s="4">
        <v>53416</v>
      </c>
      <c r="E497" s="4">
        <v>52660</v>
      </c>
      <c r="F497" s="4" t="str">
        <v>6.28K</v>
      </c>
      <c r="G497" s="4" t="str">
        <v>-0.98%</v>
      </c>
      <c r="H497" s="3">
        <v>44670</v>
      </c>
      <c r="I497" s="4">
        <v>53038</v>
      </c>
    </row>
    <row r="498" spans="1:9" x14ac:dyDescent="0.25">
      <c r="A498" s="3">
        <v>44669</v>
      </c>
      <c r="B498" s="4">
        <v>53272</v>
      </c>
      <c r="C498" s="4">
        <v>53470</v>
      </c>
      <c r="D498" s="4">
        <v>53663</v>
      </c>
      <c r="E498" s="4">
        <v>53218</v>
      </c>
      <c r="F498" s="4" t="str">
        <v>5.24K</v>
      </c>
      <c r="G498" s="4" t="str">
        <v>0.53%</v>
      </c>
      <c r="H498" s="3">
        <v>44669</v>
      </c>
      <c r="I498" s="4">
        <v>53440.5</v>
      </c>
    </row>
    <row r="499" spans="1:9" x14ac:dyDescent="0.25">
      <c r="A499" s="3">
        <v>44665</v>
      </c>
      <c r="B499" s="4">
        <v>52992</v>
      </c>
      <c r="C499" s="4">
        <v>53010</v>
      </c>
      <c r="D499" s="4">
        <v>53110</v>
      </c>
      <c r="E499" s="4">
        <v>52700</v>
      </c>
      <c r="F499" s="4" t="str">
        <v>2.93K</v>
      </c>
      <c r="G499" s="4" t="str">
        <v>-0.17%</v>
      </c>
      <c r="H499" s="3">
        <v>44665</v>
      </c>
      <c r="I499" s="4">
        <v>52905</v>
      </c>
    </row>
    <row r="500" spans="1:9" x14ac:dyDescent="0.25">
      <c r="A500" s="3">
        <v>44664</v>
      </c>
      <c r="B500" s="4">
        <v>53081</v>
      </c>
      <c r="C500" s="4">
        <v>52850</v>
      </c>
      <c r="D500" s="4">
        <v>53150</v>
      </c>
      <c r="E500" s="4">
        <v>52807</v>
      </c>
      <c r="F500" s="4" t="str">
        <v>3.76K</v>
      </c>
      <c r="G500" s="4" t="str">
        <v>0.38%</v>
      </c>
      <c r="H500" s="3">
        <v>44664</v>
      </c>
      <c r="I500" s="4">
        <v>52978.5</v>
      </c>
    </row>
    <row r="501" spans="1:9" x14ac:dyDescent="0.25">
      <c r="A501" s="3">
        <v>44663</v>
      </c>
      <c r="B501" s="4">
        <v>52878</v>
      </c>
      <c r="C501" s="4">
        <v>52375</v>
      </c>
      <c r="D501" s="4">
        <v>53000</v>
      </c>
      <c r="E501" s="4">
        <v>52375</v>
      </c>
      <c r="F501" s="4" t="str">
        <v>6.48K</v>
      </c>
      <c r="G501" s="4" t="str">
        <v>1.34%</v>
      </c>
      <c r="H501" s="3">
        <v>44663</v>
      </c>
      <c r="I501" s="4">
        <v>52687.5</v>
      </c>
    </row>
    <row r="502" spans="1:9" x14ac:dyDescent="0.25">
      <c r="A502" s="3">
        <v>44662</v>
      </c>
      <c r="B502" s="4">
        <v>52179</v>
      </c>
      <c r="C502" s="4">
        <v>52126</v>
      </c>
      <c r="D502" s="4">
        <v>52740</v>
      </c>
      <c r="E502" s="4">
        <v>52021</v>
      </c>
      <c r="F502" s="4" t="str">
        <v>5.69K</v>
      </c>
      <c r="G502" s="4" t="str">
        <v>0.21%</v>
      </c>
      <c r="H502" s="3">
        <v>44662</v>
      </c>
      <c r="I502" s="4">
        <v>52380.5</v>
      </c>
    </row>
    <row r="503" spans="1:9" x14ac:dyDescent="0.25">
      <c r="A503" s="3">
        <v>44659</v>
      </c>
      <c r="B503" s="4">
        <v>52071</v>
      </c>
      <c r="C503" s="4">
        <v>51734</v>
      </c>
      <c r="D503" s="4">
        <v>52197</v>
      </c>
      <c r="E503" s="4">
        <v>51681</v>
      </c>
      <c r="F503" s="4" t="str">
        <v>5.29K</v>
      </c>
      <c r="G503" s="4" t="str">
        <v>0.34%</v>
      </c>
      <c r="H503" s="3">
        <v>44659</v>
      </c>
      <c r="I503" s="4">
        <v>51939</v>
      </c>
    </row>
    <row r="504" spans="1:9" x14ac:dyDescent="0.25">
      <c r="A504" s="3">
        <v>44658</v>
      </c>
      <c r="B504" s="4">
        <v>51897</v>
      </c>
      <c r="C504" s="4">
        <v>51611</v>
      </c>
      <c r="D504" s="4">
        <v>51982</v>
      </c>
      <c r="E504" s="4">
        <v>51550</v>
      </c>
      <c r="F504" s="4" t="str">
        <v>4.35K</v>
      </c>
      <c r="G504" s="4" t="str">
        <v>0.58%</v>
      </c>
      <c r="H504" s="3">
        <v>44658</v>
      </c>
      <c r="I504" s="4">
        <v>51766</v>
      </c>
    </row>
    <row r="505" spans="1:9" x14ac:dyDescent="0.25">
      <c r="A505" s="3">
        <v>44657</v>
      </c>
      <c r="B505" s="4">
        <v>51596</v>
      </c>
      <c r="C505" s="4">
        <v>51398</v>
      </c>
      <c r="D505" s="4">
        <v>51837</v>
      </c>
      <c r="E505" s="4">
        <v>51320</v>
      </c>
      <c r="F505" s="4" t="str">
        <v>5.75K</v>
      </c>
      <c r="G505" s="4" t="str">
        <v>0.36%</v>
      </c>
      <c r="H505" s="3">
        <v>44657</v>
      </c>
      <c r="I505" s="4">
        <v>51578.5</v>
      </c>
    </row>
    <row r="506" spans="1:9" x14ac:dyDescent="0.25">
      <c r="A506" s="3">
        <v>44656</v>
      </c>
      <c r="B506" s="4">
        <v>51413</v>
      </c>
      <c r="C506" s="4">
        <v>51304</v>
      </c>
      <c r="D506" s="4">
        <v>51670</v>
      </c>
      <c r="E506" s="4">
        <v>51160</v>
      </c>
      <c r="F506" s="4" t="str">
        <v>0.03K</v>
      </c>
      <c r="G506" s="4" t="str">
        <v>0.29%</v>
      </c>
      <c r="H506" s="3">
        <v>44656</v>
      </c>
      <c r="I506" s="4">
        <v>51415</v>
      </c>
    </row>
    <row r="507" spans="1:9" x14ac:dyDescent="0.25">
      <c r="A507" s="3">
        <v>44655</v>
      </c>
      <c r="B507" s="4">
        <v>51266</v>
      </c>
      <c r="C507" s="4">
        <v>51224</v>
      </c>
      <c r="D507" s="4">
        <v>51350</v>
      </c>
      <c r="E507" s="4">
        <v>51200</v>
      </c>
      <c r="F507" s="4" t="str">
        <v>0.02K</v>
      </c>
      <c r="G507" s="4" t="str">
        <v>-0.15%</v>
      </c>
      <c r="H507" s="3">
        <v>44655</v>
      </c>
      <c r="I507" s="4">
        <v>51275</v>
      </c>
    </row>
    <row r="508" spans="1:9" x14ac:dyDescent="0.25">
      <c r="A508" s="3">
        <v>44652</v>
      </c>
      <c r="B508" s="4">
        <v>51344</v>
      </c>
      <c r="C508" s="4">
        <v>51480</v>
      </c>
      <c r="D508" s="4">
        <v>51551</v>
      </c>
      <c r="E508" s="4">
        <v>51275</v>
      </c>
      <c r="F508" s="4" t="str">
        <v>0.13K</v>
      </c>
      <c r="G508" s="4" t="str">
        <v>-0.47%</v>
      </c>
      <c r="H508" s="3">
        <v>44652</v>
      </c>
      <c r="I508" s="4">
        <v>51413</v>
      </c>
    </row>
    <row r="509" spans="1:9" x14ac:dyDescent="0.25">
      <c r="A509" s="3">
        <v>44651</v>
      </c>
      <c r="B509" s="4">
        <v>51585</v>
      </c>
      <c r="C509" s="4">
        <v>50906</v>
      </c>
      <c r="D509" s="4">
        <v>51718</v>
      </c>
      <c r="E509" s="4">
        <v>50906</v>
      </c>
      <c r="F509" s="4" t="str">
        <v>0.13K</v>
      </c>
      <c r="G509" s="4" t="str">
        <v>1.24%</v>
      </c>
      <c r="H509" s="3">
        <v>44651</v>
      </c>
      <c r="I509" s="4">
        <v>51312</v>
      </c>
    </row>
    <row r="510" spans="1:9" x14ac:dyDescent="0.25">
      <c r="A510" s="3">
        <v>44650</v>
      </c>
      <c r="B510" s="4">
        <v>50953</v>
      </c>
      <c r="C510" s="4">
        <v>50979</v>
      </c>
      <c r="D510" s="4">
        <v>51263</v>
      </c>
      <c r="E510" s="4">
        <v>50811</v>
      </c>
      <c r="F510" s="4" t="str">
        <v>3.67K</v>
      </c>
      <c r="G510" s="4" t="str">
        <v>0.28%</v>
      </c>
      <c r="H510" s="3">
        <v>44650</v>
      </c>
      <c r="I510" s="4">
        <v>51037</v>
      </c>
    </row>
    <row r="511" spans="1:9" x14ac:dyDescent="0.25">
      <c r="A511" s="3">
        <v>44649</v>
      </c>
      <c r="B511" s="4">
        <v>50813</v>
      </c>
      <c r="C511" s="4">
        <v>51342</v>
      </c>
      <c r="D511" s="4">
        <v>51383</v>
      </c>
      <c r="E511" s="4">
        <v>50354</v>
      </c>
      <c r="F511" s="4" t="str">
        <v>8.07K</v>
      </c>
      <c r="G511" s="4" t="str">
        <v>-1.47%</v>
      </c>
      <c r="H511" s="3">
        <v>44649</v>
      </c>
      <c r="I511" s="4">
        <v>50868.5</v>
      </c>
    </row>
    <row r="512" spans="1:9" x14ac:dyDescent="0.25">
      <c r="A512" s="3">
        <v>44648</v>
      </c>
      <c r="B512" s="4">
        <v>51571</v>
      </c>
      <c r="C512" s="4">
        <v>51721</v>
      </c>
      <c r="D512" s="4">
        <v>51784</v>
      </c>
      <c r="E512" s="4">
        <v>51370</v>
      </c>
      <c r="F512" s="4" t="str">
        <v>4.65K</v>
      </c>
      <c r="G512" s="4" t="str">
        <v>-0.59%</v>
      </c>
      <c r="H512" s="3">
        <v>44648</v>
      </c>
      <c r="I512" s="4">
        <v>51577</v>
      </c>
    </row>
    <row r="513" spans="1:9" x14ac:dyDescent="0.25">
      <c r="A513" s="3">
        <v>44645</v>
      </c>
      <c r="B513" s="4">
        <v>51876</v>
      </c>
      <c r="C513" s="4">
        <v>52075</v>
      </c>
      <c r="D513" s="4">
        <v>52100</v>
      </c>
      <c r="E513" s="4">
        <v>51762</v>
      </c>
      <c r="F513" s="4" t="str">
        <v>3.68K</v>
      </c>
      <c r="G513" s="4" t="str">
        <v>-0.39%</v>
      </c>
      <c r="H513" s="3">
        <v>44645</v>
      </c>
      <c r="I513" s="4">
        <v>51931</v>
      </c>
    </row>
    <row r="514" spans="1:9" x14ac:dyDescent="0.25">
      <c r="A514" s="3">
        <v>44644</v>
      </c>
      <c r="B514" s="4">
        <v>52078</v>
      </c>
      <c r="C514" s="4">
        <v>51702</v>
      </c>
      <c r="D514" s="4">
        <v>52155</v>
      </c>
      <c r="E514" s="4">
        <v>51648</v>
      </c>
      <c r="F514" s="4" t="str">
        <v>5.74K</v>
      </c>
      <c r="G514" s="4" t="str">
        <v>0.60%</v>
      </c>
      <c r="H514" s="3">
        <v>44644</v>
      </c>
      <c r="I514" s="4">
        <v>51901.5</v>
      </c>
    </row>
    <row r="515" spans="1:9" x14ac:dyDescent="0.25">
      <c r="A515" s="3">
        <v>44643</v>
      </c>
      <c r="B515" s="4">
        <v>51767</v>
      </c>
      <c r="C515" s="4">
        <v>51365</v>
      </c>
      <c r="D515" s="4">
        <v>51800</v>
      </c>
      <c r="E515" s="4">
        <v>51224</v>
      </c>
      <c r="F515" s="4" t="str">
        <v>4.53K</v>
      </c>
      <c r="G515" s="4" t="str">
        <v>0.76%</v>
      </c>
      <c r="H515" s="3">
        <v>44643</v>
      </c>
      <c r="I515" s="4">
        <v>51512</v>
      </c>
    </row>
    <row r="516" spans="1:9" x14ac:dyDescent="0.25">
      <c r="A516" s="3">
        <v>44642</v>
      </c>
      <c r="B516" s="4">
        <v>51379</v>
      </c>
      <c r="C516" s="4">
        <v>51770</v>
      </c>
      <c r="D516" s="4">
        <v>51949</v>
      </c>
      <c r="E516" s="4">
        <v>51150</v>
      </c>
      <c r="F516" s="4" t="str">
        <v>6.55K</v>
      </c>
      <c r="G516" s="4" t="str">
        <v>-0.53%</v>
      </c>
      <c r="H516" s="3">
        <v>44642</v>
      </c>
      <c r="I516" s="4">
        <v>51549.5</v>
      </c>
    </row>
    <row r="517" spans="1:9" x14ac:dyDescent="0.25">
      <c r="A517" s="3">
        <v>44641</v>
      </c>
      <c r="B517" s="4">
        <v>51655</v>
      </c>
      <c r="C517" s="4">
        <v>51430</v>
      </c>
      <c r="D517" s="4">
        <v>51890</v>
      </c>
      <c r="E517" s="4">
        <v>51350</v>
      </c>
      <c r="F517" s="4" t="str">
        <v>5.05K</v>
      </c>
      <c r="G517" s="4" t="str">
        <v>0.40%</v>
      </c>
      <c r="H517" s="3">
        <v>44641</v>
      </c>
      <c r="I517" s="4">
        <v>51620</v>
      </c>
    </row>
    <row r="518" spans="1:9" x14ac:dyDescent="0.25">
      <c r="A518" s="3">
        <v>44638</v>
      </c>
      <c r="B518" s="4">
        <v>51447</v>
      </c>
      <c r="C518" s="4">
        <v>51650</v>
      </c>
      <c r="D518" s="4">
        <v>51713</v>
      </c>
      <c r="E518" s="4">
        <v>51360</v>
      </c>
      <c r="F518" s="4" t="str">
        <v>1.71K</v>
      </c>
      <c r="G518" s="4" t="str">
        <v>-0.39%</v>
      </c>
      <c r="H518" s="3">
        <v>44638</v>
      </c>
      <c r="I518" s="4">
        <v>51536.5</v>
      </c>
    </row>
    <row r="519" spans="1:9" x14ac:dyDescent="0.25">
      <c r="A519" s="3">
        <v>44637</v>
      </c>
      <c r="B519" s="4">
        <v>51647</v>
      </c>
      <c r="C519" s="4">
        <v>51678</v>
      </c>
      <c r="D519" s="4">
        <v>51837</v>
      </c>
      <c r="E519" s="4">
        <v>51366</v>
      </c>
      <c r="F519" s="4" t="str">
        <v>5.86K</v>
      </c>
      <c r="G519" s="4" t="str">
        <v>0.98%</v>
      </c>
      <c r="H519" s="3">
        <v>44637</v>
      </c>
      <c r="I519" s="4">
        <v>51601.5</v>
      </c>
    </row>
    <row r="520" spans="1:9" x14ac:dyDescent="0.25">
      <c r="A520" s="3">
        <v>44636</v>
      </c>
      <c r="B520" s="4">
        <v>51147</v>
      </c>
      <c r="C520" s="4">
        <v>51346</v>
      </c>
      <c r="D520" s="4">
        <v>51519</v>
      </c>
      <c r="E520" s="4">
        <v>51028</v>
      </c>
      <c r="F520" s="4" t="str">
        <v>5.13K</v>
      </c>
      <c r="G520" s="4" t="str">
        <v>-0.81%</v>
      </c>
      <c r="H520" s="3">
        <v>44636</v>
      </c>
      <c r="I520" s="4">
        <v>51273.5</v>
      </c>
    </row>
    <row r="521" spans="1:9" x14ac:dyDescent="0.25">
      <c r="A521" s="3">
        <v>44635</v>
      </c>
      <c r="B521" s="4">
        <v>51564</v>
      </c>
      <c r="C521" s="4">
        <v>52001</v>
      </c>
      <c r="D521" s="4">
        <v>52080</v>
      </c>
      <c r="E521" s="4">
        <v>51220</v>
      </c>
      <c r="F521" s="4" t="str">
        <v>8.30K</v>
      </c>
      <c r="G521" s="4" t="str">
        <v>-1.41%</v>
      </c>
      <c r="H521" s="3">
        <v>44635</v>
      </c>
      <c r="I521" s="4">
        <v>51650</v>
      </c>
    </row>
    <row r="522" spans="1:9" x14ac:dyDescent="0.25">
      <c r="A522" s="3">
        <v>44634</v>
      </c>
      <c r="B522" s="4">
        <v>52304</v>
      </c>
      <c r="C522" s="4">
        <v>52623</v>
      </c>
      <c r="D522" s="4">
        <v>52786</v>
      </c>
      <c r="E522" s="4">
        <v>52125</v>
      </c>
      <c r="F522" s="4" t="str">
        <v>6.95K</v>
      </c>
      <c r="G522" s="4" t="str">
        <v>-1.09%</v>
      </c>
      <c r="H522" s="3">
        <v>44634</v>
      </c>
      <c r="I522" s="4">
        <v>52455.5</v>
      </c>
    </row>
    <row r="523" spans="1:9" x14ac:dyDescent="0.25">
      <c r="A523" s="3">
        <v>44631</v>
      </c>
      <c r="B523" s="4">
        <v>52878</v>
      </c>
      <c r="C523" s="4">
        <v>53089</v>
      </c>
      <c r="D523" s="4">
        <v>53203</v>
      </c>
      <c r="E523" s="4">
        <v>52240</v>
      </c>
      <c r="F523" s="4" t="str">
        <v>8.33K</v>
      </c>
      <c r="G523" s="4" t="str">
        <v>-0.68%</v>
      </c>
      <c r="H523" s="3">
        <v>44631</v>
      </c>
      <c r="I523" s="4">
        <v>52721.5</v>
      </c>
    </row>
    <row r="524" spans="1:9" x14ac:dyDescent="0.25">
      <c r="A524" s="3">
        <v>44630</v>
      </c>
      <c r="B524" s="4">
        <v>53239</v>
      </c>
      <c r="C524" s="4">
        <v>52601</v>
      </c>
      <c r="D524" s="4">
        <v>53488</v>
      </c>
      <c r="E524" s="4">
        <v>52437</v>
      </c>
      <c r="F524" s="4" t="str">
        <v>8.00K</v>
      </c>
      <c r="G524" s="4" t="str">
        <v>0.94%</v>
      </c>
      <c r="H524" s="3">
        <v>44630</v>
      </c>
      <c r="I524" s="4">
        <v>52962.5</v>
      </c>
    </row>
    <row r="525" spans="1:9" x14ac:dyDescent="0.25">
      <c r="A525" s="3">
        <v>44629</v>
      </c>
      <c r="B525" s="4">
        <v>52745</v>
      </c>
      <c r="C525" s="4">
        <v>54917</v>
      </c>
      <c r="D525" s="4">
        <v>55190</v>
      </c>
      <c r="E525" s="4">
        <v>52626</v>
      </c>
      <c r="F525" s="4" t="str">
        <v>10.90K</v>
      </c>
      <c r="G525" s="4" t="str">
        <v>-2.73%</v>
      </c>
      <c r="H525" s="3">
        <v>44629</v>
      </c>
      <c r="I525" s="4">
        <v>53908</v>
      </c>
    </row>
    <row r="526" spans="1:9" x14ac:dyDescent="0.25">
      <c r="A526" s="3">
        <v>44628</v>
      </c>
      <c r="B526" s="4">
        <v>54224</v>
      </c>
      <c r="C526" s="4">
        <v>53639</v>
      </c>
      <c r="D526" s="4">
        <v>55558</v>
      </c>
      <c r="E526" s="4">
        <v>53356</v>
      </c>
      <c r="F526" s="4" t="str">
        <v>13.38K</v>
      </c>
      <c r="G526" s="4" t="str">
        <v>1.32%</v>
      </c>
      <c r="H526" s="3">
        <v>44628</v>
      </c>
      <c r="I526" s="4">
        <v>54457</v>
      </c>
    </row>
    <row r="527" spans="1:9" x14ac:dyDescent="0.25">
      <c r="A527" s="3">
        <v>44627</v>
      </c>
      <c r="B527" s="4">
        <v>53517</v>
      </c>
      <c r="C527" s="4">
        <v>53266</v>
      </c>
      <c r="D527" s="4">
        <v>54010</v>
      </c>
      <c r="E527" s="4">
        <v>52813</v>
      </c>
      <c r="F527" s="4" t="str">
        <v>10.51K</v>
      </c>
      <c r="G527" s="4" t="str">
        <v>1.82%</v>
      </c>
      <c r="H527" s="3">
        <v>44627</v>
      </c>
      <c r="I527" s="4">
        <v>53411.5</v>
      </c>
    </row>
    <row r="528" spans="1:9" x14ac:dyDescent="0.25">
      <c r="A528" s="3">
        <v>44624</v>
      </c>
      <c r="B528" s="4">
        <v>52559</v>
      </c>
      <c r="C528" s="4">
        <v>51902</v>
      </c>
      <c r="D528" s="4">
        <v>52601</v>
      </c>
      <c r="E528" s="4">
        <v>51800</v>
      </c>
      <c r="F528" s="4" t="str">
        <v>9.22K</v>
      </c>
      <c r="G528" s="4" t="str">
        <v>1.52%</v>
      </c>
      <c r="H528" s="3">
        <v>44624</v>
      </c>
      <c r="I528" s="4">
        <v>52200.5</v>
      </c>
    </row>
    <row r="529" spans="1:9" x14ac:dyDescent="0.25">
      <c r="A529" s="3">
        <v>44623</v>
      </c>
      <c r="B529" s="4">
        <v>51770</v>
      </c>
      <c r="C529" s="4">
        <v>51562</v>
      </c>
      <c r="D529" s="4">
        <v>51951</v>
      </c>
      <c r="E529" s="4">
        <v>51391</v>
      </c>
      <c r="F529" s="4" t="str">
        <v>7.65K</v>
      </c>
      <c r="G529" s="4" t="str">
        <v>0.93%</v>
      </c>
      <c r="H529" s="3">
        <v>44623</v>
      </c>
      <c r="I529" s="4">
        <v>51671</v>
      </c>
    </row>
    <row r="530" spans="1:9" x14ac:dyDescent="0.25">
      <c r="A530" s="3">
        <v>44622</v>
      </c>
      <c r="B530" s="4">
        <v>51294</v>
      </c>
      <c r="C530" s="4">
        <v>51700</v>
      </c>
      <c r="D530" s="4">
        <v>52070</v>
      </c>
      <c r="E530" s="4">
        <v>51192</v>
      </c>
      <c r="F530" s="4" t="str">
        <v>9.59K</v>
      </c>
      <c r="G530" s="4" t="str">
        <v>-1.01%</v>
      </c>
      <c r="H530" s="3">
        <v>44622</v>
      </c>
      <c r="I530" s="4">
        <v>51631</v>
      </c>
    </row>
    <row r="531" spans="1:9" x14ac:dyDescent="0.25">
      <c r="A531" s="3">
        <v>44621</v>
      </c>
      <c r="B531" s="4">
        <v>51816</v>
      </c>
      <c r="C531" s="4">
        <v>51200</v>
      </c>
      <c r="D531" s="4">
        <v>51876</v>
      </c>
      <c r="E531" s="4">
        <v>51159</v>
      </c>
      <c r="F531" s="4" t="str">
        <v>5.40K</v>
      </c>
      <c r="G531" s="4" t="str">
        <v>2.08%</v>
      </c>
      <c r="H531" s="3">
        <v>44621</v>
      </c>
      <c r="I531" s="4">
        <v>51517.5</v>
      </c>
    </row>
    <row r="532" spans="1:9" x14ac:dyDescent="0.25">
      <c r="A532" s="3">
        <v>44620</v>
      </c>
      <c r="B532" s="4">
        <v>50760</v>
      </c>
      <c r="C532" s="4">
        <v>50880</v>
      </c>
      <c r="D532" s="4">
        <v>51211</v>
      </c>
      <c r="E532" s="4">
        <v>50505</v>
      </c>
      <c r="F532" s="4" t="str">
        <v>10.64K</v>
      </c>
      <c r="G532" s="4" t="str">
        <v>1.07%</v>
      </c>
      <c r="H532" s="3">
        <v>44620</v>
      </c>
      <c r="I532" s="4">
        <v>50858</v>
      </c>
    </row>
    <row r="533" spans="1:9" x14ac:dyDescent="0.25">
      <c r="A533" s="3">
        <v>44617</v>
      </c>
      <c r="B533" s="4">
        <v>50221</v>
      </c>
      <c r="C533" s="4">
        <v>51180</v>
      </c>
      <c r="D533" s="4">
        <v>51180</v>
      </c>
      <c r="E533" s="4">
        <v>50040</v>
      </c>
      <c r="F533" s="4" t="str">
        <v>9.45K</v>
      </c>
      <c r="G533" s="4" t="str">
        <v>-2.56%</v>
      </c>
      <c r="H533" s="3">
        <v>44617</v>
      </c>
      <c r="I533" s="4">
        <v>50610</v>
      </c>
    </row>
    <row r="534" spans="1:9" x14ac:dyDescent="0.25">
      <c r="A534" s="3">
        <v>44616</v>
      </c>
      <c r="B534" s="4">
        <v>51543</v>
      </c>
      <c r="C534" s="4">
        <v>50800</v>
      </c>
      <c r="D534" s="4">
        <v>52797</v>
      </c>
      <c r="E534" s="4">
        <v>50800</v>
      </c>
      <c r="F534" s="4" t="str">
        <v>15.81K</v>
      </c>
      <c r="G534" s="4" t="str">
        <v>2.31%</v>
      </c>
      <c r="H534" s="3">
        <v>44616</v>
      </c>
      <c r="I534" s="4">
        <v>51798.5</v>
      </c>
    </row>
    <row r="535" spans="1:9" x14ac:dyDescent="0.25">
      <c r="A535" s="3">
        <v>44615</v>
      </c>
      <c r="B535" s="4">
        <v>50379</v>
      </c>
      <c r="C535" s="4">
        <v>50389</v>
      </c>
      <c r="D535" s="4">
        <v>50414</v>
      </c>
      <c r="E535" s="4">
        <v>49951</v>
      </c>
      <c r="F535" s="4" t="str">
        <v>5.72K</v>
      </c>
      <c r="G535" s="4" t="str">
        <v>0.10%</v>
      </c>
      <c r="H535" s="3">
        <v>44615</v>
      </c>
      <c r="I535" s="4">
        <v>50182.5</v>
      </c>
    </row>
    <row r="536" spans="1:9" x14ac:dyDescent="0.25">
      <c r="A536" s="3">
        <v>44614</v>
      </c>
      <c r="B536" s="4">
        <v>50328</v>
      </c>
      <c r="C536" s="4">
        <v>50447</v>
      </c>
      <c r="D536" s="4">
        <v>50687</v>
      </c>
      <c r="E536" s="4">
        <v>50057</v>
      </c>
      <c r="F536" s="4" t="str">
        <v>7.80K</v>
      </c>
      <c r="G536" s="4" t="str">
        <v>0.50%</v>
      </c>
      <c r="H536" s="3">
        <v>44614</v>
      </c>
      <c r="I536" s="4">
        <v>50372</v>
      </c>
    </row>
    <row r="537" spans="1:9" x14ac:dyDescent="0.25">
      <c r="A537" s="3">
        <v>44613</v>
      </c>
      <c r="B537" s="4">
        <v>50078</v>
      </c>
      <c r="C537" s="4">
        <v>50071</v>
      </c>
      <c r="D537" s="4">
        <v>50139</v>
      </c>
      <c r="E537" s="4">
        <v>49764</v>
      </c>
      <c r="F537" s="4" t="str">
        <v>4.24K</v>
      </c>
      <c r="G537" s="4" t="str">
        <v>-0.07%</v>
      </c>
      <c r="H537" s="3">
        <v>44613</v>
      </c>
      <c r="I537" s="4">
        <v>49951.5</v>
      </c>
    </row>
    <row r="538" spans="1:9" x14ac:dyDescent="0.25">
      <c r="A538" s="3">
        <v>44610</v>
      </c>
      <c r="B538" s="4">
        <v>50112</v>
      </c>
      <c r="C538" s="4">
        <v>50177</v>
      </c>
      <c r="D538" s="4">
        <v>50274</v>
      </c>
      <c r="E538" s="4">
        <v>49829</v>
      </c>
      <c r="F538" s="4" t="str">
        <v>5.70K</v>
      </c>
      <c r="G538" s="4" t="str">
        <v>-0.56%</v>
      </c>
      <c r="H538" s="3">
        <v>44610</v>
      </c>
      <c r="I538" s="4">
        <v>50051.5</v>
      </c>
    </row>
    <row r="539" spans="1:9" x14ac:dyDescent="0.25">
      <c r="A539" s="3">
        <v>44609</v>
      </c>
      <c r="B539" s="4">
        <v>50392</v>
      </c>
      <c r="C539" s="4">
        <v>49577</v>
      </c>
      <c r="D539" s="4">
        <v>50438</v>
      </c>
      <c r="E539" s="4">
        <v>49557</v>
      </c>
      <c r="F539" s="4" t="str">
        <v>7.36K</v>
      </c>
      <c r="G539" s="4" t="str">
        <v>1.56%</v>
      </c>
      <c r="H539" s="3">
        <v>44609</v>
      </c>
      <c r="I539" s="4">
        <v>49997.5</v>
      </c>
    </row>
    <row r="540" spans="1:9" x14ac:dyDescent="0.25">
      <c r="A540" s="3">
        <v>44608</v>
      </c>
      <c r="B540" s="4">
        <v>49618</v>
      </c>
      <c r="C540" s="4">
        <v>49394</v>
      </c>
      <c r="D540" s="4">
        <v>49660</v>
      </c>
      <c r="E540" s="4">
        <v>49249</v>
      </c>
      <c r="F540" s="4" t="str">
        <v>4.03K</v>
      </c>
      <c r="G540" s="4" t="str">
        <v>0.47%</v>
      </c>
      <c r="H540" s="3">
        <v>44608</v>
      </c>
      <c r="I540" s="4">
        <v>49454.5</v>
      </c>
    </row>
    <row r="541" spans="1:9" x14ac:dyDescent="0.25">
      <c r="A541" s="3">
        <v>44607</v>
      </c>
      <c r="B541" s="4">
        <v>49385</v>
      </c>
      <c r="C541" s="4">
        <v>50151</v>
      </c>
      <c r="D541" s="4">
        <v>50325</v>
      </c>
      <c r="E541" s="4">
        <v>49230</v>
      </c>
      <c r="F541" s="4" t="str">
        <v>7.51K</v>
      </c>
      <c r="G541" s="4" t="str">
        <v>-1.06%</v>
      </c>
      <c r="H541" s="3">
        <v>44607</v>
      </c>
      <c r="I541" s="4">
        <v>49777.5</v>
      </c>
    </row>
    <row r="542" spans="1:9" x14ac:dyDescent="0.25">
      <c r="A542" s="3">
        <v>44606</v>
      </c>
      <c r="B542" s="4">
        <v>49916</v>
      </c>
      <c r="C542" s="4">
        <v>49450</v>
      </c>
      <c r="D542" s="4">
        <v>50011</v>
      </c>
      <c r="E542" s="4">
        <v>49443</v>
      </c>
      <c r="F542" s="4" t="str">
        <v>6.46K</v>
      </c>
      <c r="G542" s="4" t="str">
        <v>1.63%</v>
      </c>
      <c r="H542" s="3">
        <v>44606</v>
      </c>
      <c r="I542" s="4">
        <v>49727</v>
      </c>
    </row>
    <row r="543" spans="1:9" x14ac:dyDescent="0.25">
      <c r="A543" s="3">
        <v>44603</v>
      </c>
      <c r="B543" s="4">
        <v>49114</v>
      </c>
      <c r="C543" s="4">
        <v>48750</v>
      </c>
      <c r="D543" s="4">
        <v>49134</v>
      </c>
      <c r="E543" s="4">
        <v>48643</v>
      </c>
      <c r="F543" s="4" t="str">
        <v>5.31K</v>
      </c>
      <c r="G543" s="4" t="str">
        <v>0.32%</v>
      </c>
      <c r="H543" s="3">
        <v>44603</v>
      </c>
      <c r="I543" s="4">
        <v>48888.5</v>
      </c>
    </row>
    <row r="544" spans="1:9" x14ac:dyDescent="0.25">
      <c r="A544" s="3">
        <v>44602</v>
      </c>
      <c r="B544" s="4">
        <v>48955</v>
      </c>
      <c r="C544" s="4">
        <v>48694</v>
      </c>
      <c r="D544" s="4">
        <v>48990</v>
      </c>
      <c r="E544" s="4">
        <v>48551</v>
      </c>
      <c r="F544" s="4" t="str">
        <v>5.28K</v>
      </c>
      <c r="G544" s="4" t="str">
        <v>0.61%</v>
      </c>
      <c r="H544" s="3">
        <v>44602</v>
      </c>
      <c r="I544" s="4">
        <v>48770.5</v>
      </c>
    </row>
    <row r="545" spans="1:9" x14ac:dyDescent="0.25">
      <c r="A545" s="3">
        <v>44601</v>
      </c>
      <c r="B545" s="4">
        <v>48660</v>
      </c>
      <c r="C545" s="4">
        <v>48420</v>
      </c>
      <c r="D545" s="4">
        <v>48715</v>
      </c>
      <c r="E545" s="4">
        <v>48403</v>
      </c>
      <c r="F545" s="4" t="str">
        <v>4.48K</v>
      </c>
      <c r="G545" s="4" t="str">
        <v>0.48%</v>
      </c>
      <c r="H545" s="3">
        <v>44601</v>
      </c>
      <c r="I545" s="4">
        <v>48559</v>
      </c>
    </row>
    <row r="546" spans="1:9" x14ac:dyDescent="0.25">
      <c r="A546" s="3">
        <v>44600</v>
      </c>
      <c r="B546" s="4">
        <v>48429</v>
      </c>
      <c r="C546" s="4">
        <v>48270</v>
      </c>
      <c r="D546" s="4">
        <v>48474</v>
      </c>
      <c r="E546" s="4">
        <v>48174</v>
      </c>
      <c r="F546" s="4" t="str">
        <v>4.20K</v>
      </c>
      <c r="G546" s="4" t="str">
        <v>0.42%</v>
      </c>
      <c r="H546" s="3">
        <v>44600</v>
      </c>
      <c r="I546" s="4">
        <v>48324</v>
      </c>
    </row>
    <row r="547" spans="1:9" x14ac:dyDescent="0.25">
      <c r="A547" s="3">
        <v>44599</v>
      </c>
      <c r="B547" s="4">
        <v>48228</v>
      </c>
      <c r="C547" s="4">
        <v>48011</v>
      </c>
      <c r="D547" s="4">
        <v>48247</v>
      </c>
      <c r="E547" s="4">
        <v>47995</v>
      </c>
      <c r="F547" s="4" t="str">
        <v>3.55K</v>
      </c>
      <c r="G547" s="4" t="str">
        <v>0.68%</v>
      </c>
      <c r="H547" s="3">
        <v>44599</v>
      </c>
      <c r="I547" s="4">
        <v>48121</v>
      </c>
    </row>
    <row r="548" spans="1:9" x14ac:dyDescent="0.25">
      <c r="A548" s="3">
        <v>44596</v>
      </c>
      <c r="B548" s="4">
        <v>47904</v>
      </c>
      <c r="C548" s="4">
        <v>47000</v>
      </c>
      <c r="D548" s="4">
        <v>48025</v>
      </c>
      <c r="E548" s="4">
        <v>47000</v>
      </c>
      <c r="F548" s="4" t="str">
        <v>0.01K</v>
      </c>
      <c r="G548" s="4" t="str">
        <v>0.11%</v>
      </c>
      <c r="H548" s="3">
        <v>44596</v>
      </c>
      <c r="I548" s="4">
        <v>47512.5</v>
      </c>
    </row>
    <row r="549" spans="1:9" x14ac:dyDescent="0.25">
      <c r="A549" s="3">
        <v>44595</v>
      </c>
      <c r="B549" s="4">
        <v>47849</v>
      </c>
      <c r="C549" s="4">
        <v>48099</v>
      </c>
      <c r="D549" s="4">
        <v>48099</v>
      </c>
      <c r="E549" s="4">
        <v>47517</v>
      </c>
      <c r="F549" s="4" t="str">
        <v>0.02K</v>
      </c>
      <c r="G549" s="4" t="str">
        <v>-0.15%</v>
      </c>
      <c r="H549" s="3">
        <v>44595</v>
      </c>
      <c r="I549" s="4">
        <v>47808</v>
      </c>
    </row>
    <row r="550" spans="1:9" x14ac:dyDescent="0.25">
      <c r="A550" s="3">
        <v>44594</v>
      </c>
      <c r="B550" s="4">
        <v>47922</v>
      </c>
      <c r="C550" s="4">
        <v>47850</v>
      </c>
      <c r="D550" s="4">
        <v>48046</v>
      </c>
      <c r="E550" s="4">
        <v>47692</v>
      </c>
      <c r="F550" s="4" t="str">
        <v>0.04K</v>
      </c>
      <c r="G550" s="4" t="str">
        <v>-0.09%</v>
      </c>
      <c r="H550" s="3">
        <v>44594</v>
      </c>
      <c r="I550" s="4">
        <v>47869</v>
      </c>
    </row>
    <row r="551" spans="1:9" x14ac:dyDescent="0.25">
      <c r="A551" s="3">
        <v>44593</v>
      </c>
      <c r="B551" s="4">
        <v>47965</v>
      </c>
      <c r="C551" s="4">
        <v>47736</v>
      </c>
      <c r="D551" s="4">
        <v>48099</v>
      </c>
      <c r="E551" s="4">
        <v>47581</v>
      </c>
      <c r="F551" s="4" t="str">
        <v>0.13K</v>
      </c>
      <c r="G551" s="4" t="str">
        <v>0.59%</v>
      </c>
      <c r="H551" s="3">
        <v>44593</v>
      </c>
      <c r="I551" s="4">
        <v>47840</v>
      </c>
    </row>
    <row r="552" spans="1:9" x14ac:dyDescent="0.25">
      <c r="A552" s="3">
        <v>44592</v>
      </c>
      <c r="B552" s="4">
        <v>47686</v>
      </c>
      <c r="C552" s="4">
        <v>47590</v>
      </c>
      <c r="D552" s="4">
        <v>47802</v>
      </c>
      <c r="E552" s="4">
        <v>47499</v>
      </c>
      <c r="F552" s="4" t="str">
        <v>0.72K</v>
      </c>
      <c r="G552" s="4" t="str">
        <v>0.16%</v>
      </c>
      <c r="H552" s="3">
        <v>44592</v>
      </c>
      <c r="I552" s="4">
        <v>47650.5</v>
      </c>
    </row>
    <row r="553" spans="1:9" x14ac:dyDescent="0.25">
      <c r="A553" s="3">
        <v>44589</v>
      </c>
      <c r="B553" s="4">
        <v>47611</v>
      </c>
      <c r="C553" s="4">
        <v>47950</v>
      </c>
      <c r="D553" s="4">
        <v>48000</v>
      </c>
      <c r="E553" s="4">
        <v>47479</v>
      </c>
      <c r="F553" s="4" t="str">
        <v>3.50K</v>
      </c>
      <c r="G553" s="4" t="str">
        <v>-0.62%</v>
      </c>
      <c r="H553" s="3">
        <v>44589</v>
      </c>
      <c r="I553" s="4">
        <v>47739.5</v>
      </c>
    </row>
    <row r="554" spans="1:9" x14ac:dyDescent="0.25">
      <c r="A554" s="3">
        <v>44588</v>
      </c>
      <c r="B554" s="4">
        <v>47910</v>
      </c>
      <c r="C554" s="4">
        <v>48550</v>
      </c>
      <c r="D554" s="4">
        <v>48550</v>
      </c>
      <c r="E554" s="4">
        <v>47853</v>
      </c>
      <c r="F554" s="4" t="str">
        <v>5.96K</v>
      </c>
      <c r="G554" s="4" t="str">
        <v>-1.93%</v>
      </c>
      <c r="H554" s="3">
        <v>44588</v>
      </c>
      <c r="I554" s="4">
        <v>48201.5</v>
      </c>
    </row>
    <row r="555" spans="1:9" x14ac:dyDescent="0.25">
      <c r="A555" s="3">
        <v>44586</v>
      </c>
      <c r="B555" s="4">
        <v>48851</v>
      </c>
      <c r="C555" s="4">
        <v>48608</v>
      </c>
      <c r="D555" s="4">
        <v>48912</v>
      </c>
      <c r="E555" s="4">
        <v>48540</v>
      </c>
      <c r="F555" s="4" t="str">
        <v>4.58K</v>
      </c>
      <c r="G555" s="4" t="str">
        <v>0.59%</v>
      </c>
      <c r="H555" s="3">
        <v>44586</v>
      </c>
      <c r="I555" s="4">
        <v>48726</v>
      </c>
    </row>
    <row r="556" spans="1:9" x14ac:dyDescent="0.25">
      <c r="A556" s="3">
        <v>44585</v>
      </c>
      <c r="B556" s="4">
        <v>48564</v>
      </c>
      <c r="C556" s="4">
        <v>48323</v>
      </c>
      <c r="D556" s="4">
        <v>48600</v>
      </c>
      <c r="E556" s="4">
        <v>48300</v>
      </c>
      <c r="F556" s="4" t="str">
        <v>5.21K</v>
      </c>
      <c r="G556" s="4" t="str">
        <v>0.65%</v>
      </c>
      <c r="H556" s="3">
        <v>44585</v>
      </c>
      <c r="I556" s="4">
        <v>48450</v>
      </c>
    </row>
    <row r="557" spans="1:9" x14ac:dyDescent="0.25">
      <c r="A557" s="3">
        <v>44582</v>
      </c>
      <c r="B557" s="4">
        <v>48249</v>
      </c>
      <c r="C557" s="4">
        <v>48390</v>
      </c>
      <c r="D557" s="4">
        <v>48523</v>
      </c>
      <c r="E557" s="4">
        <v>48153</v>
      </c>
      <c r="F557" s="4" t="str">
        <v>4.04K</v>
      </c>
      <c r="G557" s="4" t="str">
        <v>-0.27%</v>
      </c>
      <c r="H557" s="3">
        <v>44582</v>
      </c>
      <c r="I557" s="4">
        <v>48338</v>
      </c>
    </row>
    <row r="558" spans="1:9" x14ac:dyDescent="0.25">
      <c r="A558" s="3">
        <v>44581</v>
      </c>
      <c r="B558" s="4">
        <v>48380</v>
      </c>
      <c r="C558" s="4">
        <v>48379</v>
      </c>
      <c r="D558" s="4">
        <v>48557</v>
      </c>
      <c r="E558" s="4">
        <v>48310</v>
      </c>
      <c r="F558" s="4" t="str">
        <v>3.67K</v>
      </c>
      <c r="G558" s="4" t="str">
        <v>0.01%</v>
      </c>
      <c r="H558" s="3">
        <v>44581</v>
      </c>
      <c r="I558" s="4">
        <v>48433.5</v>
      </c>
    </row>
    <row r="559" spans="1:9" x14ac:dyDescent="0.25">
      <c r="A559" s="3">
        <v>44580</v>
      </c>
      <c r="B559" s="4">
        <v>48377</v>
      </c>
      <c r="C559" s="4">
        <v>47949</v>
      </c>
      <c r="D559" s="4">
        <v>48416</v>
      </c>
      <c r="E559" s="4">
        <v>47911</v>
      </c>
      <c r="F559" s="4" t="str">
        <v>5.69K</v>
      </c>
      <c r="G559" s="4" t="str">
        <v>0.94%</v>
      </c>
      <c r="H559" s="3">
        <v>44580</v>
      </c>
      <c r="I559" s="4">
        <v>48163.5</v>
      </c>
    </row>
    <row r="560" spans="1:9" x14ac:dyDescent="0.25">
      <c r="A560" s="3">
        <v>44579</v>
      </c>
      <c r="B560" s="4">
        <v>47926</v>
      </c>
      <c r="C560" s="4">
        <v>47950</v>
      </c>
      <c r="D560" s="4">
        <v>48047</v>
      </c>
      <c r="E560" s="4">
        <v>47780</v>
      </c>
      <c r="F560" s="4" t="str">
        <v>5.08K</v>
      </c>
      <c r="G560" s="4" t="str">
        <v>0.02%</v>
      </c>
      <c r="H560" s="3">
        <v>44579</v>
      </c>
      <c r="I560" s="4">
        <v>47913.5</v>
      </c>
    </row>
    <row r="561" spans="1:9" x14ac:dyDescent="0.25">
      <c r="A561" s="3">
        <v>44578</v>
      </c>
      <c r="B561" s="4">
        <v>47917</v>
      </c>
      <c r="C561" s="4">
        <v>47835</v>
      </c>
      <c r="D561" s="4">
        <v>47965</v>
      </c>
      <c r="E561" s="4">
        <v>47803</v>
      </c>
      <c r="F561" s="4" t="str">
        <v>2.41K</v>
      </c>
      <c r="G561" s="4" t="str">
        <v>0.29%</v>
      </c>
      <c r="H561" s="3">
        <v>44578</v>
      </c>
      <c r="I561" s="4">
        <v>47884</v>
      </c>
    </row>
    <row r="562" spans="1:9" x14ac:dyDescent="0.25">
      <c r="A562" s="3">
        <v>44575</v>
      </c>
      <c r="B562" s="4">
        <v>47778</v>
      </c>
      <c r="C562" s="4">
        <v>47841</v>
      </c>
      <c r="D562" s="4">
        <v>47993</v>
      </c>
      <c r="E562" s="4">
        <v>47756</v>
      </c>
      <c r="F562" s="4" t="str">
        <v>4.28K</v>
      </c>
      <c r="G562" s="4" t="str">
        <v>0.09%</v>
      </c>
      <c r="H562" s="3">
        <v>44575</v>
      </c>
      <c r="I562" s="4">
        <v>47874.5</v>
      </c>
    </row>
    <row r="563" spans="1:9" x14ac:dyDescent="0.25">
      <c r="A563" s="3">
        <v>44574</v>
      </c>
      <c r="B563" s="4">
        <v>47736</v>
      </c>
      <c r="C563" s="4">
        <v>47804</v>
      </c>
      <c r="D563" s="4">
        <v>47917</v>
      </c>
      <c r="E563" s="4">
        <v>47650</v>
      </c>
      <c r="F563" s="4" t="str">
        <v>3.75K</v>
      </c>
      <c r="G563" s="4" t="str">
        <v>-0.15%</v>
      </c>
      <c r="H563" s="3">
        <v>44574</v>
      </c>
      <c r="I563" s="4">
        <v>47783.5</v>
      </c>
    </row>
    <row r="564" spans="1:9" x14ac:dyDescent="0.25">
      <c r="A564" s="3">
        <v>44573</v>
      </c>
      <c r="B564" s="4">
        <v>47808</v>
      </c>
      <c r="C564" s="4">
        <v>47682</v>
      </c>
      <c r="D564" s="4">
        <v>47843</v>
      </c>
      <c r="E564" s="4">
        <v>47628</v>
      </c>
      <c r="F564" s="4" t="str">
        <v>3.84K</v>
      </c>
      <c r="G564" s="4" t="str">
        <v>0.25%</v>
      </c>
      <c r="H564" s="3">
        <v>44573</v>
      </c>
      <c r="I564" s="4">
        <v>47735.5</v>
      </c>
    </row>
    <row r="565" spans="1:9" x14ac:dyDescent="0.25">
      <c r="A565" s="3">
        <v>44572</v>
      </c>
      <c r="B565" s="4">
        <v>47689</v>
      </c>
      <c r="C565" s="4">
        <v>47589</v>
      </c>
      <c r="D565" s="4">
        <v>47700</v>
      </c>
      <c r="E565" s="4">
        <v>47460</v>
      </c>
      <c r="F565" s="4" t="str">
        <v>4.49K</v>
      </c>
      <c r="G565" s="4" t="str">
        <v>0.49%</v>
      </c>
      <c r="H565" s="3">
        <v>44572</v>
      </c>
      <c r="I565" s="4">
        <v>47580</v>
      </c>
    </row>
    <row r="566" spans="1:9" x14ac:dyDescent="0.25">
      <c r="A566" s="3">
        <v>44571</v>
      </c>
      <c r="B566" s="4">
        <v>47455</v>
      </c>
      <c r="C566" s="4">
        <v>47394</v>
      </c>
      <c r="D566" s="4">
        <v>47499</v>
      </c>
      <c r="E566" s="4">
        <v>47301</v>
      </c>
      <c r="F566" s="4" t="str">
        <v>4.39K</v>
      </c>
      <c r="G566" s="4" t="str">
        <v>0.01%</v>
      </c>
      <c r="H566" s="3">
        <v>44571</v>
      </c>
      <c r="I566" s="4">
        <v>47400</v>
      </c>
    </row>
    <row r="567" spans="1:9" x14ac:dyDescent="0.25">
      <c r="A567" s="3">
        <v>44568</v>
      </c>
      <c r="B567" s="4">
        <v>47452</v>
      </c>
      <c r="C567" s="4">
        <v>47370</v>
      </c>
      <c r="D567" s="4">
        <v>47586</v>
      </c>
      <c r="E567" s="4">
        <v>47300</v>
      </c>
      <c r="F567" s="4" t="str">
        <v>4.51K</v>
      </c>
      <c r="G567" s="4" t="str">
        <v>0.00%</v>
      </c>
      <c r="H567" s="3">
        <v>44568</v>
      </c>
      <c r="I567" s="4">
        <v>47443</v>
      </c>
    </row>
    <row r="568" spans="1:9" x14ac:dyDescent="0.25">
      <c r="A568" s="3">
        <v>44567</v>
      </c>
      <c r="B568" s="4">
        <v>47451</v>
      </c>
      <c r="C568" s="4">
        <v>47768</v>
      </c>
      <c r="D568" s="4">
        <v>47865</v>
      </c>
      <c r="E568" s="4">
        <v>47400</v>
      </c>
      <c r="F568" s="4" t="str">
        <v>7.90K</v>
      </c>
      <c r="G568" s="4" t="str">
        <v>-1.19%</v>
      </c>
      <c r="H568" s="3">
        <v>44567</v>
      </c>
      <c r="I568" s="4">
        <v>47632.5</v>
      </c>
    </row>
    <row r="569" spans="1:9" x14ac:dyDescent="0.25">
      <c r="A569" s="3">
        <v>44566</v>
      </c>
      <c r="B569" s="4">
        <v>48021</v>
      </c>
      <c r="C569" s="4">
        <v>47982</v>
      </c>
      <c r="D569" s="4">
        <v>48169</v>
      </c>
      <c r="E569" s="4">
        <v>47851</v>
      </c>
      <c r="F569" s="4" t="str">
        <v>4.66K</v>
      </c>
      <c r="G569" s="4" t="str">
        <v>0.15%</v>
      </c>
      <c r="H569" s="3">
        <v>44566</v>
      </c>
      <c r="I569" s="4">
        <v>48010</v>
      </c>
    </row>
    <row r="570" spans="1:9" x14ac:dyDescent="0.25">
      <c r="A570" s="3">
        <v>44565</v>
      </c>
      <c r="B570" s="4">
        <v>47949</v>
      </c>
      <c r="C570" s="4">
        <v>47810</v>
      </c>
      <c r="D570" s="4">
        <v>47997</v>
      </c>
      <c r="E570" s="4">
        <v>47740</v>
      </c>
      <c r="F570" s="4" t="str">
        <v>4.71K</v>
      </c>
      <c r="G570" s="4" t="str">
        <v>0.49%</v>
      </c>
      <c r="H570" s="3">
        <v>44565</v>
      </c>
      <c r="I570" s="4">
        <v>47868.5</v>
      </c>
    </row>
    <row r="571" spans="1:9" x14ac:dyDescent="0.25">
      <c r="A571" s="3">
        <v>44564</v>
      </c>
      <c r="B571" s="4">
        <v>47716</v>
      </c>
      <c r="C571" s="4">
        <v>48050</v>
      </c>
      <c r="D571" s="4">
        <v>48130</v>
      </c>
      <c r="E571" s="4">
        <v>47691</v>
      </c>
      <c r="F571" s="4" t="str">
        <v>6.65K</v>
      </c>
      <c r="G571" s="4" t="str">
        <v>-0.80%</v>
      </c>
      <c r="H571" s="3">
        <v>44564</v>
      </c>
      <c r="I571" s="4">
        <v>47910.5</v>
      </c>
    </row>
    <row r="572" spans="1:9" x14ac:dyDescent="0.25">
      <c r="A572" s="3">
        <v>44561</v>
      </c>
      <c r="B572" s="4">
        <v>48099</v>
      </c>
      <c r="C572" s="4">
        <v>47946</v>
      </c>
      <c r="D572" s="4">
        <v>48134</v>
      </c>
      <c r="E572" s="4">
        <v>47795</v>
      </c>
      <c r="F572" s="4" t="str">
        <v>4.28K</v>
      </c>
      <c r="G572" s="4" t="str">
        <v>0.45%</v>
      </c>
      <c r="H572" s="3">
        <v>44561</v>
      </c>
      <c r="I572" s="4">
        <v>47964.5</v>
      </c>
    </row>
    <row r="573" spans="1:9" x14ac:dyDescent="0.25">
      <c r="A573" s="3">
        <v>44560</v>
      </c>
      <c r="B573" s="4">
        <v>47885</v>
      </c>
      <c r="C573" s="4">
        <v>47800</v>
      </c>
      <c r="D573" s="4">
        <v>47899</v>
      </c>
      <c r="E573" s="4">
        <v>47579</v>
      </c>
      <c r="F573" s="4" t="str">
        <v>4.38K</v>
      </c>
      <c r="G573" s="4" t="str">
        <v>0.10%</v>
      </c>
      <c r="H573" s="3">
        <v>44560</v>
      </c>
      <c r="I573" s="4">
        <v>47739</v>
      </c>
    </row>
    <row r="574" spans="1:9" x14ac:dyDescent="0.25">
      <c r="A574" s="3">
        <v>44559</v>
      </c>
      <c r="B574" s="4">
        <v>47839</v>
      </c>
      <c r="C574" s="4">
        <v>48002</v>
      </c>
      <c r="D574" s="4">
        <v>48012</v>
      </c>
      <c r="E574" s="4">
        <v>47577</v>
      </c>
      <c r="F574" s="4" t="str">
        <v>6.37K</v>
      </c>
      <c r="G574" s="4" t="str">
        <v>-0.42%</v>
      </c>
      <c r="H574" s="3">
        <v>44559</v>
      </c>
      <c r="I574" s="4">
        <v>47794.5</v>
      </c>
    </row>
    <row r="575" spans="1:9" x14ac:dyDescent="0.25">
      <c r="A575" s="3">
        <v>44558</v>
      </c>
      <c r="B575" s="4">
        <v>48042</v>
      </c>
      <c r="C575" s="4">
        <v>48300</v>
      </c>
      <c r="D575" s="4">
        <v>48328</v>
      </c>
      <c r="E575" s="4">
        <v>48002</v>
      </c>
      <c r="F575" s="4" t="str">
        <v>4.18K</v>
      </c>
      <c r="G575" s="4" t="str">
        <v>-0.05%</v>
      </c>
      <c r="H575" s="3">
        <v>44558</v>
      </c>
      <c r="I575" s="4">
        <v>48165</v>
      </c>
    </row>
    <row r="576" spans="1:9" x14ac:dyDescent="0.25">
      <c r="A576" s="3">
        <v>44557</v>
      </c>
      <c r="B576" s="4">
        <v>48066</v>
      </c>
      <c r="C576" s="4">
        <v>48119</v>
      </c>
      <c r="D576" s="4">
        <v>48248</v>
      </c>
      <c r="E576" s="4">
        <v>48050</v>
      </c>
      <c r="F576" s="4" t="str">
        <v>3.24K</v>
      </c>
      <c r="G576" s="4" t="str">
        <v>-0.11%</v>
      </c>
      <c r="H576" s="3">
        <v>44557</v>
      </c>
      <c r="I576" s="4">
        <v>48149</v>
      </c>
    </row>
    <row r="577" spans="1:9" x14ac:dyDescent="0.25">
      <c r="A577" s="3">
        <v>44554</v>
      </c>
      <c r="B577" s="4">
        <v>48119</v>
      </c>
      <c r="C577" s="4">
        <v>48185</v>
      </c>
      <c r="D577" s="4">
        <v>48263</v>
      </c>
      <c r="E577" s="4">
        <v>48066</v>
      </c>
      <c r="F577" s="4" t="str">
        <v>1.85K</v>
      </c>
      <c r="G577" s="4" t="str">
        <v>-0.07%</v>
      </c>
      <c r="H577" s="3">
        <v>44554</v>
      </c>
      <c r="I577" s="4">
        <v>48164.5</v>
      </c>
    </row>
    <row r="578" spans="1:9" x14ac:dyDescent="0.25">
      <c r="A578" s="3">
        <v>44553</v>
      </c>
      <c r="B578" s="4">
        <v>48152</v>
      </c>
      <c r="C578" s="4">
        <v>48268</v>
      </c>
      <c r="D578" s="4">
        <v>48340</v>
      </c>
      <c r="E578" s="4">
        <v>48035</v>
      </c>
      <c r="F578" s="4" t="str">
        <v>3.53K</v>
      </c>
      <c r="G578" s="4" t="str">
        <v>-0.10%</v>
      </c>
      <c r="H578" s="3">
        <v>44553</v>
      </c>
      <c r="I578" s="4">
        <v>48187.5</v>
      </c>
    </row>
    <row r="579" spans="1:9" x14ac:dyDescent="0.25">
      <c r="A579" s="3">
        <v>44552</v>
      </c>
      <c r="B579" s="4">
        <v>48199</v>
      </c>
      <c r="C579" s="4">
        <v>48115</v>
      </c>
      <c r="D579" s="4">
        <v>48220</v>
      </c>
      <c r="E579" s="4">
        <v>47975</v>
      </c>
      <c r="F579" s="4" t="str">
        <v>3.33K</v>
      </c>
      <c r="G579" s="4" t="str">
        <v>0.27%</v>
      </c>
      <c r="H579" s="3">
        <v>44552</v>
      </c>
      <c r="I579" s="4">
        <v>48097.5</v>
      </c>
    </row>
    <row r="580" spans="1:9" x14ac:dyDescent="0.25">
      <c r="A580" s="3">
        <v>44551</v>
      </c>
      <c r="B580" s="4">
        <v>48067</v>
      </c>
      <c r="C580" s="4">
        <v>48151</v>
      </c>
      <c r="D580" s="4">
        <v>48298</v>
      </c>
      <c r="E580" s="4">
        <v>47991</v>
      </c>
      <c r="F580" s="4" t="str">
        <v>4.38K</v>
      </c>
      <c r="G580" s="4" t="str">
        <v>-0.36%</v>
      </c>
      <c r="H580" s="3">
        <v>44551</v>
      </c>
      <c r="I580" s="4">
        <v>48144.5</v>
      </c>
    </row>
    <row r="581" spans="1:9" x14ac:dyDescent="0.25">
      <c r="A581" s="3">
        <v>44550</v>
      </c>
      <c r="B581" s="4">
        <v>48240</v>
      </c>
      <c r="C581" s="4">
        <v>48594</v>
      </c>
      <c r="D581" s="4">
        <v>48643</v>
      </c>
      <c r="E581" s="4">
        <v>48211</v>
      </c>
      <c r="F581" s="4" t="str">
        <v>4.34K</v>
      </c>
      <c r="G581" s="4" t="str">
        <v>-0.73%</v>
      </c>
      <c r="H581" s="3">
        <v>44550</v>
      </c>
      <c r="I581" s="4">
        <v>48427</v>
      </c>
    </row>
    <row r="582" spans="1:9" x14ac:dyDescent="0.25">
      <c r="A582" s="3">
        <v>44547</v>
      </c>
      <c r="B582" s="4">
        <v>48594</v>
      </c>
      <c r="C582" s="4">
        <v>48700</v>
      </c>
      <c r="D582" s="4">
        <v>48785</v>
      </c>
      <c r="E582" s="4">
        <v>48510</v>
      </c>
      <c r="F582" s="4" t="str">
        <v>4.72K</v>
      </c>
      <c r="G582" s="4" t="str">
        <v>-0.11%</v>
      </c>
      <c r="H582" s="3">
        <v>44547</v>
      </c>
      <c r="I582" s="4">
        <v>48647.5</v>
      </c>
    </row>
    <row r="583" spans="1:9" x14ac:dyDescent="0.25">
      <c r="A583" s="3">
        <v>44546</v>
      </c>
      <c r="B583" s="4">
        <v>48646</v>
      </c>
      <c r="C583" s="4">
        <v>48296</v>
      </c>
      <c r="D583" s="4">
        <v>48677</v>
      </c>
      <c r="E583" s="4">
        <v>48276</v>
      </c>
      <c r="F583" s="4" t="str">
        <v>5.90K</v>
      </c>
      <c r="G583" s="4" t="str">
        <v>1.16%</v>
      </c>
      <c r="H583" s="3">
        <v>44546</v>
      </c>
      <c r="I583" s="4">
        <v>48476.5</v>
      </c>
    </row>
    <row r="584" spans="1:9" x14ac:dyDescent="0.25">
      <c r="A584" s="3">
        <v>44545</v>
      </c>
      <c r="B584" s="4">
        <v>48087</v>
      </c>
      <c r="C584" s="4">
        <v>48039</v>
      </c>
      <c r="D584" s="4">
        <v>48240</v>
      </c>
      <c r="E584" s="4">
        <v>47950</v>
      </c>
      <c r="F584" s="4" t="str">
        <v>4.50K</v>
      </c>
      <c r="G584" s="4" t="str">
        <v>0.03%</v>
      </c>
      <c r="H584" s="3">
        <v>44545</v>
      </c>
      <c r="I584" s="4">
        <v>48095</v>
      </c>
    </row>
    <row r="585" spans="1:9" x14ac:dyDescent="0.25">
      <c r="A585" s="3">
        <v>44544</v>
      </c>
      <c r="B585" s="4">
        <v>48072</v>
      </c>
      <c r="C585" s="4">
        <v>48264</v>
      </c>
      <c r="D585" s="4">
        <v>48361</v>
      </c>
      <c r="E585" s="4">
        <v>47925</v>
      </c>
      <c r="F585" s="4" t="str">
        <v>5.80K</v>
      </c>
      <c r="G585" s="4" t="str">
        <v>-0.48%</v>
      </c>
      <c r="H585" s="3">
        <v>44544</v>
      </c>
      <c r="I585" s="4">
        <v>48143</v>
      </c>
    </row>
    <row r="586" spans="1:9" x14ac:dyDescent="0.25">
      <c r="A586" s="3">
        <v>44543</v>
      </c>
      <c r="B586" s="4">
        <v>48303</v>
      </c>
      <c r="C586" s="4">
        <v>48213</v>
      </c>
      <c r="D586" s="4">
        <v>48348</v>
      </c>
      <c r="E586" s="4">
        <v>48131</v>
      </c>
      <c r="F586" s="4" t="str">
        <v>4.83K</v>
      </c>
      <c r="G586" s="4" t="str">
        <v>0.29%</v>
      </c>
      <c r="H586" s="3">
        <v>44543</v>
      </c>
      <c r="I586" s="4">
        <v>48239.5</v>
      </c>
    </row>
    <row r="587" spans="1:9" x14ac:dyDescent="0.25">
      <c r="A587" s="3">
        <v>44540</v>
      </c>
      <c r="B587" s="4">
        <v>48164</v>
      </c>
      <c r="C587" s="4">
        <v>47981</v>
      </c>
      <c r="D587" s="4">
        <v>48260</v>
      </c>
      <c r="E587" s="4">
        <v>47862</v>
      </c>
      <c r="F587" s="4" t="str">
        <v>6.15K</v>
      </c>
      <c r="G587" s="4" t="str">
        <v>0.47%</v>
      </c>
      <c r="H587" s="3">
        <v>44540</v>
      </c>
      <c r="I587" s="4">
        <v>48061</v>
      </c>
    </row>
    <row r="588" spans="1:9" x14ac:dyDescent="0.25">
      <c r="A588" s="3">
        <v>44539</v>
      </c>
      <c r="B588" s="4">
        <v>47939</v>
      </c>
      <c r="C588" s="4">
        <v>48035</v>
      </c>
      <c r="D588" s="4">
        <v>48160</v>
      </c>
      <c r="E588" s="4">
        <v>47869</v>
      </c>
      <c r="F588" s="4" t="str">
        <v>4.99K</v>
      </c>
      <c r="G588" s="4" t="str">
        <v>-0.24%</v>
      </c>
      <c r="H588" s="3">
        <v>44539</v>
      </c>
      <c r="I588" s="4">
        <v>48014.5</v>
      </c>
    </row>
    <row r="589" spans="1:9" x14ac:dyDescent="0.25">
      <c r="A589" s="3">
        <v>44538</v>
      </c>
      <c r="B589" s="4">
        <v>48055</v>
      </c>
      <c r="C589" s="4">
        <v>48150</v>
      </c>
      <c r="D589" s="4">
        <v>48300</v>
      </c>
      <c r="E589" s="4">
        <v>47956</v>
      </c>
      <c r="F589" s="4" t="str">
        <v>4.90K</v>
      </c>
      <c r="G589" s="4" t="str">
        <v>-0.01%</v>
      </c>
      <c r="H589" s="3">
        <v>44538</v>
      </c>
      <c r="I589" s="4">
        <v>48128</v>
      </c>
    </row>
    <row r="590" spans="1:9" x14ac:dyDescent="0.25">
      <c r="A590" s="3">
        <v>44537</v>
      </c>
      <c r="B590" s="4">
        <v>48060</v>
      </c>
      <c r="C590" s="4">
        <v>47907</v>
      </c>
      <c r="D590" s="4">
        <v>48168</v>
      </c>
      <c r="E590" s="4">
        <v>47790</v>
      </c>
      <c r="F590" s="4" t="str">
        <v>6.05K</v>
      </c>
      <c r="G590" s="4" t="str">
        <v>0.30%</v>
      </c>
      <c r="H590" s="3">
        <v>44537</v>
      </c>
      <c r="I590" s="4">
        <v>47979</v>
      </c>
    </row>
    <row r="591" spans="1:9" x14ac:dyDescent="0.25">
      <c r="A591" s="3">
        <v>44536</v>
      </c>
      <c r="B591" s="4">
        <v>47914</v>
      </c>
      <c r="C591" s="4">
        <v>47953</v>
      </c>
      <c r="D591" s="4">
        <v>48039</v>
      </c>
      <c r="E591" s="4">
        <v>47830</v>
      </c>
      <c r="F591" s="4" t="str">
        <v>5.32K</v>
      </c>
      <c r="G591" s="4" t="str">
        <v>1.61%</v>
      </c>
      <c r="H591" s="3">
        <v>44536</v>
      </c>
      <c r="I591" s="4">
        <v>47934.5</v>
      </c>
    </row>
    <row r="592" spans="1:9" x14ac:dyDescent="0.25">
      <c r="A592" s="3">
        <v>44533</v>
      </c>
      <c r="B592" s="4">
        <v>47153</v>
      </c>
      <c r="C592" s="4">
        <v>47192</v>
      </c>
      <c r="D592" s="4">
        <v>47271</v>
      </c>
      <c r="E592" s="4">
        <v>46388</v>
      </c>
      <c r="F592" s="4" t="str">
        <v>0.02K</v>
      </c>
      <c r="G592" s="4" t="str">
        <v>-0.13%</v>
      </c>
      <c r="H592" s="3">
        <v>44533</v>
      </c>
      <c r="I592" s="4">
        <v>46829.5</v>
      </c>
    </row>
    <row r="593" spans="1:9" x14ac:dyDescent="0.25">
      <c r="A593" s="3">
        <v>44532</v>
      </c>
      <c r="B593" s="4">
        <v>47214</v>
      </c>
      <c r="C593" s="4">
        <v>47214</v>
      </c>
      <c r="D593" s="4">
        <v>47214</v>
      </c>
      <c r="E593" s="4">
        <v>47214</v>
      </c>
      <c r="F593" s="4" t="str">
        <v>0.00K</v>
      </c>
      <c r="G593" s="4" t="str">
        <v>-0.77%</v>
      </c>
      <c r="H593" s="3">
        <v>44532</v>
      </c>
      <c r="I593" s="4">
        <v>47214</v>
      </c>
    </row>
    <row r="594" spans="1:9" x14ac:dyDescent="0.25">
      <c r="A594" s="3">
        <v>44531</v>
      </c>
      <c r="B594" s="4">
        <v>47578</v>
      </c>
      <c r="C594" s="4">
        <v>47550</v>
      </c>
      <c r="D594" s="4">
        <v>47783</v>
      </c>
      <c r="E594" s="4">
        <v>47470</v>
      </c>
      <c r="F594" s="4" t="str">
        <v>0.01K</v>
      </c>
      <c r="G594" s="4" t="str">
        <v>-0.06%</v>
      </c>
      <c r="H594" s="3">
        <v>44531</v>
      </c>
      <c r="I594" s="4">
        <v>47626.5</v>
      </c>
    </row>
    <row r="595" spans="1:9" x14ac:dyDescent="0.25">
      <c r="A595" s="3">
        <v>44530</v>
      </c>
      <c r="B595" s="4">
        <v>47606</v>
      </c>
      <c r="C595" s="4">
        <v>47570</v>
      </c>
      <c r="D595" s="4">
        <v>48128</v>
      </c>
      <c r="E595" s="4">
        <v>47436</v>
      </c>
      <c r="F595" s="4" t="str">
        <v>0.08K</v>
      </c>
      <c r="G595" s="4" t="str">
        <v>0.04%</v>
      </c>
      <c r="H595" s="3">
        <v>44530</v>
      </c>
      <c r="I595" s="4">
        <v>47782</v>
      </c>
    </row>
    <row r="596" spans="1:9" x14ac:dyDescent="0.25">
      <c r="A596" s="3">
        <v>44529</v>
      </c>
      <c r="B596" s="4">
        <v>47587</v>
      </c>
      <c r="C596" s="4">
        <v>47700</v>
      </c>
      <c r="D596" s="4">
        <v>47980</v>
      </c>
      <c r="E596" s="4">
        <v>47530</v>
      </c>
      <c r="F596" s="4" t="str">
        <v>1.65K</v>
      </c>
      <c r="G596" s="4" t="str">
        <v>0.00%</v>
      </c>
      <c r="H596" s="3">
        <v>44529</v>
      </c>
      <c r="I596" s="4">
        <v>47755</v>
      </c>
    </row>
    <row r="597" spans="1:9" x14ac:dyDescent="0.25">
      <c r="A597" s="3">
        <v>44526</v>
      </c>
      <c r="B597" s="4">
        <v>47585</v>
      </c>
      <c r="C597" s="4">
        <v>47615</v>
      </c>
      <c r="D597" s="4">
        <v>48223</v>
      </c>
      <c r="E597" s="4">
        <v>47535</v>
      </c>
      <c r="F597" s="4" t="str">
        <v>5.99K</v>
      </c>
      <c r="G597" s="4" t="str">
        <v>0.35%</v>
      </c>
      <c r="H597" s="3">
        <v>44526</v>
      </c>
      <c r="I597" s="4">
        <v>47879</v>
      </c>
    </row>
    <row r="598" spans="1:9" x14ac:dyDescent="0.25">
      <c r="A598" s="3">
        <v>44525</v>
      </c>
      <c r="B598" s="4">
        <v>47421</v>
      </c>
      <c r="C598" s="4">
        <v>47545</v>
      </c>
      <c r="D598" s="4">
        <v>47592</v>
      </c>
      <c r="E598" s="4">
        <v>47310</v>
      </c>
      <c r="F598" s="4" t="str">
        <v>3.89K</v>
      </c>
      <c r="G598" s="4" t="str">
        <v>-0.04%</v>
      </c>
      <c r="H598" s="3">
        <v>44525</v>
      </c>
      <c r="I598" s="4">
        <v>47451</v>
      </c>
    </row>
    <row r="599" spans="1:9" x14ac:dyDescent="0.25">
      <c r="A599" s="3">
        <v>44524</v>
      </c>
      <c r="B599" s="4">
        <v>47438</v>
      </c>
      <c r="C599" s="4">
        <v>47569</v>
      </c>
      <c r="D599" s="4">
        <v>47674</v>
      </c>
      <c r="E599" s="4">
        <v>47253</v>
      </c>
      <c r="F599" s="4" t="str">
        <v>5.04K</v>
      </c>
      <c r="G599" s="4" t="str">
        <v>0.01%</v>
      </c>
      <c r="H599" s="3">
        <v>44524</v>
      </c>
      <c r="I599" s="4">
        <v>47463.5</v>
      </c>
    </row>
    <row r="600" spans="1:9" x14ac:dyDescent="0.25">
      <c r="A600" s="3">
        <v>44523</v>
      </c>
      <c r="B600" s="4">
        <v>47434</v>
      </c>
      <c r="C600" s="4">
        <v>47946</v>
      </c>
      <c r="D600" s="4">
        <v>48031</v>
      </c>
      <c r="E600" s="4">
        <v>47361</v>
      </c>
      <c r="F600" s="4" t="str">
        <v>7.49K</v>
      </c>
      <c r="G600" s="4" t="str">
        <v>-1.02%</v>
      </c>
      <c r="H600" s="3">
        <v>44523</v>
      </c>
      <c r="I600" s="4">
        <v>47696</v>
      </c>
    </row>
    <row r="601" spans="1:9" x14ac:dyDescent="0.25">
      <c r="A601" s="3">
        <v>44522</v>
      </c>
      <c r="B601" s="4">
        <v>47923</v>
      </c>
      <c r="C601" s="4">
        <v>48794</v>
      </c>
      <c r="D601" s="4">
        <v>48875</v>
      </c>
      <c r="E601" s="4">
        <v>47882</v>
      </c>
      <c r="F601" s="4" t="str">
        <v>9.42K</v>
      </c>
      <c r="G601" s="4" t="str">
        <v>-1.85%</v>
      </c>
      <c r="H601" s="3">
        <v>44522</v>
      </c>
      <c r="I601" s="4">
        <v>48378.5</v>
      </c>
    </row>
    <row r="602" spans="1:9" x14ac:dyDescent="0.25">
      <c r="A602" s="3">
        <v>44519</v>
      </c>
      <c r="B602" s="4">
        <v>48828</v>
      </c>
      <c r="C602" s="4">
        <v>49116</v>
      </c>
      <c r="D602" s="4">
        <v>49308</v>
      </c>
      <c r="E602" s="4">
        <v>48710</v>
      </c>
      <c r="F602" s="4" t="str">
        <v>5.29K</v>
      </c>
      <c r="G602" s="4" t="str">
        <v>-0.47%</v>
      </c>
      <c r="H602" s="3">
        <v>44519</v>
      </c>
      <c r="I602" s="4">
        <v>49009</v>
      </c>
    </row>
    <row r="603" spans="1:9" x14ac:dyDescent="0.25">
      <c r="A603" s="3">
        <v>44518</v>
      </c>
      <c r="B603" s="4">
        <v>49059</v>
      </c>
      <c r="C603" s="4">
        <v>49199</v>
      </c>
      <c r="D603" s="4">
        <v>49273</v>
      </c>
      <c r="E603" s="4">
        <v>48986</v>
      </c>
      <c r="F603" s="4" t="str">
        <v>5.66K</v>
      </c>
      <c r="G603" s="4" t="str">
        <v>-0.47%</v>
      </c>
      <c r="H603" s="3">
        <v>44518</v>
      </c>
      <c r="I603" s="4">
        <v>49129.5</v>
      </c>
    </row>
    <row r="604" spans="1:9" x14ac:dyDescent="0.25">
      <c r="A604" s="3">
        <v>44517</v>
      </c>
      <c r="B604" s="4">
        <v>49292</v>
      </c>
      <c r="C604" s="4">
        <v>49068</v>
      </c>
      <c r="D604" s="4">
        <v>49333</v>
      </c>
      <c r="E604" s="4">
        <v>48985</v>
      </c>
      <c r="F604" s="4" t="str">
        <v>5.68K</v>
      </c>
      <c r="G604" s="4" t="str">
        <v>0.52%</v>
      </c>
      <c r="H604" s="3">
        <v>44517</v>
      </c>
      <c r="I604" s="4">
        <v>49159</v>
      </c>
    </row>
    <row r="605" spans="1:9" x14ac:dyDescent="0.25">
      <c r="A605" s="3">
        <v>44516</v>
      </c>
      <c r="B605" s="4">
        <v>49038</v>
      </c>
      <c r="C605" s="4">
        <v>49340</v>
      </c>
      <c r="D605" s="4">
        <v>49610</v>
      </c>
      <c r="E605" s="4">
        <v>49010</v>
      </c>
      <c r="F605" s="4" t="str">
        <v>8.38K</v>
      </c>
      <c r="G605" s="4" t="str">
        <v>-0.53%</v>
      </c>
      <c r="H605" s="3">
        <v>44516</v>
      </c>
      <c r="I605" s="4">
        <v>49310</v>
      </c>
    </row>
    <row r="606" spans="1:9" x14ac:dyDescent="0.25">
      <c r="A606" s="3">
        <v>44515</v>
      </c>
      <c r="B606" s="4">
        <v>49298</v>
      </c>
      <c r="C606" s="4">
        <v>49170</v>
      </c>
      <c r="D606" s="4">
        <v>49475</v>
      </c>
      <c r="E606" s="4">
        <v>49092</v>
      </c>
      <c r="F606" s="4" t="str">
        <v>5.09K</v>
      </c>
      <c r="G606" s="4" t="str">
        <v>-0.03%</v>
      </c>
      <c r="H606" s="3">
        <v>44515</v>
      </c>
      <c r="I606" s="4">
        <v>49283.5</v>
      </c>
    </row>
    <row r="607" spans="1:9" x14ac:dyDescent="0.25">
      <c r="A607" s="3">
        <v>44512</v>
      </c>
      <c r="B607" s="4">
        <v>49314</v>
      </c>
      <c r="C607" s="4">
        <v>49104</v>
      </c>
      <c r="D607" s="4">
        <v>49346</v>
      </c>
      <c r="E607" s="4">
        <v>48875</v>
      </c>
      <c r="F607" s="4" t="str">
        <v>6.22K</v>
      </c>
      <c r="G607" s="4" t="str">
        <v>0.20%</v>
      </c>
      <c r="H607" s="3">
        <v>44512</v>
      </c>
      <c r="I607" s="4">
        <v>49110.5</v>
      </c>
    </row>
    <row r="608" spans="1:9" x14ac:dyDescent="0.25">
      <c r="A608" s="3">
        <v>44511</v>
      </c>
      <c r="B608" s="4">
        <v>49216</v>
      </c>
      <c r="C608" s="4">
        <v>48941</v>
      </c>
      <c r="D608" s="4">
        <v>49380</v>
      </c>
      <c r="E608" s="4">
        <v>48911</v>
      </c>
      <c r="F608" s="4" t="str">
        <v>5.42K</v>
      </c>
      <c r="G608" s="4" t="str">
        <v>0.74%</v>
      </c>
      <c r="H608" s="3">
        <v>44511</v>
      </c>
      <c r="I608" s="4">
        <v>49145.5</v>
      </c>
    </row>
    <row r="609" spans="1:9" x14ac:dyDescent="0.25">
      <c r="A609" s="3">
        <v>44510</v>
      </c>
      <c r="B609" s="4">
        <v>48854</v>
      </c>
      <c r="C609" s="4">
        <v>48248</v>
      </c>
      <c r="D609" s="4">
        <v>49280</v>
      </c>
      <c r="E609" s="4">
        <v>48168</v>
      </c>
      <c r="F609" s="4" t="str">
        <v>11.21K</v>
      </c>
      <c r="G609" s="4" t="str">
        <v>1.17%</v>
      </c>
      <c r="H609" s="3">
        <v>44510</v>
      </c>
      <c r="I609" s="4">
        <v>48724</v>
      </c>
    </row>
    <row r="610" spans="1:9" x14ac:dyDescent="0.25">
      <c r="A610" s="3">
        <v>44509</v>
      </c>
      <c r="B610" s="4">
        <v>48287</v>
      </c>
      <c r="C610" s="4">
        <v>48015</v>
      </c>
      <c r="D610" s="4">
        <v>48311</v>
      </c>
      <c r="E610" s="4">
        <v>47976</v>
      </c>
      <c r="F610" s="4" t="str">
        <v>6.59K</v>
      </c>
      <c r="G610" s="4" t="str">
        <v>0.56%</v>
      </c>
      <c r="H610" s="3">
        <v>44509</v>
      </c>
      <c r="I610" s="4">
        <v>48143.5</v>
      </c>
    </row>
    <row r="611" spans="1:9" x14ac:dyDescent="0.25">
      <c r="A611" s="3">
        <v>44508</v>
      </c>
      <c r="B611" s="4">
        <v>48018</v>
      </c>
      <c r="C611" s="4">
        <v>48000</v>
      </c>
      <c r="D611" s="4">
        <v>48174</v>
      </c>
      <c r="E611" s="4">
        <v>47815</v>
      </c>
      <c r="F611" s="4" t="str">
        <v>6.83K</v>
      </c>
      <c r="G611" s="4" t="str">
        <v>0.10%</v>
      </c>
      <c r="H611" s="3">
        <v>44508</v>
      </c>
      <c r="I611" s="4">
        <v>47994.5</v>
      </c>
    </row>
    <row r="612" spans="1:9" x14ac:dyDescent="0.25">
      <c r="A612" s="3">
        <v>44505</v>
      </c>
      <c r="B612" s="4">
        <v>47972</v>
      </c>
      <c r="C612" s="4">
        <v>47519</v>
      </c>
      <c r="D612" s="4">
        <v>48014</v>
      </c>
      <c r="E612" s="4">
        <v>47294</v>
      </c>
      <c r="F612" s="4" t="str">
        <v>5.32K</v>
      </c>
      <c r="G612" s="4" t="str">
        <v>0.88%</v>
      </c>
      <c r="H612" s="3">
        <v>44505</v>
      </c>
      <c r="I612" s="4">
        <v>47654</v>
      </c>
    </row>
    <row r="613" spans="1:9" x14ac:dyDescent="0.25">
      <c r="A613" s="3">
        <v>44504</v>
      </c>
      <c r="B613" s="4">
        <v>47553</v>
      </c>
      <c r="C613" s="4">
        <v>47300</v>
      </c>
      <c r="D613" s="4">
        <v>47590</v>
      </c>
      <c r="E613" s="4">
        <v>47300</v>
      </c>
      <c r="F613" s="4" t="str">
        <v>2.60K</v>
      </c>
      <c r="G613" s="4" t="str">
        <v>1.18%</v>
      </c>
      <c r="H613" s="3">
        <v>44504</v>
      </c>
      <c r="I613" s="4">
        <v>47445</v>
      </c>
    </row>
    <row r="614" spans="1:9" x14ac:dyDescent="0.25">
      <c r="A614" s="3">
        <v>44503</v>
      </c>
      <c r="B614" s="4">
        <v>47000</v>
      </c>
      <c r="C614" s="4">
        <v>47584</v>
      </c>
      <c r="D614" s="4">
        <v>47584</v>
      </c>
      <c r="E614" s="4">
        <v>46872</v>
      </c>
      <c r="F614" s="4" t="str">
        <v>8.00K</v>
      </c>
      <c r="G614" s="4" t="str">
        <v>-1.31%</v>
      </c>
      <c r="H614" s="3">
        <v>44503</v>
      </c>
      <c r="I614" s="4">
        <v>47228</v>
      </c>
    </row>
    <row r="615" spans="1:9" x14ac:dyDescent="0.25">
      <c r="A615" s="3">
        <v>44502</v>
      </c>
      <c r="B615" s="4">
        <v>47622</v>
      </c>
      <c r="C615" s="4">
        <v>47835</v>
      </c>
      <c r="D615" s="4">
        <v>47885</v>
      </c>
      <c r="E615" s="4">
        <v>47594</v>
      </c>
      <c r="F615" s="4" t="str">
        <v>5.32K</v>
      </c>
      <c r="G615" s="4" t="str">
        <v>-0.59%</v>
      </c>
      <c r="H615" s="3">
        <v>44502</v>
      </c>
      <c r="I615" s="4">
        <v>47739.5</v>
      </c>
    </row>
    <row r="616" spans="1:9" x14ac:dyDescent="0.25">
      <c r="A616" s="3">
        <v>44501</v>
      </c>
      <c r="B616" s="4">
        <v>47903</v>
      </c>
      <c r="C616" s="4">
        <v>47615</v>
      </c>
      <c r="D616" s="4">
        <v>47951</v>
      </c>
      <c r="E616" s="4">
        <v>47590</v>
      </c>
      <c r="F616" s="4" t="str">
        <v>6.03K</v>
      </c>
      <c r="G616" s="4" t="str">
        <v>0.56%</v>
      </c>
      <c r="H616" s="3">
        <v>44501</v>
      </c>
      <c r="I616" s="4">
        <v>47770.5</v>
      </c>
    </row>
    <row r="617" spans="1:9" x14ac:dyDescent="0.25">
      <c r="A617" s="3">
        <v>44498</v>
      </c>
      <c r="B617" s="4">
        <v>47635</v>
      </c>
      <c r="C617" s="4">
        <v>47836</v>
      </c>
      <c r="D617" s="4">
        <v>47944</v>
      </c>
      <c r="E617" s="4">
        <v>47382</v>
      </c>
      <c r="F617" s="4" t="str">
        <v>10.35K</v>
      </c>
      <c r="G617" s="4" t="str">
        <v>-0.68%</v>
      </c>
      <c r="H617" s="3">
        <v>44498</v>
      </c>
      <c r="I617" s="4">
        <v>47663</v>
      </c>
    </row>
    <row r="618" spans="1:9" x14ac:dyDescent="0.25">
      <c r="A618" s="3">
        <v>44497</v>
      </c>
      <c r="B618" s="4">
        <v>47961</v>
      </c>
      <c r="C618" s="4">
        <v>48013</v>
      </c>
      <c r="D618" s="4">
        <v>48229</v>
      </c>
      <c r="E618" s="4">
        <v>47746</v>
      </c>
      <c r="F618" s="4" t="str">
        <v>7.00K</v>
      </c>
      <c r="G618" s="4" t="str">
        <v>-0.00%</v>
      </c>
      <c r="H618" s="3">
        <v>44497</v>
      </c>
      <c r="I618" s="4">
        <v>47987.5</v>
      </c>
    </row>
    <row r="619" spans="1:9" x14ac:dyDescent="0.25">
      <c r="A619" s="3">
        <v>44496</v>
      </c>
      <c r="B619" s="4">
        <v>47962</v>
      </c>
      <c r="C619" s="4">
        <v>47761</v>
      </c>
      <c r="D619" s="4">
        <v>48019</v>
      </c>
      <c r="E619" s="4">
        <v>47620</v>
      </c>
      <c r="F619" s="4" t="str">
        <v>6.39K</v>
      </c>
      <c r="G619" s="4" t="str">
        <v>0.31%</v>
      </c>
      <c r="H619" s="3">
        <v>44496</v>
      </c>
      <c r="I619" s="4">
        <v>47819.5</v>
      </c>
    </row>
    <row r="620" spans="1:9" x14ac:dyDescent="0.25">
      <c r="A620" s="3">
        <v>44495</v>
      </c>
      <c r="B620" s="4">
        <v>47813</v>
      </c>
      <c r="C620" s="4">
        <v>48147</v>
      </c>
      <c r="D620" s="4">
        <v>48280</v>
      </c>
      <c r="E620" s="4">
        <v>47584</v>
      </c>
      <c r="F620" s="4" t="str">
        <v>9.00K</v>
      </c>
      <c r="G620" s="4" t="str">
        <v>-0.80%</v>
      </c>
      <c r="H620" s="3">
        <v>44495</v>
      </c>
      <c r="I620" s="4">
        <v>47932</v>
      </c>
    </row>
    <row r="621" spans="1:9" x14ac:dyDescent="0.25">
      <c r="A621" s="3">
        <v>44494</v>
      </c>
      <c r="B621" s="4">
        <v>48200</v>
      </c>
      <c r="C621" s="4">
        <v>47900</v>
      </c>
      <c r="D621" s="4">
        <v>48299</v>
      </c>
      <c r="E621" s="4">
        <v>47855</v>
      </c>
      <c r="F621" s="4" t="str">
        <v>4.97K</v>
      </c>
      <c r="G621" s="4" t="str">
        <v>0.84%</v>
      </c>
      <c r="H621" s="3">
        <v>44494</v>
      </c>
      <c r="I621" s="4">
        <v>48077</v>
      </c>
    </row>
    <row r="622" spans="1:9" x14ac:dyDescent="0.25">
      <c r="A622" s="3">
        <v>44491</v>
      </c>
      <c r="B622" s="4">
        <v>47797</v>
      </c>
      <c r="C622" s="4">
        <v>47555</v>
      </c>
      <c r="D622" s="4">
        <v>48242</v>
      </c>
      <c r="E622" s="4">
        <v>47482</v>
      </c>
      <c r="F622" s="4" t="str">
        <v>11.59K</v>
      </c>
      <c r="G622" s="4" t="str">
        <v>0.83%</v>
      </c>
      <c r="H622" s="3">
        <v>44491</v>
      </c>
      <c r="I622" s="4">
        <v>47862</v>
      </c>
    </row>
    <row r="623" spans="1:9" x14ac:dyDescent="0.25">
      <c r="A623" s="3">
        <v>44490</v>
      </c>
      <c r="B623" s="4">
        <v>47404</v>
      </c>
      <c r="C623" s="4">
        <v>47529</v>
      </c>
      <c r="D623" s="4">
        <v>47596</v>
      </c>
      <c r="E623" s="4">
        <v>47340</v>
      </c>
      <c r="F623" s="4" t="str">
        <v>5.21K</v>
      </c>
      <c r="G623" s="4" t="str">
        <v>-0.20%</v>
      </c>
      <c r="H623" s="3">
        <v>44490</v>
      </c>
      <c r="I623" s="4">
        <v>47468</v>
      </c>
    </row>
    <row r="624" spans="1:9" x14ac:dyDescent="0.25">
      <c r="A624" s="3">
        <v>44489</v>
      </c>
      <c r="B624" s="4">
        <v>47499</v>
      </c>
      <c r="C624" s="4">
        <v>47355</v>
      </c>
      <c r="D624" s="4">
        <v>47576</v>
      </c>
      <c r="E624" s="4">
        <v>47261</v>
      </c>
      <c r="F624" s="4" t="str">
        <v>7.25K</v>
      </c>
      <c r="G624" s="4" t="str">
        <v>0.46%</v>
      </c>
      <c r="H624" s="3">
        <v>44489</v>
      </c>
      <c r="I624" s="4">
        <v>47418.5</v>
      </c>
    </row>
    <row r="625" spans="1:9" x14ac:dyDescent="0.25">
      <c r="A625" s="3">
        <v>44488</v>
      </c>
      <c r="B625" s="4">
        <v>47280</v>
      </c>
      <c r="C625" s="4">
        <v>47410</v>
      </c>
      <c r="D625" s="4">
        <v>47645</v>
      </c>
      <c r="E625" s="4">
        <v>47231</v>
      </c>
      <c r="F625" s="4" t="str">
        <v>6.75K</v>
      </c>
      <c r="G625" s="4" t="str">
        <v>-0.02%</v>
      </c>
      <c r="H625" s="3">
        <v>44488</v>
      </c>
      <c r="I625" s="4">
        <v>47438</v>
      </c>
    </row>
    <row r="626" spans="1:9" x14ac:dyDescent="0.25">
      <c r="A626" s="3">
        <v>44487</v>
      </c>
      <c r="B626" s="4">
        <v>47291</v>
      </c>
      <c r="C626" s="4">
        <v>47220</v>
      </c>
      <c r="D626" s="4">
        <v>47437</v>
      </c>
      <c r="E626" s="4">
        <v>47169</v>
      </c>
      <c r="F626" s="4" t="str">
        <v>5.43K</v>
      </c>
      <c r="G626" s="4" t="str">
        <v>0.17%</v>
      </c>
      <c r="H626" s="3">
        <v>44487</v>
      </c>
      <c r="I626" s="4">
        <v>47303</v>
      </c>
    </row>
    <row r="627" spans="1:9" x14ac:dyDescent="0.25">
      <c r="A627" s="3">
        <v>44484</v>
      </c>
      <c r="B627" s="4">
        <v>47213</v>
      </c>
      <c r="C627" s="4">
        <v>47602</v>
      </c>
      <c r="D627" s="4">
        <v>47677</v>
      </c>
      <c r="E627" s="4">
        <v>47120</v>
      </c>
      <c r="F627" s="4" t="str">
        <v>7.18K</v>
      </c>
      <c r="G627" s="4" t="str">
        <v>-1.40%</v>
      </c>
      <c r="H627" s="3">
        <v>44484</v>
      </c>
      <c r="I627" s="4">
        <v>47398.5</v>
      </c>
    </row>
    <row r="628" spans="1:9" x14ac:dyDescent="0.25">
      <c r="A628" s="3">
        <v>44483</v>
      </c>
      <c r="B628" s="4">
        <v>47882</v>
      </c>
      <c r="C628" s="4">
        <v>47808</v>
      </c>
      <c r="D628" s="4">
        <v>48100</v>
      </c>
      <c r="E628" s="4">
        <v>47783</v>
      </c>
      <c r="F628" s="4" t="str">
        <v>4.96K</v>
      </c>
      <c r="G628" s="4" t="str">
        <v>-0.07%</v>
      </c>
      <c r="H628" s="3">
        <v>44483</v>
      </c>
      <c r="I628" s="4">
        <v>47941.5</v>
      </c>
    </row>
    <row r="629" spans="1:9" x14ac:dyDescent="0.25">
      <c r="A629" s="3">
        <v>44482</v>
      </c>
      <c r="B629" s="4">
        <v>47916</v>
      </c>
      <c r="C629" s="4">
        <v>47215</v>
      </c>
      <c r="D629" s="4">
        <v>47999</v>
      </c>
      <c r="E629" s="4">
        <v>47131</v>
      </c>
      <c r="F629" s="4" t="str">
        <v>11.07K</v>
      </c>
      <c r="G629" s="4" t="str">
        <v>1.52%</v>
      </c>
      <c r="H629" s="3">
        <v>44482</v>
      </c>
      <c r="I629" s="4">
        <v>47565</v>
      </c>
    </row>
    <row r="630" spans="1:9" x14ac:dyDescent="0.25">
      <c r="A630" s="3">
        <v>44481</v>
      </c>
      <c r="B630" s="4">
        <v>47198</v>
      </c>
      <c r="C630" s="4">
        <v>47099</v>
      </c>
      <c r="D630" s="4">
        <v>47420</v>
      </c>
      <c r="E630" s="4">
        <v>47036</v>
      </c>
      <c r="F630" s="4" t="str">
        <v>6.67K</v>
      </c>
      <c r="G630" s="4" t="str">
        <v>0.31%</v>
      </c>
      <c r="H630" s="3">
        <v>44481</v>
      </c>
      <c r="I630" s="4">
        <v>47228</v>
      </c>
    </row>
    <row r="631" spans="1:9" x14ac:dyDescent="0.25">
      <c r="A631" s="3">
        <v>44480</v>
      </c>
      <c r="B631" s="4">
        <v>47051</v>
      </c>
      <c r="C631" s="4">
        <v>46950</v>
      </c>
      <c r="D631" s="4">
        <v>47188</v>
      </c>
      <c r="E631" s="4">
        <v>46864</v>
      </c>
      <c r="F631" s="4" t="str">
        <v>5.24K</v>
      </c>
      <c r="G631" s="4" t="str">
        <v>0.03%</v>
      </c>
      <c r="H631" s="3">
        <v>44480</v>
      </c>
      <c r="I631" s="4">
        <v>47026</v>
      </c>
    </row>
    <row r="632" spans="1:9" x14ac:dyDescent="0.25">
      <c r="A632" s="3">
        <v>44477</v>
      </c>
      <c r="B632" s="4">
        <v>47037</v>
      </c>
      <c r="C632" s="4">
        <v>46861</v>
      </c>
      <c r="D632" s="4">
        <v>47370</v>
      </c>
      <c r="E632" s="4">
        <v>46854</v>
      </c>
      <c r="F632" s="4" t="str">
        <v>8.31K</v>
      </c>
      <c r="G632" s="4" t="str">
        <v>0.45%</v>
      </c>
      <c r="H632" s="3">
        <v>44477</v>
      </c>
      <c r="I632" s="4">
        <v>47112</v>
      </c>
    </row>
    <row r="633" spans="1:9" x14ac:dyDescent="0.25">
      <c r="A633" s="3">
        <v>44476</v>
      </c>
      <c r="B633" s="4">
        <v>46827</v>
      </c>
      <c r="C633" s="4">
        <v>46851</v>
      </c>
      <c r="D633" s="4">
        <v>46990</v>
      </c>
      <c r="E633" s="4">
        <v>46687</v>
      </c>
      <c r="F633" s="4" t="str">
        <v>4.96K</v>
      </c>
      <c r="G633" s="4" t="str">
        <v>-0.17%</v>
      </c>
      <c r="H633" s="3">
        <v>44476</v>
      </c>
      <c r="I633" s="4">
        <v>46838.5</v>
      </c>
    </row>
    <row r="634" spans="1:9" x14ac:dyDescent="0.25">
      <c r="A634" s="3">
        <v>44475</v>
      </c>
      <c r="B634" s="4">
        <v>46907</v>
      </c>
      <c r="C634" s="4">
        <v>46674</v>
      </c>
      <c r="D634" s="4">
        <v>46990</v>
      </c>
      <c r="E634" s="4">
        <v>46512</v>
      </c>
      <c r="F634" s="4" t="str">
        <v>6.22K</v>
      </c>
      <c r="G634" s="4" t="str">
        <v>0.98%</v>
      </c>
      <c r="H634" s="3">
        <v>44475</v>
      </c>
      <c r="I634" s="4">
        <v>46751</v>
      </c>
    </row>
    <row r="635" spans="1:9" x14ac:dyDescent="0.25">
      <c r="A635" s="3">
        <v>44474</v>
      </c>
      <c r="B635" s="4">
        <v>46450</v>
      </c>
      <c r="C635" s="4">
        <v>46535</v>
      </c>
      <c r="D635" s="4">
        <v>46535</v>
      </c>
      <c r="E635" s="4">
        <v>46354</v>
      </c>
      <c r="F635" s="4" t="str">
        <v>0.01K</v>
      </c>
      <c r="G635" s="4" t="str">
        <v>0.35%</v>
      </c>
      <c r="H635" s="3">
        <v>44474</v>
      </c>
      <c r="I635" s="4">
        <v>46444.5</v>
      </c>
    </row>
    <row r="636" spans="1:9" x14ac:dyDescent="0.25">
      <c r="A636" s="3">
        <v>44473</v>
      </c>
      <c r="B636" s="4">
        <v>46286</v>
      </c>
      <c r="C636" s="4">
        <v>46533</v>
      </c>
      <c r="D636" s="4">
        <v>46963</v>
      </c>
      <c r="E636" s="4">
        <v>46341</v>
      </c>
      <c r="F636" s="4" t="str">
        <v>5.93K</v>
      </c>
      <c r="G636" s="4" t="str">
        <v>0.00%</v>
      </c>
      <c r="H636" s="3">
        <v>44473</v>
      </c>
      <c r="I636" s="4">
        <v>46652</v>
      </c>
    </row>
    <row r="637" spans="1:9" x14ac:dyDescent="0.25">
      <c r="A637" s="3">
        <v>44470</v>
      </c>
      <c r="B637" s="4">
        <v>46286</v>
      </c>
      <c r="C637" s="4">
        <v>46295</v>
      </c>
      <c r="D637" s="4">
        <v>46332</v>
      </c>
      <c r="E637" s="4">
        <v>46155</v>
      </c>
      <c r="F637" s="4" t="str">
        <v>0.05K</v>
      </c>
      <c r="G637" s="4" t="str">
        <v>-0.08%</v>
      </c>
      <c r="H637" s="3">
        <v>44470</v>
      </c>
      <c r="I637" s="4">
        <v>46243.5</v>
      </c>
    </row>
    <row r="638" spans="1:9" x14ac:dyDescent="0.25">
      <c r="A638" s="3">
        <v>44469</v>
      </c>
      <c r="B638" s="4">
        <v>46323</v>
      </c>
      <c r="C638" s="4">
        <v>45650</v>
      </c>
      <c r="D638" s="4">
        <v>46436</v>
      </c>
      <c r="E638" s="4">
        <v>45479</v>
      </c>
      <c r="F638" s="4" t="str">
        <v>0.11K</v>
      </c>
      <c r="G638" s="4" t="str">
        <v>1.62%</v>
      </c>
      <c r="H638" s="3">
        <v>44469</v>
      </c>
      <c r="I638" s="4">
        <v>45957.5</v>
      </c>
    </row>
    <row r="639" spans="1:9" x14ac:dyDescent="0.25">
      <c r="A639" s="3">
        <v>44468</v>
      </c>
      <c r="B639" s="4">
        <v>45585</v>
      </c>
      <c r="C639" s="4">
        <v>45963</v>
      </c>
      <c r="D639" s="4">
        <v>45980</v>
      </c>
      <c r="E639" s="4">
        <v>45511</v>
      </c>
      <c r="F639" s="4" t="str">
        <v>3.22K</v>
      </c>
      <c r="G639" s="4" t="str">
        <v>-0.58%</v>
      </c>
      <c r="H639" s="3">
        <v>44468</v>
      </c>
      <c r="I639" s="4">
        <v>45745.5</v>
      </c>
    </row>
    <row r="640" spans="1:9" x14ac:dyDescent="0.25">
      <c r="A640" s="3">
        <v>44467</v>
      </c>
      <c r="B640" s="4">
        <v>45853</v>
      </c>
      <c r="C640" s="4">
        <v>46071</v>
      </c>
      <c r="D640" s="4">
        <v>46071</v>
      </c>
      <c r="E640" s="4">
        <v>45688</v>
      </c>
      <c r="F640" s="4" t="str">
        <v>8.25K</v>
      </c>
      <c r="G640" s="4" t="str">
        <v>-0.47%</v>
      </c>
      <c r="H640" s="3">
        <v>44467</v>
      </c>
      <c r="I640" s="4">
        <v>45879.5</v>
      </c>
    </row>
    <row r="641" spans="1:9" x14ac:dyDescent="0.25">
      <c r="A641" s="3">
        <v>44466</v>
      </c>
      <c r="B641" s="4">
        <v>46069</v>
      </c>
      <c r="C641" s="4">
        <v>46036</v>
      </c>
      <c r="D641" s="4">
        <v>46220</v>
      </c>
      <c r="E641" s="4">
        <v>45902</v>
      </c>
      <c r="F641" s="4" t="str">
        <v>6.39K</v>
      </c>
      <c r="G641" s="4" t="str">
        <v>0.16%</v>
      </c>
      <c r="H641" s="3">
        <v>44466</v>
      </c>
      <c r="I641" s="4">
        <v>46061</v>
      </c>
    </row>
    <row r="642" spans="1:9" x14ac:dyDescent="0.25">
      <c r="A642" s="3">
        <v>44463</v>
      </c>
      <c r="B642" s="4">
        <v>45995</v>
      </c>
      <c r="C642" s="4">
        <v>46075</v>
      </c>
      <c r="D642" s="4">
        <v>46132</v>
      </c>
      <c r="E642" s="4">
        <v>45787</v>
      </c>
      <c r="F642" s="4" t="str">
        <v>6.50K</v>
      </c>
      <c r="G642" s="4" t="str">
        <v>-0.13%</v>
      </c>
      <c r="H642" s="3">
        <v>44463</v>
      </c>
      <c r="I642" s="4">
        <v>45959.5</v>
      </c>
    </row>
    <row r="643" spans="1:9" x14ac:dyDescent="0.25">
      <c r="A643" s="3">
        <v>44462</v>
      </c>
      <c r="B643" s="4">
        <v>46056</v>
      </c>
      <c r="C643" s="4">
        <v>46439</v>
      </c>
      <c r="D643" s="4">
        <v>46534</v>
      </c>
      <c r="E643" s="4">
        <v>45940</v>
      </c>
      <c r="F643" s="4" t="str">
        <v>7.56K</v>
      </c>
      <c r="G643" s="4" t="str">
        <v>-1.32%</v>
      </c>
      <c r="H643" s="3">
        <v>44462</v>
      </c>
      <c r="I643" s="4">
        <v>46237</v>
      </c>
    </row>
    <row r="644" spans="1:9" x14ac:dyDescent="0.25">
      <c r="A644" s="3">
        <v>44461</v>
      </c>
      <c r="B644" s="4">
        <v>46672</v>
      </c>
      <c r="C644" s="4">
        <v>46651</v>
      </c>
      <c r="D644" s="4">
        <v>46762</v>
      </c>
      <c r="E644" s="4">
        <v>46556</v>
      </c>
      <c r="F644" s="4" t="str">
        <v>4.15K</v>
      </c>
      <c r="G644" s="4" t="str">
        <v>0.07%</v>
      </c>
      <c r="H644" s="3">
        <v>44461</v>
      </c>
      <c r="I644" s="4">
        <v>46659</v>
      </c>
    </row>
    <row r="645" spans="1:9" x14ac:dyDescent="0.25">
      <c r="A645" s="3">
        <v>44460</v>
      </c>
      <c r="B645" s="4">
        <v>46638</v>
      </c>
      <c r="C645" s="4">
        <v>46210</v>
      </c>
      <c r="D645" s="4">
        <v>46799</v>
      </c>
      <c r="E645" s="4">
        <v>46130</v>
      </c>
      <c r="F645" s="4" t="str">
        <v>7.09K</v>
      </c>
      <c r="G645" s="4" t="str">
        <v>0.78%</v>
      </c>
      <c r="H645" s="3">
        <v>44460</v>
      </c>
      <c r="I645" s="4">
        <v>46464.5</v>
      </c>
    </row>
    <row r="646" spans="1:9" x14ac:dyDescent="0.25">
      <c r="A646" s="3">
        <v>44459</v>
      </c>
      <c r="B646" s="4">
        <v>46278</v>
      </c>
      <c r="C646" s="4">
        <v>45930</v>
      </c>
      <c r="D646" s="4">
        <v>46375</v>
      </c>
      <c r="E646" s="4">
        <v>45880</v>
      </c>
      <c r="F646" s="4" t="str">
        <v>6.70K</v>
      </c>
      <c r="G646" s="4" t="str">
        <v>0.63%</v>
      </c>
      <c r="H646" s="3">
        <v>44459</v>
      </c>
      <c r="I646" s="4">
        <v>46127.5</v>
      </c>
    </row>
    <row r="647" spans="1:9" x14ac:dyDescent="0.25">
      <c r="A647" s="3">
        <v>44456</v>
      </c>
      <c r="B647" s="4">
        <v>45986</v>
      </c>
      <c r="C647" s="4">
        <v>46100</v>
      </c>
      <c r="D647" s="4">
        <v>46239</v>
      </c>
      <c r="E647" s="4">
        <v>45853</v>
      </c>
      <c r="F647" s="4" t="str">
        <v>6.35K</v>
      </c>
      <c r="G647" s="4" t="str">
        <v>-0.20%</v>
      </c>
      <c r="H647" s="3">
        <v>44456</v>
      </c>
      <c r="I647" s="4">
        <v>46046</v>
      </c>
    </row>
    <row r="648" spans="1:9" x14ac:dyDescent="0.25">
      <c r="A648" s="3">
        <v>44455</v>
      </c>
      <c r="B648" s="4">
        <v>46076</v>
      </c>
      <c r="C648" s="4">
        <v>46880</v>
      </c>
      <c r="D648" s="4">
        <v>46917</v>
      </c>
      <c r="E648" s="4">
        <v>45812</v>
      </c>
      <c r="F648" s="4" t="str">
        <v>10.01K</v>
      </c>
      <c r="G648" s="4" t="str">
        <v>-1.75%</v>
      </c>
      <c r="H648" s="3">
        <v>44455</v>
      </c>
      <c r="I648" s="4">
        <v>46364.5</v>
      </c>
    </row>
    <row r="649" spans="1:9" x14ac:dyDescent="0.25">
      <c r="A649" s="3">
        <v>44454</v>
      </c>
      <c r="B649" s="4">
        <v>46896</v>
      </c>
      <c r="C649" s="4">
        <v>47185</v>
      </c>
      <c r="D649" s="4">
        <v>47264</v>
      </c>
      <c r="E649" s="4">
        <v>46868</v>
      </c>
      <c r="F649" s="4" t="str">
        <v>6.33K</v>
      </c>
      <c r="G649" s="4" t="str">
        <v>-0.77%</v>
      </c>
      <c r="H649" s="3">
        <v>44454</v>
      </c>
      <c r="I649" s="4">
        <v>47066</v>
      </c>
    </row>
    <row r="650" spans="1:9" x14ac:dyDescent="0.25">
      <c r="A650" s="3">
        <v>44453</v>
      </c>
      <c r="B650" s="4">
        <v>47260</v>
      </c>
      <c r="C650" s="4">
        <v>46868</v>
      </c>
      <c r="D650" s="4">
        <v>47320</v>
      </c>
      <c r="E650" s="4">
        <v>46620</v>
      </c>
      <c r="F650" s="4" t="str">
        <v>10.05K</v>
      </c>
      <c r="G650" s="4" t="str">
        <v>0.75%</v>
      </c>
      <c r="H650" s="3">
        <v>44453</v>
      </c>
      <c r="I650" s="4">
        <v>46970</v>
      </c>
    </row>
    <row r="651" spans="1:9" x14ac:dyDescent="0.25">
      <c r="A651" s="3">
        <v>44452</v>
      </c>
      <c r="B651" s="4">
        <v>46908</v>
      </c>
      <c r="C651" s="4">
        <v>46927</v>
      </c>
      <c r="D651" s="4">
        <v>47043</v>
      </c>
      <c r="E651" s="4">
        <v>46766</v>
      </c>
      <c r="F651" s="4" t="str">
        <v>5.38K</v>
      </c>
      <c r="G651" s="4" t="str">
        <v>0.22%</v>
      </c>
      <c r="H651" s="3">
        <v>44452</v>
      </c>
      <c r="I651" s="4">
        <v>46904.5</v>
      </c>
    </row>
    <row r="652" spans="1:9" x14ac:dyDescent="0.25">
      <c r="A652" s="3">
        <v>44449</v>
      </c>
      <c r="B652" s="4">
        <v>46806</v>
      </c>
      <c r="C652" s="4">
        <v>46900</v>
      </c>
      <c r="D652" s="4">
        <v>46986</v>
      </c>
      <c r="E652" s="4">
        <v>46751</v>
      </c>
      <c r="F652" s="4" t="str">
        <v>2.45K</v>
      </c>
      <c r="G652" s="4" t="str">
        <v>-0.40%</v>
      </c>
      <c r="H652" s="3">
        <v>44449</v>
      </c>
      <c r="I652" s="4">
        <v>46868.5</v>
      </c>
    </row>
    <row r="653" spans="1:9" x14ac:dyDescent="0.25">
      <c r="A653" s="3">
        <v>44448</v>
      </c>
      <c r="B653" s="4">
        <v>46994</v>
      </c>
      <c r="C653" s="4">
        <v>46938</v>
      </c>
      <c r="D653" s="4">
        <v>47082</v>
      </c>
      <c r="E653" s="4">
        <v>46713</v>
      </c>
      <c r="F653" s="4" t="str">
        <v>7.17K</v>
      </c>
      <c r="G653" s="4" t="str">
        <v>-0.09%</v>
      </c>
      <c r="H653" s="3">
        <v>44448</v>
      </c>
      <c r="I653" s="4">
        <v>46897.5</v>
      </c>
    </row>
    <row r="654" spans="1:9" x14ac:dyDescent="0.25">
      <c r="A654" s="3">
        <v>44447</v>
      </c>
      <c r="B654" s="4">
        <v>47038</v>
      </c>
      <c r="C654" s="4">
        <v>46961</v>
      </c>
      <c r="D654" s="4">
        <v>47140</v>
      </c>
      <c r="E654" s="4">
        <v>46750</v>
      </c>
      <c r="F654" s="4" t="str">
        <v>5.82K</v>
      </c>
      <c r="G654" s="4" t="str">
        <v>0.21%</v>
      </c>
      <c r="H654" s="3">
        <v>44447</v>
      </c>
      <c r="I654" s="4">
        <v>46945</v>
      </c>
    </row>
    <row r="655" spans="1:9" x14ac:dyDescent="0.25">
      <c r="A655" s="3">
        <v>44446</v>
      </c>
      <c r="B655" s="4">
        <v>46939</v>
      </c>
      <c r="C655" s="4">
        <v>47402</v>
      </c>
      <c r="D655" s="4">
        <v>47435</v>
      </c>
      <c r="E655" s="4">
        <v>46864</v>
      </c>
      <c r="F655" s="4" t="str">
        <v>7.18K</v>
      </c>
      <c r="G655" s="4" t="str">
        <v>-1.02%</v>
      </c>
      <c r="H655" s="3">
        <v>44446</v>
      </c>
      <c r="I655" s="4">
        <v>47149.5</v>
      </c>
    </row>
    <row r="656" spans="1:9" x14ac:dyDescent="0.25">
      <c r="A656" s="3">
        <v>44445</v>
      </c>
      <c r="B656" s="4">
        <v>47425</v>
      </c>
      <c r="C656" s="4">
        <v>47433</v>
      </c>
      <c r="D656" s="4">
        <v>47497</v>
      </c>
      <c r="E656" s="4">
        <v>47365</v>
      </c>
      <c r="F656" s="4" t="str">
        <v>3.20K</v>
      </c>
      <c r="G656" s="4" t="str">
        <v>-0.21%</v>
      </c>
      <c r="H656" s="3">
        <v>44445</v>
      </c>
      <c r="I656" s="4">
        <v>47431</v>
      </c>
    </row>
    <row r="657" spans="1:9" x14ac:dyDescent="0.25">
      <c r="A657" s="3">
        <v>44442</v>
      </c>
      <c r="B657" s="4">
        <v>47524</v>
      </c>
      <c r="C657" s="4">
        <v>47095</v>
      </c>
      <c r="D657" s="4">
        <v>47598</v>
      </c>
      <c r="E657" s="4">
        <v>47035</v>
      </c>
      <c r="F657" s="4" t="str">
        <v>8.42K</v>
      </c>
      <c r="G657" s="4" t="str">
        <v>1.13%</v>
      </c>
      <c r="H657" s="3">
        <v>44442</v>
      </c>
      <c r="I657" s="4">
        <v>47316.5</v>
      </c>
    </row>
    <row r="658" spans="1:9" x14ac:dyDescent="0.25">
      <c r="A658" s="3">
        <v>44441</v>
      </c>
      <c r="B658" s="4">
        <v>46991</v>
      </c>
      <c r="C658" s="4">
        <v>47049</v>
      </c>
      <c r="D658" s="4">
        <v>47208</v>
      </c>
      <c r="E658" s="4">
        <v>46900</v>
      </c>
      <c r="F658" s="4" t="str">
        <v>4.27K</v>
      </c>
      <c r="G658" s="4" t="str">
        <v>-0.16%</v>
      </c>
      <c r="H658" s="3">
        <v>44441</v>
      </c>
      <c r="I658" s="4">
        <v>47054</v>
      </c>
    </row>
    <row r="659" spans="1:9" x14ac:dyDescent="0.25">
      <c r="A659" s="3">
        <v>44440</v>
      </c>
      <c r="B659" s="4">
        <v>47068</v>
      </c>
      <c r="C659" s="4">
        <v>47129</v>
      </c>
      <c r="D659" s="4">
        <v>47276</v>
      </c>
      <c r="E659" s="4">
        <v>46980</v>
      </c>
      <c r="F659" s="4" t="str">
        <v>5.34K</v>
      </c>
      <c r="G659" s="4" t="str">
        <v>-0.11%</v>
      </c>
      <c r="H659" s="3">
        <v>44440</v>
      </c>
      <c r="I659" s="4">
        <v>47128</v>
      </c>
    </row>
    <row r="660" spans="1:9" x14ac:dyDescent="0.25">
      <c r="A660" s="3">
        <v>44439</v>
      </c>
      <c r="B660" s="4">
        <v>47120</v>
      </c>
      <c r="C660" s="4">
        <v>47299</v>
      </c>
      <c r="D660" s="4">
        <v>47332</v>
      </c>
      <c r="E660" s="4">
        <v>46776</v>
      </c>
      <c r="F660" s="4" t="str">
        <v>6.85K</v>
      </c>
      <c r="G660" s="4" t="str">
        <v>-0.09%</v>
      </c>
      <c r="H660" s="3">
        <v>44439</v>
      </c>
      <c r="I660" s="4">
        <v>47054</v>
      </c>
    </row>
    <row r="661" spans="1:9" x14ac:dyDescent="0.25">
      <c r="A661" s="3">
        <v>44438</v>
      </c>
      <c r="B661" s="4">
        <v>47164</v>
      </c>
      <c r="C661" s="4">
        <v>47438</v>
      </c>
      <c r="D661" s="4">
        <v>47494</v>
      </c>
      <c r="E661" s="4">
        <v>47145</v>
      </c>
      <c r="F661" s="4" t="str">
        <v>4.72K</v>
      </c>
      <c r="G661" s="4" t="str">
        <v>-0.79%</v>
      </c>
      <c r="H661" s="3">
        <v>44438</v>
      </c>
      <c r="I661" s="4">
        <v>47319.5</v>
      </c>
    </row>
    <row r="662" spans="1:9" x14ac:dyDescent="0.25">
      <c r="A662" s="3">
        <v>44435</v>
      </c>
      <c r="B662" s="4">
        <v>47538</v>
      </c>
      <c r="C662" s="4">
        <v>47300</v>
      </c>
      <c r="D662" s="4">
        <v>47582</v>
      </c>
      <c r="E662" s="4">
        <v>46820</v>
      </c>
      <c r="F662" s="4" t="str">
        <v>10.58K</v>
      </c>
      <c r="G662" s="4" t="str">
        <v>0.64%</v>
      </c>
      <c r="H662" s="3">
        <v>44435</v>
      </c>
      <c r="I662" s="4">
        <v>47201</v>
      </c>
    </row>
    <row r="663" spans="1:9" x14ac:dyDescent="0.25">
      <c r="A663" s="3">
        <v>44434</v>
      </c>
      <c r="B663" s="4">
        <v>47237</v>
      </c>
      <c r="C663" s="4">
        <v>47181</v>
      </c>
      <c r="D663" s="4">
        <v>47380</v>
      </c>
      <c r="E663" s="4">
        <v>46934</v>
      </c>
      <c r="F663" s="4" t="str">
        <v>6.29K</v>
      </c>
      <c r="G663" s="4" t="str">
        <v>0.12%</v>
      </c>
      <c r="H663" s="3">
        <v>44434</v>
      </c>
      <c r="I663" s="4">
        <v>47157</v>
      </c>
    </row>
    <row r="664" spans="1:9" x14ac:dyDescent="0.25">
      <c r="A664" s="3">
        <v>44433</v>
      </c>
      <c r="B664" s="4">
        <v>47179</v>
      </c>
      <c r="C664" s="4">
        <v>47435</v>
      </c>
      <c r="D664" s="4">
        <v>47482</v>
      </c>
      <c r="E664" s="4">
        <v>47080</v>
      </c>
      <c r="F664" s="4" t="str">
        <v>7.14K</v>
      </c>
      <c r="G664" s="4" t="str">
        <v>-0.91%</v>
      </c>
      <c r="H664" s="3">
        <v>44433</v>
      </c>
      <c r="I664" s="4">
        <v>47281</v>
      </c>
    </row>
    <row r="665" spans="1:9" x14ac:dyDescent="0.25">
      <c r="A665" s="3">
        <v>44432</v>
      </c>
      <c r="B665" s="4">
        <v>47612</v>
      </c>
      <c r="C665" s="4">
        <v>47515</v>
      </c>
      <c r="D665" s="4">
        <v>47731</v>
      </c>
      <c r="E665" s="4">
        <v>47472</v>
      </c>
      <c r="F665" s="4" t="str">
        <v>5.07K</v>
      </c>
      <c r="G665" s="4" t="str">
        <v>0.06%</v>
      </c>
      <c r="H665" s="3">
        <v>44432</v>
      </c>
      <c r="I665" s="4">
        <v>47601.5</v>
      </c>
    </row>
    <row r="666" spans="1:9" x14ac:dyDescent="0.25">
      <c r="A666" s="3">
        <v>44431</v>
      </c>
      <c r="B666" s="4">
        <v>47584</v>
      </c>
      <c r="C666" s="4">
        <v>47215</v>
      </c>
      <c r="D666" s="4">
        <v>47625</v>
      </c>
      <c r="E666" s="4">
        <v>47149</v>
      </c>
      <c r="F666" s="4" t="str">
        <v>5.78K</v>
      </c>
      <c r="G666" s="4" t="str">
        <v>0.90%</v>
      </c>
      <c r="H666" s="3">
        <v>44431</v>
      </c>
      <c r="I666" s="4">
        <v>47387</v>
      </c>
    </row>
    <row r="667" spans="1:9" x14ac:dyDescent="0.25">
      <c r="A667" s="3">
        <v>44428</v>
      </c>
      <c r="B667" s="4">
        <v>47158</v>
      </c>
      <c r="C667" s="4">
        <v>47250</v>
      </c>
      <c r="D667" s="4">
        <v>47377</v>
      </c>
      <c r="E667" s="4">
        <v>47065</v>
      </c>
      <c r="F667" s="4" t="str">
        <v>5.26K</v>
      </c>
      <c r="G667" s="4" t="str">
        <v>-0.02%</v>
      </c>
      <c r="H667" s="3">
        <v>44428</v>
      </c>
      <c r="I667" s="4">
        <v>47221</v>
      </c>
    </row>
    <row r="668" spans="1:9" x14ac:dyDescent="0.25">
      <c r="A668" s="3">
        <v>44427</v>
      </c>
      <c r="B668" s="4">
        <v>47169</v>
      </c>
      <c r="C668" s="4">
        <v>47211</v>
      </c>
      <c r="D668" s="4">
        <v>47850</v>
      </c>
      <c r="E668" s="4">
        <v>47073</v>
      </c>
      <c r="F668" s="4" t="str">
        <v>4.00K</v>
      </c>
      <c r="G668" s="4" t="str">
        <v>0.08%</v>
      </c>
      <c r="H668" s="3">
        <v>44427</v>
      </c>
      <c r="I668" s="4">
        <v>47461.5</v>
      </c>
    </row>
    <row r="669" spans="1:9" x14ac:dyDescent="0.25">
      <c r="A669" s="3">
        <v>44426</v>
      </c>
      <c r="B669" s="4">
        <v>47132</v>
      </c>
      <c r="C669" s="4">
        <v>47374</v>
      </c>
      <c r="D669" s="4">
        <v>47437</v>
      </c>
      <c r="E669" s="4">
        <v>47026</v>
      </c>
      <c r="F669" s="4" t="str">
        <v>6.34K</v>
      </c>
      <c r="G669" s="4" t="str">
        <v>-0.31%</v>
      </c>
      <c r="H669" s="3">
        <v>44426</v>
      </c>
      <c r="I669" s="4">
        <v>47231.5</v>
      </c>
    </row>
    <row r="670" spans="1:9" x14ac:dyDescent="0.25">
      <c r="A670" s="3">
        <v>44425</v>
      </c>
      <c r="B670" s="4">
        <v>47280</v>
      </c>
      <c r="C670" s="4">
        <v>47235</v>
      </c>
      <c r="D670" s="4">
        <v>47549</v>
      </c>
      <c r="E670" s="4">
        <v>47183</v>
      </c>
      <c r="F670" s="4" t="str">
        <v>7.00K</v>
      </c>
      <c r="G670" s="4" t="str">
        <v>0.12%</v>
      </c>
      <c r="H670" s="3">
        <v>44425</v>
      </c>
      <c r="I670" s="4">
        <v>47366</v>
      </c>
    </row>
    <row r="671" spans="1:9" x14ac:dyDescent="0.25">
      <c r="A671" s="3">
        <v>44424</v>
      </c>
      <c r="B671" s="4">
        <v>47225</v>
      </c>
      <c r="C671" s="4">
        <v>46950</v>
      </c>
      <c r="D671" s="4">
        <v>47280</v>
      </c>
      <c r="E671" s="4">
        <v>46816</v>
      </c>
      <c r="F671" s="4" t="str">
        <v>5.38K</v>
      </c>
      <c r="G671" s="4" t="str">
        <v>0.61%</v>
      </c>
      <c r="H671" s="3">
        <v>44424</v>
      </c>
      <c r="I671" s="4">
        <v>47048</v>
      </c>
    </row>
    <row r="672" spans="1:9" x14ac:dyDescent="0.25">
      <c r="A672" s="3">
        <v>44421</v>
      </c>
      <c r="B672" s="4">
        <v>46940</v>
      </c>
      <c r="C672" s="4">
        <v>46452</v>
      </c>
      <c r="D672" s="4">
        <v>46996</v>
      </c>
      <c r="E672" s="4">
        <v>46416</v>
      </c>
      <c r="F672" s="4" t="str">
        <v>6.47K</v>
      </c>
      <c r="G672" s="4" t="str">
        <v>1.24%</v>
      </c>
      <c r="H672" s="3">
        <v>44421</v>
      </c>
      <c r="I672" s="4">
        <v>46706</v>
      </c>
    </row>
    <row r="673" spans="1:9" x14ac:dyDescent="0.25">
      <c r="A673" s="3">
        <v>44420</v>
      </c>
      <c r="B673" s="4">
        <v>46363</v>
      </c>
      <c r="C673" s="4">
        <v>46300</v>
      </c>
      <c r="D673" s="4">
        <v>46581</v>
      </c>
      <c r="E673" s="4">
        <v>46151</v>
      </c>
      <c r="F673" s="4" t="str">
        <v>6.43K</v>
      </c>
      <c r="G673" s="4" t="str">
        <v>-0.05%</v>
      </c>
      <c r="H673" s="3">
        <v>44420</v>
      </c>
      <c r="I673" s="4">
        <v>46366</v>
      </c>
    </row>
    <row r="674" spans="1:9" x14ac:dyDescent="0.25">
      <c r="A674" s="3">
        <v>44419</v>
      </c>
      <c r="B674" s="4">
        <v>46388</v>
      </c>
      <c r="C674" s="4">
        <v>46011</v>
      </c>
      <c r="D674" s="4">
        <v>46446</v>
      </c>
      <c r="E674" s="4">
        <v>45925</v>
      </c>
      <c r="F674" s="4" t="str">
        <v>7.07K</v>
      </c>
      <c r="G674" s="4" t="str">
        <v>0.93%</v>
      </c>
      <c r="H674" s="3">
        <v>44419</v>
      </c>
      <c r="I674" s="4">
        <v>46185.5</v>
      </c>
    </row>
    <row r="675" spans="1:9" x14ac:dyDescent="0.25">
      <c r="A675" s="3">
        <v>44418</v>
      </c>
      <c r="B675" s="4">
        <v>45962</v>
      </c>
      <c r="C675" s="4">
        <v>46000</v>
      </c>
      <c r="D675" s="4">
        <v>46112</v>
      </c>
      <c r="E675" s="4">
        <v>45662</v>
      </c>
      <c r="F675" s="4" t="str">
        <v>6.32K</v>
      </c>
      <c r="G675" s="4" t="str">
        <v>0.17%</v>
      </c>
      <c r="H675" s="3">
        <v>44418</v>
      </c>
      <c r="I675" s="4">
        <v>45887</v>
      </c>
    </row>
    <row r="676" spans="1:9" x14ac:dyDescent="0.25">
      <c r="A676" s="3">
        <v>44417</v>
      </c>
      <c r="B676" s="4">
        <v>45886</v>
      </c>
      <c r="C676" s="4">
        <v>46311</v>
      </c>
      <c r="D676" s="4">
        <v>46386</v>
      </c>
      <c r="E676" s="4">
        <v>45815</v>
      </c>
      <c r="F676" s="4" t="str">
        <v>9.65K</v>
      </c>
      <c r="G676" s="4" t="str">
        <v>-1.62%</v>
      </c>
      <c r="H676" s="3">
        <v>44417</v>
      </c>
      <c r="I676" s="4">
        <v>46100.5</v>
      </c>
    </row>
    <row r="677" spans="1:9" x14ac:dyDescent="0.25">
      <c r="A677" s="3">
        <v>44414</v>
      </c>
      <c r="B677" s="4">
        <v>46640</v>
      </c>
      <c r="C677" s="4">
        <v>47500</v>
      </c>
      <c r="D677" s="4">
        <v>47574</v>
      </c>
      <c r="E677" s="4">
        <v>46556</v>
      </c>
      <c r="F677" s="4" t="str">
        <v>10.80K</v>
      </c>
      <c r="G677" s="4" t="str">
        <v>-3.74%</v>
      </c>
      <c r="H677" s="3">
        <v>44414</v>
      </c>
      <c r="I677" s="4">
        <v>47065</v>
      </c>
    </row>
    <row r="678" spans="1:9" x14ac:dyDescent="0.25">
      <c r="A678" s="3">
        <v>44413</v>
      </c>
      <c r="B678" s="4">
        <v>48450</v>
      </c>
      <c r="C678" s="4">
        <v>48450</v>
      </c>
      <c r="D678" s="4">
        <v>48450</v>
      </c>
      <c r="E678" s="4">
        <v>48450</v>
      </c>
      <c r="F678" s="4" t="str">
        <v>0.00K</v>
      </c>
      <c r="G678" s="4" t="str">
        <v>0.70%</v>
      </c>
      <c r="H678" s="3">
        <v>44413</v>
      </c>
      <c r="I678" s="4">
        <v>48450</v>
      </c>
    </row>
    <row r="679" spans="1:9" x14ac:dyDescent="0.25">
      <c r="A679" s="3">
        <v>44412</v>
      </c>
      <c r="B679" s="4">
        <v>48111</v>
      </c>
      <c r="C679" s="4">
        <v>47770</v>
      </c>
      <c r="D679" s="4">
        <v>48299</v>
      </c>
      <c r="E679" s="4">
        <v>47770</v>
      </c>
      <c r="F679" s="4" t="str">
        <v>0.02K</v>
      </c>
      <c r="G679" s="4" t="str">
        <v>0.61%</v>
      </c>
      <c r="H679" s="3">
        <v>44412</v>
      </c>
      <c r="I679" s="4">
        <v>48034.5</v>
      </c>
    </row>
    <row r="680" spans="1:9" x14ac:dyDescent="0.25">
      <c r="A680" s="3">
        <v>44411</v>
      </c>
      <c r="B680" s="4">
        <v>47817</v>
      </c>
      <c r="C680" s="4">
        <v>47900</v>
      </c>
      <c r="D680" s="4">
        <v>48049</v>
      </c>
      <c r="E680" s="4">
        <v>47760</v>
      </c>
      <c r="F680" s="4" t="str">
        <v>0.02K</v>
      </c>
      <c r="G680" s="4" t="str">
        <v>-0.47%</v>
      </c>
      <c r="H680" s="3">
        <v>44411</v>
      </c>
      <c r="I680" s="4">
        <v>47904.5</v>
      </c>
    </row>
    <row r="681" spans="1:9" x14ac:dyDescent="0.25">
      <c r="A681" s="3">
        <v>44410</v>
      </c>
      <c r="B681" s="4">
        <v>48045</v>
      </c>
      <c r="C681" s="4">
        <v>47780</v>
      </c>
      <c r="D681" s="4">
        <v>48130</v>
      </c>
      <c r="E681" s="4">
        <v>47725</v>
      </c>
      <c r="F681" s="4" t="str">
        <v>0.02K</v>
      </c>
      <c r="G681" s="4" t="str">
        <v>0.42%</v>
      </c>
      <c r="H681" s="3">
        <v>44410</v>
      </c>
      <c r="I681" s="4">
        <v>47927.5</v>
      </c>
    </row>
    <row r="682" spans="1:9" x14ac:dyDescent="0.25">
      <c r="A682" s="3">
        <v>44407</v>
      </c>
      <c r="B682" s="4">
        <v>47846</v>
      </c>
      <c r="C682" s="4">
        <v>48281</v>
      </c>
      <c r="D682" s="4">
        <v>48304</v>
      </c>
      <c r="E682" s="4">
        <v>47751</v>
      </c>
      <c r="F682" s="4" t="str">
        <v>1.55K</v>
      </c>
      <c r="G682" s="4" t="str">
        <v>-0.90%</v>
      </c>
      <c r="H682" s="3">
        <v>44407</v>
      </c>
      <c r="I682" s="4">
        <v>48027.5</v>
      </c>
    </row>
    <row r="683" spans="1:9" x14ac:dyDescent="0.25">
      <c r="A683" s="3">
        <v>44406</v>
      </c>
      <c r="B683" s="4">
        <v>48281</v>
      </c>
      <c r="C683" s="4">
        <v>47720</v>
      </c>
      <c r="D683" s="4">
        <v>48310</v>
      </c>
      <c r="E683" s="4">
        <v>47690</v>
      </c>
      <c r="F683" s="4" t="str">
        <v>5.82K</v>
      </c>
      <c r="G683" s="4" t="str">
        <v>1.48%</v>
      </c>
      <c r="H683" s="3">
        <v>44406</v>
      </c>
      <c r="I683" s="4">
        <v>48000</v>
      </c>
    </row>
    <row r="684" spans="1:9" x14ac:dyDescent="0.25">
      <c r="A684" s="3">
        <v>44405</v>
      </c>
      <c r="B684" s="4">
        <v>47577</v>
      </c>
      <c r="C684" s="4">
        <v>47610</v>
      </c>
      <c r="D684" s="4">
        <v>47689</v>
      </c>
      <c r="E684" s="4">
        <v>47470</v>
      </c>
      <c r="F684" s="4" t="str">
        <v>4.49K</v>
      </c>
      <c r="G684" s="4" t="str">
        <v>0.01%</v>
      </c>
      <c r="H684" s="3">
        <v>44405</v>
      </c>
      <c r="I684" s="4">
        <v>47579.5</v>
      </c>
    </row>
    <row r="685" spans="1:9" x14ac:dyDescent="0.25">
      <c r="A685" s="3">
        <v>44404</v>
      </c>
      <c r="B685" s="4">
        <v>47573</v>
      </c>
      <c r="C685" s="4">
        <v>47446</v>
      </c>
      <c r="D685" s="4">
        <v>47642</v>
      </c>
      <c r="E685" s="4">
        <v>47367</v>
      </c>
      <c r="F685" s="4" t="str">
        <v>7.10K</v>
      </c>
      <c r="G685" s="4" t="str">
        <v>0.24%</v>
      </c>
      <c r="H685" s="3">
        <v>44404</v>
      </c>
      <c r="I685" s="4">
        <v>47504.5</v>
      </c>
    </row>
    <row r="686" spans="1:9" x14ac:dyDescent="0.25">
      <c r="A686" s="3">
        <v>44403</v>
      </c>
      <c r="B686" s="4">
        <v>47461</v>
      </c>
      <c r="C686" s="4">
        <v>47647</v>
      </c>
      <c r="D686" s="4">
        <v>47784</v>
      </c>
      <c r="E686" s="4">
        <v>47420</v>
      </c>
      <c r="F686" s="4" t="str">
        <v>6.82K</v>
      </c>
      <c r="G686" s="4" t="str">
        <v>-0.15%</v>
      </c>
      <c r="H686" s="3">
        <v>44403</v>
      </c>
      <c r="I686" s="4">
        <v>47602</v>
      </c>
    </row>
    <row r="687" spans="1:9" x14ac:dyDescent="0.25">
      <c r="A687" s="3">
        <v>44400</v>
      </c>
      <c r="B687" s="4">
        <v>47534</v>
      </c>
      <c r="C687" s="4">
        <v>47575</v>
      </c>
      <c r="D687" s="4">
        <v>47720</v>
      </c>
      <c r="E687" s="4">
        <v>47300</v>
      </c>
      <c r="F687" s="4" t="str">
        <v>6.48K</v>
      </c>
      <c r="G687" s="4" t="str">
        <v>-0.21%</v>
      </c>
      <c r="H687" s="3">
        <v>44400</v>
      </c>
      <c r="I687" s="4">
        <v>47510</v>
      </c>
    </row>
    <row r="688" spans="1:9" x14ac:dyDescent="0.25">
      <c r="A688" s="3">
        <v>44399</v>
      </c>
      <c r="B688" s="4">
        <v>47634</v>
      </c>
      <c r="C688" s="4">
        <v>47500</v>
      </c>
      <c r="D688" s="4">
        <v>47690</v>
      </c>
      <c r="E688" s="4">
        <v>47301</v>
      </c>
      <c r="F688" s="4" t="str">
        <v>7.00K</v>
      </c>
      <c r="G688" s="4" t="str">
        <v>0.13%</v>
      </c>
      <c r="H688" s="3">
        <v>44399</v>
      </c>
      <c r="I688" s="4">
        <v>47495.5</v>
      </c>
    </row>
    <row r="689" spans="1:9" x14ac:dyDescent="0.25">
      <c r="A689" s="3">
        <v>44398</v>
      </c>
      <c r="B689" s="4">
        <v>47573</v>
      </c>
      <c r="C689" s="4">
        <v>47750</v>
      </c>
      <c r="D689" s="4">
        <v>47750</v>
      </c>
      <c r="E689" s="4">
        <v>47500</v>
      </c>
      <c r="F689" s="4" t="str">
        <v>3.75K</v>
      </c>
      <c r="G689" s="4" t="str">
        <v>-0.63%</v>
      </c>
      <c r="H689" s="3">
        <v>44398</v>
      </c>
      <c r="I689" s="4">
        <v>47625</v>
      </c>
    </row>
    <row r="690" spans="1:9" x14ac:dyDescent="0.25">
      <c r="A690" s="3">
        <v>44397</v>
      </c>
      <c r="B690" s="4">
        <v>47876</v>
      </c>
      <c r="C690" s="4">
        <v>48240</v>
      </c>
      <c r="D690" s="4">
        <v>48295</v>
      </c>
      <c r="E690" s="4">
        <v>47771</v>
      </c>
      <c r="F690" s="4" t="str">
        <v>7.87K</v>
      </c>
      <c r="G690" s="4" t="str">
        <v>-0.45%</v>
      </c>
      <c r="H690" s="3">
        <v>44397</v>
      </c>
      <c r="I690" s="4">
        <v>48033</v>
      </c>
    </row>
    <row r="691" spans="1:9" x14ac:dyDescent="0.25">
      <c r="A691" s="3">
        <v>44396</v>
      </c>
      <c r="B691" s="4">
        <v>48094</v>
      </c>
      <c r="C691" s="4">
        <v>48083</v>
      </c>
      <c r="D691" s="4">
        <v>48236</v>
      </c>
      <c r="E691" s="4">
        <v>47780</v>
      </c>
      <c r="F691" s="4" t="str">
        <v>8.75K</v>
      </c>
      <c r="G691" s="4" t="str">
        <v>0.09%</v>
      </c>
      <c r="H691" s="3">
        <v>44396</v>
      </c>
      <c r="I691" s="4">
        <v>48008</v>
      </c>
    </row>
    <row r="692" spans="1:9" x14ac:dyDescent="0.25">
      <c r="A692" s="3">
        <v>44393</v>
      </c>
      <c r="B692" s="4">
        <v>48053</v>
      </c>
      <c r="C692" s="4">
        <v>48378</v>
      </c>
      <c r="D692" s="4">
        <v>48389</v>
      </c>
      <c r="E692" s="4">
        <v>47975</v>
      </c>
      <c r="F692" s="4" t="str">
        <v>7.59K</v>
      </c>
      <c r="G692" s="4" t="str">
        <v>-0.72%</v>
      </c>
      <c r="H692" s="3">
        <v>44393</v>
      </c>
      <c r="I692" s="4">
        <v>48182</v>
      </c>
    </row>
    <row r="693" spans="1:9" x14ac:dyDescent="0.25">
      <c r="A693" s="3">
        <v>44392</v>
      </c>
      <c r="B693" s="4">
        <v>48400</v>
      </c>
      <c r="C693" s="4">
        <v>48270</v>
      </c>
      <c r="D693" s="4">
        <v>48501</v>
      </c>
      <c r="E693" s="4">
        <v>48160</v>
      </c>
      <c r="F693" s="4" t="str">
        <v>6.86K</v>
      </c>
      <c r="G693" s="4" t="str">
        <v>0.21%</v>
      </c>
      <c r="H693" s="3">
        <v>44392</v>
      </c>
      <c r="I693" s="4">
        <v>48330.5</v>
      </c>
    </row>
    <row r="694" spans="1:9" x14ac:dyDescent="0.25">
      <c r="A694" s="3">
        <v>44391</v>
      </c>
      <c r="B694" s="4">
        <v>48299</v>
      </c>
      <c r="C694" s="4">
        <v>47982</v>
      </c>
      <c r="D694" s="4">
        <v>48369</v>
      </c>
      <c r="E694" s="4">
        <v>47930</v>
      </c>
      <c r="F694" s="4" t="str">
        <v>8.40K</v>
      </c>
      <c r="G694" s="4" t="str">
        <v>0.86%</v>
      </c>
      <c r="H694" s="3">
        <v>44391</v>
      </c>
      <c r="I694" s="4">
        <v>48149.5</v>
      </c>
    </row>
    <row r="695" spans="1:9" x14ac:dyDescent="0.25">
      <c r="A695" s="3">
        <v>44390</v>
      </c>
      <c r="B695" s="4">
        <v>47889</v>
      </c>
      <c r="C695" s="4">
        <v>47875</v>
      </c>
      <c r="D695" s="4">
        <v>48071</v>
      </c>
      <c r="E695" s="4">
        <v>47715</v>
      </c>
      <c r="F695" s="4" t="str">
        <v>8.41K</v>
      </c>
      <c r="G695" s="4" t="str">
        <v>0.24%</v>
      </c>
      <c r="H695" s="3">
        <v>44390</v>
      </c>
      <c r="I695" s="4">
        <v>47893</v>
      </c>
    </row>
    <row r="696" spans="1:9" x14ac:dyDescent="0.25">
      <c r="A696" s="3">
        <v>44389</v>
      </c>
      <c r="B696" s="4">
        <v>47774</v>
      </c>
      <c r="C696" s="4">
        <v>47807</v>
      </c>
      <c r="D696" s="4">
        <v>47870</v>
      </c>
      <c r="E696" s="4">
        <v>47477</v>
      </c>
      <c r="F696" s="4" t="str">
        <v>8.36K</v>
      </c>
      <c r="G696" s="4" t="str">
        <v>-0.31%</v>
      </c>
      <c r="H696" s="3">
        <v>44389</v>
      </c>
      <c r="I696" s="4">
        <v>47673.5</v>
      </c>
    </row>
    <row r="697" spans="1:9" x14ac:dyDescent="0.25">
      <c r="A697" s="3">
        <v>44386</v>
      </c>
      <c r="B697" s="4">
        <v>47923</v>
      </c>
      <c r="C697" s="4">
        <v>47844</v>
      </c>
      <c r="D697" s="4">
        <v>47948</v>
      </c>
      <c r="E697" s="4">
        <v>47621</v>
      </c>
      <c r="F697" s="4" t="str">
        <v>6.56K</v>
      </c>
      <c r="G697" s="4" t="str">
        <v>0.42%</v>
      </c>
      <c r="H697" s="3">
        <v>44386</v>
      </c>
      <c r="I697" s="4">
        <v>47784.5</v>
      </c>
    </row>
    <row r="698" spans="1:9" x14ac:dyDescent="0.25">
      <c r="A698" s="3">
        <v>44385</v>
      </c>
      <c r="B698" s="4">
        <v>47721</v>
      </c>
      <c r="C698" s="4">
        <v>47759</v>
      </c>
      <c r="D698" s="4">
        <v>48290</v>
      </c>
      <c r="E698" s="4">
        <v>47601</v>
      </c>
      <c r="F698" s="4" t="str">
        <v>11.00K</v>
      </c>
      <c r="G698" s="4" t="str">
        <v>-0.39%</v>
      </c>
      <c r="H698" s="3">
        <v>44385</v>
      </c>
      <c r="I698" s="4">
        <v>47945.5</v>
      </c>
    </row>
    <row r="699" spans="1:9" x14ac:dyDescent="0.25">
      <c r="A699" s="3">
        <v>44384</v>
      </c>
      <c r="B699" s="4">
        <v>47910</v>
      </c>
      <c r="C699" s="4">
        <v>47761</v>
      </c>
      <c r="D699" s="4">
        <v>47999</v>
      </c>
      <c r="E699" s="4">
        <v>47655</v>
      </c>
      <c r="F699" s="4" t="str">
        <v>6.20K</v>
      </c>
      <c r="G699" s="4" t="str">
        <v>0.47%</v>
      </c>
      <c r="H699" s="3">
        <v>44384</v>
      </c>
      <c r="I699" s="4">
        <v>47827</v>
      </c>
    </row>
    <row r="700" spans="1:9" x14ac:dyDescent="0.25">
      <c r="A700" s="3">
        <v>44383</v>
      </c>
      <c r="B700" s="4">
        <v>47684</v>
      </c>
      <c r="C700" s="4">
        <v>47350</v>
      </c>
      <c r="D700" s="4">
        <v>48000</v>
      </c>
      <c r="E700" s="4">
        <v>47350</v>
      </c>
      <c r="F700" s="4" t="str">
        <v>9.36K</v>
      </c>
      <c r="G700" s="4" t="str">
        <v>0.81%</v>
      </c>
      <c r="H700" s="3">
        <v>44383</v>
      </c>
      <c r="I700" s="4">
        <v>47675</v>
      </c>
    </row>
    <row r="701" spans="1:9" x14ac:dyDescent="0.25">
      <c r="A701" s="3">
        <v>44382</v>
      </c>
      <c r="B701" s="4">
        <v>47299</v>
      </c>
      <c r="C701" s="4">
        <v>47349</v>
      </c>
      <c r="D701" s="4">
        <v>47425</v>
      </c>
      <c r="E701" s="4">
        <v>47250</v>
      </c>
      <c r="F701" s="4" t="str">
        <v>3.43K</v>
      </c>
      <c r="G701" s="4" t="str">
        <v>0.03%</v>
      </c>
      <c r="H701" s="3">
        <v>44382</v>
      </c>
      <c r="I701" s="4">
        <v>47337.5</v>
      </c>
    </row>
    <row r="702" spans="1:9" x14ac:dyDescent="0.25">
      <c r="A702" s="3">
        <v>44379</v>
      </c>
      <c r="B702" s="4">
        <v>47285</v>
      </c>
      <c r="C702" s="4">
        <v>47139</v>
      </c>
      <c r="D702" s="4">
        <v>47515</v>
      </c>
      <c r="E702" s="4">
        <v>47139</v>
      </c>
      <c r="F702" s="4" t="str">
        <v>7.29K</v>
      </c>
      <c r="G702" s="4" t="str">
        <v>0.52%</v>
      </c>
      <c r="H702" s="3">
        <v>44379</v>
      </c>
      <c r="I702" s="4">
        <v>47327</v>
      </c>
    </row>
    <row r="703" spans="1:9" x14ac:dyDescent="0.25">
      <c r="A703" s="3">
        <v>44378</v>
      </c>
      <c r="B703" s="4">
        <v>47039</v>
      </c>
      <c r="C703" s="4">
        <v>46930</v>
      </c>
      <c r="D703" s="4">
        <v>47210</v>
      </c>
      <c r="E703" s="4">
        <v>46903</v>
      </c>
      <c r="F703" s="4" t="str">
        <v>6.30K</v>
      </c>
      <c r="G703" s="4" t="str">
        <v>0.43%</v>
      </c>
      <c r="H703" s="3">
        <v>44378</v>
      </c>
      <c r="I703" s="4">
        <v>47056.5</v>
      </c>
    </row>
    <row r="704" spans="1:9" x14ac:dyDescent="0.25">
      <c r="A704" s="3">
        <v>44377</v>
      </c>
      <c r="B704" s="4">
        <v>46839</v>
      </c>
      <c r="C704" s="4">
        <v>46594</v>
      </c>
      <c r="D704" s="4">
        <v>46933</v>
      </c>
      <c r="E704" s="4">
        <v>46461</v>
      </c>
      <c r="F704" s="4" t="str">
        <v>6.35K</v>
      </c>
      <c r="G704" s="4" t="str">
        <v>0.61%</v>
      </c>
      <c r="H704" s="3">
        <v>44377</v>
      </c>
      <c r="I704" s="4">
        <v>46697</v>
      </c>
    </row>
    <row r="705" spans="1:9" x14ac:dyDescent="0.25">
      <c r="A705" s="3">
        <v>44376</v>
      </c>
      <c r="B705" s="4">
        <v>46555</v>
      </c>
      <c r="C705" s="4">
        <v>46880</v>
      </c>
      <c r="D705" s="4">
        <v>46970</v>
      </c>
      <c r="E705" s="4">
        <v>46330</v>
      </c>
      <c r="F705" s="4" t="str">
        <v>9.76K</v>
      </c>
      <c r="G705" s="4" t="str">
        <v>-0.96%</v>
      </c>
      <c r="H705" s="3">
        <v>44376</v>
      </c>
      <c r="I705" s="4">
        <v>46650</v>
      </c>
    </row>
    <row r="706" spans="1:9" x14ac:dyDescent="0.25">
      <c r="A706" s="3">
        <v>44375</v>
      </c>
      <c r="B706" s="4">
        <v>47008</v>
      </c>
      <c r="C706" s="4">
        <v>46965</v>
      </c>
      <c r="D706" s="4">
        <v>47118</v>
      </c>
      <c r="E706" s="4">
        <v>46865</v>
      </c>
      <c r="F706" s="4" t="str">
        <v>5.49K</v>
      </c>
      <c r="G706" s="4" t="str">
        <v>0.18%</v>
      </c>
      <c r="H706" s="3">
        <v>44375</v>
      </c>
      <c r="I706" s="4">
        <v>46991.5</v>
      </c>
    </row>
    <row r="707" spans="1:9" x14ac:dyDescent="0.25">
      <c r="A707" s="3">
        <v>44372</v>
      </c>
      <c r="B707" s="4">
        <v>46925</v>
      </c>
      <c r="C707" s="4">
        <v>46948</v>
      </c>
      <c r="D707" s="4">
        <v>47213</v>
      </c>
      <c r="E707" s="4">
        <v>46835</v>
      </c>
      <c r="F707" s="4" t="str">
        <v>6.80K</v>
      </c>
      <c r="G707" s="4" t="str">
        <v>0.12%</v>
      </c>
      <c r="H707" s="3">
        <v>44372</v>
      </c>
      <c r="I707" s="4">
        <v>47024</v>
      </c>
    </row>
    <row r="708" spans="1:9" x14ac:dyDescent="0.25">
      <c r="A708" s="3">
        <v>44371</v>
      </c>
      <c r="B708" s="4">
        <v>46870</v>
      </c>
      <c r="C708" s="4">
        <v>46950</v>
      </c>
      <c r="D708" s="4">
        <v>47159</v>
      </c>
      <c r="E708" s="4">
        <v>46811</v>
      </c>
      <c r="F708" s="4" t="str">
        <v>6.14K</v>
      </c>
      <c r="G708" s="4" t="str">
        <v>-0.43%</v>
      </c>
      <c r="H708" s="3">
        <v>44371</v>
      </c>
      <c r="I708" s="4">
        <v>46985</v>
      </c>
    </row>
    <row r="709" spans="1:9" x14ac:dyDescent="0.25">
      <c r="A709" s="3">
        <v>44370</v>
      </c>
      <c r="B709" s="4">
        <v>47072</v>
      </c>
      <c r="C709" s="4">
        <v>47093</v>
      </c>
      <c r="D709" s="4">
        <v>47318</v>
      </c>
      <c r="E709" s="4">
        <v>46962</v>
      </c>
      <c r="F709" s="4" t="str">
        <v>6.66K</v>
      </c>
      <c r="G709" s="4" t="str">
        <v>0.13%</v>
      </c>
      <c r="H709" s="3">
        <v>44370</v>
      </c>
      <c r="I709" s="4">
        <v>47140</v>
      </c>
    </row>
    <row r="710" spans="1:9" x14ac:dyDescent="0.25">
      <c r="A710" s="3">
        <v>44369</v>
      </c>
      <c r="B710" s="4">
        <v>47011</v>
      </c>
      <c r="C710" s="4">
        <v>47178</v>
      </c>
      <c r="D710" s="4">
        <v>47247</v>
      </c>
      <c r="E710" s="4">
        <v>46869</v>
      </c>
      <c r="F710" s="4" t="str">
        <v>6.37K</v>
      </c>
      <c r="G710" s="4" t="str">
        <v>-0.13%</v>
      </c>
      <c r="H710" s="3">
        <v>44369</v>
      </c>
      <c r="I710" s="4">
        <v>47058</v>
      </c>
    </row>
    <row r="711" spans="1:9" x14ac:dyDescent="0.25">
      <c r="A711" s="3">
        <v>44368</v>
      </c>
      <c r="B711" s="4">
        <v>47074</v>
      </c>
      <c r="C711" s="4">
        <v>46900</v>
      </c>
      <c r="D711" s="4">
        <v>47155</v>
      </c>
      <c r="E711" s="4">
        <v>46633</v>
      </c>
      <c r="F711" s="4" t="str">
        <v>6.01K</v>
      </c>
      <c r="G711" s="4" t="str">
        <v>0.74%</v>
      </c>
      <c r="H711" s="3">
        <v>44368</v>
      </c>
      <c r="I711" s="4">
        <v>46894</v>
      </c>
    </row>
    <row r="712" spans="1:9" x14ac:dyDescent="0.25">
      <c r="A712" s="3">
        <v>44365</v>
      </c>
      <c r="B712" s="4">
        <v>46728</v>
      </c>
      <c r="C712" s="4">
        <v>47147</v>
      </c>
      <c r="D712" s="4">
        <v>47387</v>
      </c>
      <c r="E712" s="4">
        <v>46668</v>
      </c>
      <c r="F712" s="4" t="str">
        <v>7.70K</v>
      </c>
      <c r="G712" s="4" t="str">
        <v>-0.49%</v>
      </c>
      <c r="H712" s="3">
        <v>44365</v>
      </c>
      <c r="I712" s="4">
        <v>47027.5</v>
      </c>
    </row>
    <row r="713" spans="1:9" x14ac:dyDescent="0.25">
      <c r="A713" s="3">
        <v>44364</v>
      </c>
      <c r="B713" s="4">
        <v>46958</v>
      </c>
      <c r="C713" s="4">
        <v>48250</v>
      </c>
      <c r="D713" s="4">
        <v>48250</v>
      </c>
      <c r="E713" s="4">
        <v>46744</v>
      </c>
      <c r="F713" s="4" t="str">
        <v>12.51K</v>
      </c>
      <c r="G713" s="4" t="str">
        <v>-3.19%</v>
      </c>
      <c r="H713" s="3">
        <v>44364</v>
      </c>
      <c r="I713" s="4">
        <v>47497</v>
      </c>
    </row>
    <row r="714" spans="1:9" x14ac:dyDescent="0.25">
      <c r="A714" s="3">
        <v>44363</v>
      </c>
      <c r="B714" s="4">
        <v>48506</v>
      </c>
      <c r="C714" s="4">
        <v>48458</v>
      </c>
      <c r="D714" s="4">
        <v>48565</v>
      </c>
      <c r="E714" s="4">
        <v>48367</v>
      </c>
      <c r="F714" s="4" t="str">
        <v>4.64K</v>
      </c>
      <c r="G714" s="4" t="str">
        <v>0.17%</v>
      </c>
      <c r="H714" s="3">
        <v>44363</v>
      </c>
      <c r="I714" s="4">
        <v>48466</v>
      </c>
    </row>
    <row r="715" spans="1:9" x14ac:dyDescent="0.25">
      <c r="A715" s="3">
        <v>44362</v>
      </c>
      <c r="B715" s="4">
        <v>48424</v>
      </c>
      <c r="C715" s="4">
        <v>48509</v>
      </c>
      <c r="D715" s="4">
        <v>48732</v>
      </c>
      <c r="E715" s="4">
        <v>48348</v>
      </c>
      <c r="F715" s="4" t="str">
        <v>6.08K</v>
      </c>
      <c r="G715" s="4" t="str">
        <v>-0.20%</v>
      </c>
      <c r="H715" s="3">
        <v>44362</v>
      </c>
      <c r="I715" s="4">
        <v>48540</v>
      </c>
    </row>
    <row r="716" spans="1:9" x14ac:dyDescent="0.25">
      <c r="A716" s="3">
        <v>44361</v>
      </c>
      <c r="B716" s="4">
        <v>48523</v>
      </c>
      <c r="C716" s="4">
        <v>48750</v>
      </c>
      <c r="D716" s="4">
        <v>48750</v>
      </c>
      <c r="E716" s="4">
        <v>48105</v>
      </c>
      <c r="F716" s="4" t="str">
        <v>9.04K</v>
      </c>
      <c r="G716" s="4" t="str">
        <v>-0.78%</v>
      </c>
      <c r="H716" s="3">
        <v>44361</v>
      </c>
      <c r="I716" s="4">
        <v>48427.5</v>
      </c>
    </row>
    <row r="717" spans="1:9" x14ac:dyDescent="0.25">
      <c r="A717" s="3">
        <v>44358</v>
      </c>
      <c r="B717" s="4">
        <v>48903</v>
      </c>
      <c r="C717" s="4">
        <v>49283</v>
      </c>
      <c r="D717" s="4">
        <v>49399</v>
      </c>
      <c r="E717" s="4">
        <v>48865</v>
      </c>
      <c r="F717" s="4" t="str">
        <v>6.85K</v>
      </c>
      <c r="G717" s="4" t="str">
        <v>-0.60%</v>
      </c>
      <c r="H717" s="3">
        <v>44358</v>
      </c>
      <c r="I717" s="4">
        <v>49132</v>
      </c>
    </row>
    <row r="718" spans="1:9" x14ac:dyDescent="0.25">
      <c r="A718" s="3">
        <v>44357</v>
      </c>
      <c r="B718" s="4">
        <v>49198</v>
      </c>
      <c r="C718" s="4">
        <v>49018</v>
      </c>
      <c r="D718" s="4">
        <v>49263</v>
      </c>
      <c r="E718" s="4">
        <v>48675</v>
      </c>
      <c r="F718" s="4" t="str">
        <v>8.79K</v>
      </c>
      <c r="G718" s="4" t="str">
        <v>0.15%</v>
      </c>
      <c r="H718" s="3">
        <v>44357</v>
      </c>
      <c r="I718" s="4">
        <v>48969</v>
      </c>
    </row>
    <row r="719" spans="1:9" x14ac:dyDescent="0.25">
      <c r="A719" s="3">
        <v>44356</v>
      </c>
      <c r="B719" s="4">
        <v>49124</v>
      </c>
      <c r="C719" s="4">
        <v>49150</v>
      </c>
      <c r="D719" s="4">
        <v>49269</v>
      </c>
      <c r="E719" s="4">
        <v>49024</v>
      </c>
      <c r="F719" s="4" t="str">
        <v>5.04K</v>
      </c>
      <c r="G719" s="4" t="str">
        <v>-0.01%</v>
      </c>
      <c r="H719" s="3">
        <v>44356</v>
      </c>
      <c r="I719" s="4">
        <v>49146.5</v>
      </c>
    </row>
    <row r="720" spans="1:9" x14ac:dyDescent="0.25">
      <c r="A720" s="3">
        <v>44355</v>
      </c>
      <c r="B720" s="4">
        <v>49127</v>
      </c>
      <c r="C720" s="4">
        <v>49146</v>
      </c>
      <c r="D720" s="4">
        <v>49350</v>
      </c>
      <c r="E720" s="4">
        <v>48932</v>
      </c>
      <c r="F720" s="4" t="str">
        <v>6.27K</v>
      </c>
      <c r="G720" s="4" t="str">
        <v>-0.03%</v>
      </c>
      <c r="H720" s="3">
        <v>44355</v>
      </c>
      <c r="I720" s="4">
        <v>49141</v>
      </c>
    </row>
    <row r="721" spans="1:9" x14ac:dyDescent="0.25">
      <c r="A721" s="3">
        <v>44354</v>
      </c>
      <c r="B721" s="4">
        <v>49143</v>
      </c>
      <c r="C721" s="4">
        <v>48947</v>
      </c>
      <c r="D721" s="4">
        <v>49175</v>
      </c>
      <c r="E721" s="4">
        <v>48782</v>
      </c>
      <c r="F721" s="4" t="str">
        <v>4.08K</v>
      </c>
      <c r="G721" s="4" t="str">
        <v>1.12%</v>
      </c>
      <c r="H721" s="3">
        <v>44354</v>
      </c>
      <c r="I721" s="4">
        <v>48978.5</v>
      </c>
    </row>
    <row r="722" spans="1:9" x14ac:dyDescent="0.25">
      <c r="A722" s="3">
        <v>44351</v>
      </c>
      <c r="B722" s="4">
        <v>48600</v>
      </c>
      <c r="C722" s="4">
        <v>48600</v>
      </c>
      <c r="D722" s="4">
        <v>48600</v>
      </c>
      <c r="E722" s="4">
        <v>48600</v>
      </c>
      <c r="F722" s="4" t="str">
        <v>0.00K</v>
      </c>
      <c r="G722" s="4" t="str">
        <v>-0.80%</v>
      </c>
      <c r="H722" s="3">
        <v>44351</v>
      </c>
      <c r="I722" s="4">
        <v>48600</v>
      </c>
    </row>
    <row r="723" spans="1:9" x14ac:dyDescent="0.25">
      <c r="A723" s="3">
        <v>44350</v>
      </c>
      <c r="B723" s="4">
        <v>48990</v>
      </c>
      <c r="C723" s="4">
        <v>49163</v>
      </c>
      <c r="D723" s="4">
        <v>49670</v>
      </c>
      <c r="E723" s="4">
        <v>48570</v>
      </c>
      <c r="F723" s="4" t="str">
        <v>0.01K</v>
      </c>
      <c r="G723" s="4" t="str">
        <v>-0.33%</v>
      </c>
      <c r="H723" s="3">
        <v>44350</v>
      </c>
      <c r="I723" s="4">
        <v>49120</v>
      </c>
    </row>
    <row r="724" spans="1:9" x14ac:dyDescent="0.25">
      <c r="A724" s="3">
        <v>44349</v>
      </c>
      <c r="B724" s="4">
        <v>49154</v>
      </c>
      <c r="C724" s="4">
        <v>49100</v>
      </c>
      <c r="D724" s="4">
        <v>49220</v>
      </c>
      <c r="E724" s="4">
        <v>49075</v>
      </c>
      <c r="F724" s="4" t="str">
        <v>0.01K</v>
      </c>
      <c r="G724" s="4" t="str">
        <v>0.32%</v>
      </c>
      <c r="H724" s="3">
        <v>44349</v>
      </c>
      <c r="I724" s="4">
        <v>49147.5</v>
      </c>
    </row>
    <row r="725" spans="1:9" x14ac:dyDescent="0.25">
      <c r="A725" s="3">
        <v>44348</v>
      </c>
      <c r="B725" s="4">
        <v>48995</v>
      </c>
      <c r="C725" s="4">
        <v>49049</v>
      </c>
      <c r="D725" s="4">
        <v>49225</v>
      </c>
      <c r="E725" s="4">
        <v>48710</v>
      </c>
      <c r="F725" s="4" t="str">
        <v>0.07K</v>
      </c>
      <c r="G725" s="4" t="str">
        <v>0.36%</v>
      </c>
      <c r="H725" s="3">
        <v>44348</v>
      </c>
      <c r="I725" s="4">
        <v>48967.5</v>
      </c>
    </row>
    <row r="726" spans="1:9" x14ac:dyDescent="0.25">
      <c r="A726" s="3">
        <v>44347</v>
      </c>
      <c r="B726" s="4">
        <v>48821</v>
      </c>
      <c r="C726" s="4">
        <v>48690</v>
      </c>
      <c r="D726" s="4">
        <v>48967</v>
      </c>
      <c r="E726" s="4">
        <v>48540</v>
      </c>
      <c r="F726" s="4" t="str">
        <v>1.03K</v>
      </c>
      <c r="G726" s="4" t="str">
        <v>0.57%</v>
      </c>
      <c r="H726" s="3">
        <v>44347</v>
      </c>
      <c r="I726" s="4">
        <v>48753.5</v>
      </c>
    </row>
    <row r="727" spans="1:9" x14ac:dyDescent="0.25">
      <c r="A727" s="3">
        <v>44344</v>
      </c>
      <c r="B727" s="4">
        <v>48542</v>
      </c>
      <c r="C727" s="4">
        <v>48432</v>
      </c>
      <c r="D727" s="4">
        <v>48603</v>
      </c>
      <c r="E727" s="4">
        <v>48250</v>
      </c>
      <c r="F727" s="4" t="str">
        <v>5.62K</v>
      </c>
      <c r="G727" s="4" t="str">
        <v>-0.08%</v>
      </c>
      <c r="H727" s="3">
        <v>44344</v>
      </c>
      <c r="I727" s="4">
        <v>48426.5</v>
      </c>
    </row>
    <row r="728" spans="1:9" x14ac:dyDescent="0.25">
      <c r="A728" s="3">
        <v>44343</v>
      </c>
      <c r="B728" s="4">
        <v>48581</v>
      </c>
      <c r="C728" s="4">
        <v>48751</v>
      </c>
      <c r="D728" s="4">
        <v>48870</v>
      </c>
      <c r="E728" s="4">
        <v>48451</v>
      </c>
      <c r="F728" s="4" t="str">
        <v>7.69K</v>
      </c>
      <c r="G728" s="4" t="str">
        <v>-0.42%</v>
      </c>
      <c r="H728" s="3">
        <v>44343</v>
      </c>
      <c r="I728" s="4">
        <v>48660.5</v>
      </c>
    </row>
    <row r="729" spans="1:9" x14ac:dyDescent="0.25">
      <c r="A729" s="3">
        <v>44342</v>
      </c>
      <c r="B729" s="4">
        <v>48784</v>
      </c>
      <c r="C729" s="4">
        <v>49067</v>
      </c>
      <c r="D729" s="4">
        <v>49220</v>
      </c>
      <c r="E729" s="4">
        <v>48666</v>
      </c>
      <c r="F729" s="4" t="str">
        <v>7.21K</v>
      </c>
      <c r="G729" s="4" t="str">
        <v>-0.17%</v>
      </c>
      <c r="H729" s="3">
        <v>44342</v>
      </c>
      <c r="I729" s="4">
        <v>48943</v>
      </c>
    </row>
    <row r="730" spans="1:9" x14ac:dyDescent="0.25">
      <c r="A730" s="3">
        <v>44341</v>
      </c>
      <c r="B730" s="4">
        <v>48867</v>
      </c>
      <c r="C730" s="4">
        <v>48425</v>
      </c>
      <c r="D730" s="4">
        <v>48894</v>
      </c>
      <c r="E730" s="4">
        <v>48333</v>
      </c>
      <c r="F730" s="4" t="str">
        <v>8.13K</v>
      </c>
      <c r="G730" s="4" t="str">
        <v>0.65%</v>
      </c>
      <c r="H730" s="3">
        <v>44341</v>
      </c>
      <c r="I730" s="4">
        <v>48613.5</v>
      </c>
    </row>
    <row r="731" spans="1:9" x14ac:dyDescent="0.25">
      <c r="A731" s="3">
        <v>44340</v>
      </c>
      <c r="B731" s="4">
        <v>48553</v>
      </c>
      <c r="C731" s="4">
        <v>48450</v>
      </c>
      <c r="D731" s="4">
        <v>48640</v>
      </c>
      <c r="E731" s="4">
        <v>48368</v>
      </c>
      <c r="F731" s="4" t="str">
        <v>4.35K</v>
      </c>
      <c r="G731" s="4" t="str">
        <v>0.31%</v>
      </c>
      <c r="H731" s="3">
        <v>44340</v>
      </c>
      <c r="I731" s="4">
        <v>48504</v>
      </c>
    </row>
    <row r="732" spans="1:9" x14ac:dyDescent="0.25">
      <c r="A732" s="3">
        <v>44337</v>
      </c>
      <c r="B732" s="4">
        <v>48404</v>
      </c>
      <c r="C732" s="4">
        <v>48336</v>
      </c>
      <c r="D732" s="4">
        <v>48670</v>
      </c>
      <c r="E732" s="4">
        <v>48230</v>
      </c>
      <c r="F732" s="4" t="str">
        <v>6.90K</v>
      </c>
      <c r="G732" s="4" t="str">
        <v>-0.29%</v>
      </c>
      <c r="H732" s="3">
        <v>44337</v>
      </c>
      <c r="I732" s="4">
        <v>48450</v>
      </c>
    </row>
    <row r="733" spans="1:9" x14ac:dyDescent="0.25">
      <c r="A733" s="3">
        <v>44336</v>
      </c>
      <c r="B733" s="4">
        <v>48544</v>
      </c>
      <c r="C733" s="4">
        <v>48598</v>
      </c>
      <c r="D733" s="4">
        <v>48665</v>
      </c>
      <c r="E733" s="4">
        <v>48269</v>
      </c>
      <c r="F733" s="4" t="str">
        <v>6.11K</v>
      </c>
      <c r="G733" s="4" t="str">
        <v>-0.27%</v>
      </c>
      <c r="H733" s="3">
        <v>44336</v>
      </c>
      <c r="I733" s="4">
        <v>48467</v>
      </c>
    </row>
    <row r="734" spans="1:9" x14ac:dyDescent="0.25">
      <c r="A734" s="3">
        <v>44335</v>
      </c>
      <c r="B734" s="4">
        <v>48674</v>
      </c>
      <c r="C734" s="4">
        <v>48261</v>
      </c>
      <c r="D734" s="4">
        <v>48875</v>
      </c>
      <c r="E734" s="4">
        <v>47950</v>
      </c>
      <c r="F734" s="4" t="str">
        <v>10.51K</v>
      </c>
      <c r="G734" s="4" t="str">
        <v>0.76%</v>
      </c>
      <c r="H734" s="3">
        <v>44335</v>
      </c>
      <c r="I734" s="4">
        <v>48412.5</v>
      </c>
    </row>
    <row r="735" spans="1:9" x14ac:dyDescent="0.25">
      <c r="A735" s="3">
        <v>44334</v>
      </c>
      <c r="B735" s="4">
        <v>48307</v>
      </c>
      <c r="C735" s="4">
        <v>48419</v>
      </c>
      <c r="D735" s="4">
        <v>48490</v>
      </c>
      <c r="E735" s="4">
        <v>48215</v>
      </c>
      <c r="F735" s="4" t="str">
        <v>5.74K</v>
      </c>
      <c r="G735" s="4" t="str">
        <v>-0.34%</v>
      </c>
      <c r="H735" s="3">
        <v>44334</v>
      </c>
      <c r="I735" s="4">
        <v>48352.5</v>
      </c>
    </row>
    <row r="736" spans="1:9" x14ac:dyDescent="0.25">
      <c r="A736" s="3">
        <v>44333</v>
      </c>
      <c r="B736" s="4">
        <v>48474</v>
      </c>
      <c r="C736" s="4">
        <v>47989</v>
      </c>
      <c r="D736" s="4">
        <v>48499</v>
      </c>
      <c r="E736" s="4">
        <v>47910</v>
      </c>
      <c r="F736" s="4" t="str">
        <v>8.42K</v>
      </c>
      <c r="G736" s="4" t="str">
        <v>1.67%</v>
      </c>
      <c r="H736" s="3">
        <v>44333</v>
      </c>
      <c r="I736" s="4">
        <v>48204.5</v>
      </c>
    </row>
    <row r="737" spans="1:9" x14ac:dyDescent="0.25">
      <c r="A737" s="3">
        <v>44330</v>
      </c>
      <c r="B737" s="4">
        <v>47676</v>
      </c>
      <c r="C737" s="4">
        <v>47368</v>
      </c>
      <c r="D737" s="4">
        <v>47711</v>
      </c>
      <c r="E737" s="4">
        <v>47337</v>
      </c>
      <c r="F737" s="4" t="str">
        <v>5.88K</v>
      </c>
      <c r="G737" s="4" t="str">
        <v>0.50%</v>
      </c>
      <c r="H737" s="3">
        <v>44330</v>
      </c>
      <c r="I737" s="4">
        <v>47524</v>
      </c>
    </row>
    <row r="738" spans="1:9" x14ac:dyDescent="0.25">
      <c r="A738" s="3">
        <v>44329</v>
      </c>
      <c r="B738" s="4">
        <v>47438</v>
      </c>
      <c r="C738" s="4">
        <v>47356</v>
      </c>
      <c r="D738" s="4">
        <v>47530</v>
      </c>
      <c r="E738" s="4">
        <v>47211</v>
      </c>
      <c r="F738" s="4" t="str">
        <v>3.60K</v>
      </c>
      <c r="G738" s="4" t="str">
        <v>-0.09%</v>
      </c>
      <c r="H738" s="3">
        <v>44329</v>
      </c>
      <c r="I738" s="4">
        <v>47370.5</v>
      </c>
    </row>
    <row r="739" spans="1:9" x14ac:dyDescent="0.25">
      <c r="A739" s="3">
        <v>44328</v>
      </c>
      <c r="B739" s="4">
        <v>47482</v>
      </c>
      <c r="C739" s="4">
        <v>47497</v>
      </c>
      <c r="D739" s="4">
        <v>47862</v>
      </c>
      <c r="E739" s="4">
        <v>47374</v>
      </c>
      <c r="F739" s="4" t="str">
        <v>7.50K</v>
      </c>
      <c r="G739" s="4" t="str">
        <v>-0.32%</v>
      </c>
      <c r="H739" s="3">
        <v>44328</v>
      </c>
      <c r="I739" s="4">
        <v>47618</v>
      </c>
    </row>
    <row r="740" spans="1:9" x14ac:dyDescent="0.25">
      <c r="A740" s="3">
        <v>44327</v>
      </c>
      <c r="B740" s="4">
        <v>47633</v>
      </c>
      <c r="C740" s="4">
        <v>47952</v>
      </c>
      <c r="D740" s="4">
        <v>48013</v>
      </c>
      <c r="E740" s="4">
        <v>47325</v>
      </c>
      <c r="F740" s="4" t="str">
        <v>9.71K</v>
      </c>
      <c r="G740" s="4" t="str">
        <v>-0.66%</v>
      </c>
      <c r="H740" s="3">
        <v>44327</v>
      </c>
      <c r="I740" s="4">
        <v>47669</v>
      </c>
    </row>
    <row r="741" spans="1:9" x14ac:dyDescent="0.25">
      <c r="A741" s="3">
        <v>44326</v>
      </c>
      <c r="B741" s="4">
        <v>47951</v>
      </c>
      <c r="C741" s="4">
        <v>47820</v>
      </c>
      <c r="D741" s="4">
        <v>48144</v>
      </c>
      <c r="E741" s="4">
        <v>47755</v>
      </c>
      <c r="F741" s="4" t="str">
        <v>6.99K</v>
      </c>
      <c r="G741" s="4" t="str">
        <v>0.42%</v>
      </c>
      <c r="H741" s="3">
        <v>44326</v>
      </c>
      <c r="I741" s="4">
        <v>47949.5</v>
      </c>
    </row>
    <row r="742" spans="1:9" x14ac:dyDescent="0.25">
      <c r="A742" s="3">
        <v>44323</v>
      </c>
      <c r="B742" s="4">
        <v>47751</v>
      </c>
      <c r="C742" s="4">
        <v>47654</v>
      </c>
      <c r="D742" s="4">
        <v>48050</v>
      </c>
      <c r="E742" s="4">
        <v>47520</v>
      </c>
      <c r="F742" s="4" t="str">
        <v>10.60K</v>
      </c>
      <c r="G742" s="4" t="str">
        <v>0.33%</v>
      </c>
      <c r="H742" s="3">
        <v>44323</v>
      </c>
      <c r="I742" s="4">
        <v>47785</v>
      </c>
    </row>
    <row r="743" spans="1:9" x14ac:dyDescent="0.25">
      <c r="A743" s="3">
        <v>44322</v>
      </c>
      <c r="B743" s="4">
        <v>47595</v>
      </c>
      <c r="C743" s="4">
        <v>47072</v>
      </c>
      <c r="D743" s="4">
        <v>47643</v>
      </c>
      <c r="E743" s="4">
        <v>47000</v>
      </c>
      <c r="F743" s="4" t="str">
        <v>9.94K</v>
      </c>
      <c r="G743" s="4" t="str">
        <v>1.27%</v>
      </c>
      <c r="H743" s="3">
        <v>44322</v>
      </c>
      <c r="I743" s="4">
        <v>47321.5</v>
      </c>
    </row>
    <row r="744" spans="1:9" x14ac:dyDescent="0.25">
      <c r="A744" s="3">
        <v>44321</v>
      </c>
      <c r="B744" s="4">
        <v>47000</v>
      </c>
      <c r="C744" s="4">
        <v>46979</v>
      </c>
      <c r="D744" s="4">
        <v>47046</v>
      </c>
      <c r="E744" s="4">
        <v>46650</v>
      </c>
      <c r="F744" s="4" t="str">
        <v>6.59K</v>
      </c>
      <c r="G744" s="4" t="str">
        <v>0.28%</v>
      </c>
      <c r="H744" s="3">
        <v>44321</v>
      </c>
      <c r="I744" s="4">
        <v>46848</v>
      </c>
    </row>
    <row r="745" spans="1:9" x14ac:dyDescent="0.25">
      <c r="A745" s="3">
        <v>44320</v>
      </c>
      <c r="B745" s="4">
        <v>46871</v>
      </c>
      <c r="C745" s="4">
        <v>47226</v>
      </c>
      <c r="D745" s="4">
        <v>47451</v>
      </c>
      <c r="E745" s="4">
        <v>46717</v>
      </c>
      <c r="F745" s="4" t="str">
        <v>9.93K</v>
      </c>
      <c r="G745" s="4" t="str">
        <v>-0.95%</v>
      </c>
      <c r="H745" s="3">
        <v>44320</v>
      </c>
      <c r="I745" s="4">
        <v>47084</v>
      </c>
    </row>
    <row r="746" spans="1:9" x14ac:dyDescent="0.25">
      <c r="A746" s="3">
        <v>44319</v>
      </c>
      <c r="B746" s="4">
        <v>47319</v>
      </c>
      <c r="C746" s="4">
        <v>46921</v>
      </c>
      <c r="D746" s="4">
        <v>47450</v>
      </c>
      <c r="E746" s="4">
        <v>46921</v>
      </c>
      <c r="F746" s="4" t="str">
        <v>8.62K</v>
      </c>
      <c r="G746" s="4" t="str">
        <v>1.25%</v>
      </c>
      <c r="H746" s="3">
        <v>44319</v>
      </c>
      <c r="I746" s="4">
        <v>47185.5</v>
      </c>
    </row>
    <row r="747" spans="1:9" x14ac:dyDescent="0.25">
      <c r="A747" s="3">
        <v>44316</v>
      </c>
      <c r="B747" s="4">
        <v>46737</v>
      </c>
      <c r="C747" s="4">
        <v>46743</v>
      </c>
      <c r="D747" s="4">
        <v>46819</v>
      </c>
      <c r="E747" s="4">
        <v>46605</v>
      </c>
      <c r="F747" s="4" t="str">
        <v>6.33K</v>
      </c>
      <c r="G747" s="4" t="str">
        <v>0.02%</v>
      </c>
      <c r="H747" s="3">
        <v>44316</v>
      </c>
      <c r="I747" s="4">
        <v>46712</v>
      </c>
    </row>
    <row r="748" spans="1:9" x14ac:dyDescent="0.25">
      <c r="A748" s="3">
        <v>44315</v>
      </c>
      <c r="B748" s="4">
        <v>46726</v>
      </c>
      <c r="C748" s="4">
        <v>47245</v>
      </c>
      <c r="D748" s="4">
        <v>47299</v>
      </c>
      <c r="E748" s="4">
        <v>46462</v>
      </c>
      <c r="F748" s="4" t="str">
        <v>9.58K</v>
      </c>
      <c r="G748" s="4" t="str">
        <v>-0.78%</v>
      </c>
      <c r="H748" s="3">
        <v>44315</v>
      </c>
      <c r="I748" s="4">
        <v>46880.5</v>
      </c>
    </row>
    <row r="749" spans="1:9" x14ac:dyDescent="0.25">
      <c r="A749" s="3">
        <v>44314</v>
      </c>
      <c r="B749" s="4">
        <v>47093</v>
      </c>
      <c r="C749" s="4">
        <v>47150</v>
      </c>
      <c r="D749" s="4">
        <v>47273</v>
      </c>
      <c r="E749" s="4">
        <v>46800</v>
      </c>
      <c r="F749" s="4" t="str">
        <v>6.87K</v>
      </c>
      <c r="G749" s="4" t="str">
        <v>-0.44%</v>
      </c>
      <c r="H749" s="3">
        <v>44314</v>
      </c>
      <c r="I749" s="4">
        <v>47036.5</v>
      </c>
    </row>
    <row r="750" spans="1:9" x14ac:dyDescent="0.25">
      <c r="A750" s="3">
        <v>44313</v>
      </c>
      <c r="B750" s="4">
        <v>47303</v>
      </c>
      <c r="C750" s="4">
        <v>47465</v>
      </c>
      <c r="D750" s="4">
        <v>47515</v>
      </c>
      <c r="E750" s="4">
        <v>47273</v>
      </c>
      <c r="F750" s="4" t="str">
        <v>5.45K</v>
      </c>
      <c r="G750" s="4" t="str">
        <v>-0.34%</v>
      </c>
      <c r="H750" s="3">
        <v>44313</v>
      </c>
      <c r="I750" s="4">
        <v>47394</v>
      </c>
    </row>
    <row r="751" spans="1:9" x14ac:dyDescent="0.25">
      <c r="A751" s="3">
        <v>44312</v>
      </c>
      <c r="B751" s="4">
        <v>47462</v>
      </c>
      <c r="C751" s="4">
        <v>47604</v>
      </c>
      <c r="D751" s="4">
        <v>47650</v>
      </c>
      <c r="E751" s="4">
        <v>47253</v>
      </c>
      <c r="F751" s="4" t="str">
        <v>5.78K</v>
      </c>
      <c r="G751" s="4" t="str">
        <v>-0.15%</v>
      </c>
      <c r="H751" s="3">
        <v>44312</v>
      </c>
      <c r="I751" s="4">
        <v>47451.5</v>
      </c>
    </row>
    <row r="752" spans="1:9" x14ac:dyDescent="0.25">
      <c r="A752" s="3">
        <v>44309</v>
      </c>
      <c r="B752" s="4">
        <v>47532</v>
      </c>
      <c r="C752" s="4">
        <v>47885</v>
      </c>
      <c r="D752" s="4">
        <v>48026</v>
      </c>
      <c r="E752" s="4">
        <v>47384</v>
      </c>
      <c r="F752" s="4" t="str">
        <v>8.16K</v>
      </c>
      <c r="G752" s="4" t="str">
        <v>-0.50%</v>
      </c>
      <c r="H752" s="3">
        <v>44309</v>
      </c>
      <c r="I752" s="4">
        <v>47705</v>
      </c>
    </row>
    <row r="753" spans="1:9" x14ac:dyDescent="0.25">
      <c r="A753" s="3">
        <v>44308</v>
      </c>
      <c r="B753" s="4">
        <v>47772</v>
      </c>
      <c r="C753" s="4">
        <v>48252</v>
      </c>
      <c r="D753" s="4">
        <v>48260</v>
      </c>
      <c r="E753" s="4">
        <v>47660</v>
      </c>
      <c r="F753" s="4" t="str">
        <v>7.81K</v>
      </c>
      <c r="G753" s="4" t="str">
        <v>-0.95%</v>
      </c>
      <c r="H753" s="3">
        <v>44308</v>
      </c>
      <c r="I753" s="4">
        <v>47960</v>
      </c>
    </row>
    <row r="754" spans="1:9" x14ac:dyDescent="0.25">
      <c r="A754" s="3">
        <v>44307</v>
      </c>
      <c r="B754" s="4">
        <v>48228</v>
      </c>
      <c r="C754" s="4">
        <v>47939</v>
      </c>
      <c r="D754" s="4">
        <v>48429</v>
      </c>
      <c r="E754" s="4">
        <v>47936</v>
      </c>
      <c r="F754" s="4" t="str">
        <v>4.55K</v>
      </c>
      <c r="G754" s="4" t="str">
        <v>0.78%</v>
      </c>
      <c r="H754" s="3">
        <v>44307</v>
      </c>
      <c r="I754" s="4">
        <v>48182.5</v>
      </c>
    </row>
    <row r="755" spans="1:9" x14ac:dyDescent="0.25">
      <c r="A755" s="3">
        <v>44306</v>
      </c>
      <c r="B755" s="4">
        <v>47857</v>
      </c>
      <c r="C755" s="4">
        <v>47424</v>
      </c>
      <c r="D755" s="4">
        <v>47901</v>
      </c>
      <c r="E755" s="4">
        <v>47128</v>
      </c>
      <c r="F755" s="4" t="str">
        <v>10.15K</v>
      </c>
      <c r="G755" s="4" t="str">
        <v>0.98%</v>
      </c>
      <c r="H755" s="3">
        <v>44306</v>
      </c>
      <c r="I755" s="4">
        <v>47514.5</v>
      </c>
    </row>
    <row r="756" spans="1:9" x14ac:dyDescent="0.25">
      <c r="A756" s="3">
        <v>44305</v>
      </c>
      <c r="B756" s="4">
        <v>47393</v>
      </c>
      <c r="C756" s="4">
        <v>47353</v>
      </c>
      <c r="D756" s="4">
        <v>47850</v>
      </c>
      <c r="E756" s="4">
        <v>47280</v>
      </c>
      <c r="F756" s="4" t="str">
        <v>8.97K</v>
      </c>
      <c r="G756" s="4" t="str">
        <v>0.08%</v>
      </c>
      <c r="H756" s="3">
        <v>44305</v>
      </c>
      <c r="I756" s="4">
        <v>47565</v>
      </c>
    </row>
    <row r="757" spans="1:9" x14ac:dyDescent="0.25">
      <c r="A757" s="3">
        <v>44302</v>
      </c>
      <c r="B757" s="4">
        <v>47353</v>
      </c>
      <c r="C757" s="4">
        <v>47099</v>
      </c>
      <c r="D757" s="4">
        <v>47432</v>
      </c>
      <c r="E757" s="4">
        <v>46820</v>
      </c>
      <c r="F757" s="4" t="str">
        <v>8.24K</v>
      </c>
      <c r="G757" s="4" t="str">
        <v>0.38%</v>
      </c>
      <c r="H757" s="3">
        <v>44302</v>
      </c>
      <c r="I757" s="4">
        <v>47126</v>
      </c>
    </row>
    <row r="758" spans="1:9" x14ac:dyDescent="0.25">
      <c r="A758" s="3">
        <v>44301</v>
      </c>
      <c r="B758" s="4">
        <v>47175</v>
      </c>
      <c r="C758" s="4">
        <v>46680</v>
      </c>
      <c r="D758" s="4">
        <v>47279</v>
      </c>
      <c r="E758" s="4">
        <v>46680</v>
      </c>
      <c r="F758" s="4" t="str">
        <v>8.94K</v>
      </c>
      <c r="G758" s="4" t="str">
        <v>1.22%</v>
      </c>
      <c r="H758" s="3">
        <v>44301</v>
      </c>
      <c r="I758" s="4">
        <v>46979.5</v>
      </c>
    </row>
    <row r="759" spans="1:9" x14ac:dyDescent="0.25">
      <c r="A759" s="3">
        <v>44300</v>
      </c>
      <c r="B759" s="4">
        <v>46608</v>
      </c>
      <c r="C759" s="4">
        <v>46851</v>
      </c>
      <c r="D759" s="4">
        <v>46930</v>
      </c>
      <c r="E759" s="4">
        <v>46556</v>
      </c>
      <c r="F759" s="4" t="str">
        <v>3.86K</v>
      </c>
      <c r="G759" s="4" t="str">
        <v>-0.78%</v>
      </c>
      <c r="H759" s="3">
        <v>44300</v>
      </c>
      <c r="I759" s="4">
        <v>46743</v>
      </c>
    </row>
    <row r="760" spans="1:9" x14ac:dyDescent="0.25">
      <c r="A760" s="3">
        <v>44299</v>
      </c>
      <c r="B760" s="4">
        <v>46975</v>
      </c>
      <c r="C760" s="4">
        <v>46450</v>
      </c>
      <c r="D760" s="4">
        <v>47033</v>
      </c>
      <c r="E760" s="4">
        <v>46367</v>
      </c>
      <c r="F760" s="4" t="str">
        <v>7.68K</v>
      </c>
      <c r="G760" s="4" t="str">
        <v>1.20%</v>
      </c>
      <c r="H760" s="3">
        <v>44299</v>
      </c>
      <c r="I760" s="4">
        <v>46700</v>
      </c>
    </row>
    <row r="761" spans="1:9" x14ac:dyDescent="0.25">
      <c r="A761" s="3">
        <v>44298</v>
      </c>
      <c r="B761" s="4">
        <v>46419</v>
      </c>
      <c r="C761" s="4">
        <v>46545</v>
      </c>
      <c r="D761" s="4">
        <v>46777</v>
      </c>
      <c r="E761" s="4">
        <v>46400</v>
      </c>
      <c r="F761" s="4" t="str">
        <v>7.99K</v>
      </c>
      <c r="G761" s="4" t="str">
        <v>-0.37%</v>
      </c>
      <c r="H761" s="3">
        <v>44298</v>
      </c>
      <c r="I761" s="4">
        <v>46588.5</v>
      </c>
    </row>
    <row r="762" spans="1:9" x14ac:dyDescent="0.25">
      <c r="A762" s="3">
        <v>44295</v>
      </c>
      <c r="B762" s="4">
        <v>46593</v>
      </c>
      <c r="C762" s="4">
        <v>46766</v>
      </c>
      <c r="D762" s="4">
        <v>46887</v>
      </c>
      <c r="E762" s="4">
        <v>46314</v>
      </c>
      <c r="F762" s="4" t="str">
        <v>8.59K</v>
      </c>
      <c r="G762" s="4" t="str">
        <v>-0.52%</v>
      </c>
      <c r="H762" s="3">
        <v>44295</v>
      </c>
      <c r="I762" s="4">
        <v>46600.5</v>
      </c>
    </row>
    <row r="763" spans="1:9" x14ac:dyDescent="0.25">
      <c r="A763" s="3">
        <v>44294</v>
      </c>
      <c r="B763" s="4">
        <v>46838</v>
      </c>
      <c r="C763" s="4">
        <v>46299</v>
      </c>
      <c r="D763" s="4">
        <v>46900</v>
      </c>
      <c r="E763" s="4">
        <v>46240</v>
      </c>
      <c r="F763" s="4" t="str">
        <v>9.52K</v>
      </c>
      <c r="G763" s="4" t="str">
        <v>1.03%</v>
      </c>
      <c r="H763" s="3">
        <v>44294</v>
      </c>
      <c r="I763" s="4">
        <v>46570</v>
      </c>
    </row>
    <row r="764" spans="1:9" x14ac:dyDescent="0.25">
      <c r="A764" s="3">
        <v>44293</v>
      </c>
      <c r="B764" s="4">
        <v>46362</v>
      </c>
      <c r="C764" s="4">
        <v>45766</v>
      </c>
      <c r="D764" s="4">
        <v>46420</v>
      </c>
      <c r="E764" s="4">
        <v>45742</v>
      </c>
      <c r="F764" s="4" t="str">
        <v>8.12K</v>
      </c>
      <c r="G764" s="4" t="str">
        <v>0.96%</v>
      </c>
      <c r="H764" s="3">
        <v>44293</v>
      </c>
      <c r="I764" s="4">
        <v>46081</v>
      </c>
    </row>
    <row r="765" spans="1:9" x14ac:dyDescent="0.25">
      <c r="A765" s="3">
        <v>44292</v>
      </c>
      <c r="B765" s="4">
        <v>45919</v>
      </c>
      <c r="C765" s="4">
        <v>45420</v>
      </c>
      <c r="D765" s="4">
        <v>45974</v>
      </c>
      <c r="E765" s="4">
        <v>45420</v>
      </c>
      <c r="F765" s="4" t="str">
        <v>6.75K</v>
      </c>
      <c r="G765" s="4" t="str">
        <v>2.09%</v>
      </c>
      <c r="H765" s="3">
        <v>44292</v>
      </c>
      <c r="I765" s="4">
        <v>45697</v>
      </c>
    </row>
    <row r="766" spans="1:9" x14ac:dyDescent="0.25">
      <c r="A766" s="3">
        <v>44291</v>
      </c>
      <c r="B766" s="4">
        <v>44981</v>
      </c>
      <c r="C766" s="4">
        <v>44900</v>
      </c>
      <c r="D766" s="4">
        <v>45050</v>
      </c>
      <c r="E766" s="4">
        <v>44886</v>
      </c>
      <c r="F766" s="4" t="str">
        <v>0.01K</v>
      </c>
      <c r="G766" s="4" t="str">
        <v>0.48%</v>
      </c>
      <c r="H766" s="3">
        <v>44291</v>
      </c>
      <c r="I766" s="4">
        <v>44968</v>
      </c>
    </row>
    <row r="767" spans="1:9" x14ac:dyDescent="0.25">
      <c r="A767" s="3">
        <v>44287</v>
      </c>
      <c r="B767" s="4">
        <v>44767</v>
      </c>
      <c r="C767" s="4">
        <v>44650</v>
      </c>
      <c r="D767" s="4">
        <v>44865</v>
      </c>
      <c r="E767" s="4">
        <v>44650</v>
      </c>
      <c r="F767" s="4" t="str">
        <v>0.03K</v>
      </c>
      <c r="G767" s="4" t="str">
        <v>0.29%</v>
      </c>
      <c r="H767" s="3">
        <v>44287</v>
      </c>
      <c r="I767" s="4">
        <v>44757.5</v>
      </c>
    </row>
    <row r="768" spans="1:9" x14ac:dyDescent="0.25">
      <c r="A768" s="3">
        <v>44286</v>
      </c>
      <c r="B768" s="4">
        <v>44637</v>
      </c>
      <c r="C768" s="4">
        <v>43870</v>
      </c>
      <c r="D768" s="4">
        <v>44672</v>
      </c>
      <c r="E768" s="4">
        <v>43711</v>
      </c>
      <c r="F768" s="4" t="str">
        <v>0.06K</v>
      </c>
      <c r="G768" s="4" t="str">
        <v>1.74%</v>
      </c>
      <c r="H768" s="3">
        <v>44286</v>
      </c>
      <c r="I768" s="4">
        <v>44191.5</v>
      </c>
    </row>
    <row r="769" spans="1:9" x14ac:dyDescent="0.25">
      <c r="A769" s="3">
        <v>44285</v>
      </c>
      <c r="B769" s="4">
        <v>43873</v>
      </c>
      <c r="C769" s="4">
        <v>43669</v>
      </c>
      <c r="D769" s="4">
        <v>44300</v>
      </c>
      <c r="E769" s="4">
        <v>43669</v>
      </c>
      <c r="F769" s="4" t="str">
        <v>0.41K</v>
      </c>
      <c r="G769" s="4" t="str">
        <v>0.75%</v>
      </c>
      <c r="H769" s="3">
        <v>44285</v>
      </c>
      <c r="I769" s="4">
        <v>43984.5</v>
      </c>
    </row>
    <row r="770" spans="1:9" x14ac:dyDescent="0.25">
      <c r="A770" s="3">
        <v>44284</v>
      </c>
      <c r="B770" s="4">
        <v>43545</v>
      </c>
      <c r="C770" s="4">
        <v>44520</v>
      </c>
      <c r="D770" s="4">
        <v>44550</v>
      </c>
      <c r="E770" s="4">
        <v>43320</v>
      </c>
      <c r="F770" s="4" t="str">
        <v>3.70K</v>
      </c>
      <c r="G770" s="4" t="str">
        <v>-2.46%</v>
      </c>
      <c r="H770" s="3">
        <v>44284</v>
      </c>
      <c r="I770" s="4">
        <v>43935</v>
      </c>
    </row>
    <row r="771" spans="1:9" x14ac:dyDescent="0.25">
      <c r="A771" s="3">
        <v>44281</v>
      </c>
      <c r="B771" s="4">
        <v>44642</v>
      </c>
      <c r="C771" s="4">
        <v>44635</v>
      </c>
      <c r="D771" s="4">
        <v>44788</v>
      </c>
      <c r="E771" s="4">
        <v>44441</v>
      </c>
      <c r="F771" s="4" t="str">
        <v>8.12K</v>
      </c>
      <c r="G771" s="4" t="str">
        <v>-0.12%</v>
      </c>
      <c r="H771" s="3">
        <v>44281</v>
      </c>
      <c r="I771" s="4">
        <v>44614.5</v>
      </c>
    </row>
    <row r="772" spans="1:9" x14ac:dyDescent="0.25">
      <c r="A772" s="3">
        <v>44280</v>
      </c>
      <c r="B772" s="4">
        <v>44695</v>
      </c>
      <c r="C772" s="4">
        <v>44892</v>
      </c>
      <c r="D772" s="4">
        <v>45028</v>
      </c>
      <c r="E772" s="4">
        <v>44601</v>
      </c>
      <c r="F772" s="4" t="str">
        <v>9.09K</v>
      </c>
      <c r="G772" s="4" t="str">
        <v>-0.37%</v>
      </c>
      <c r="H772" s="3">
        <v>44280</v>
      </c>
      <c r="I772" s="4">
        <v>44814.5</v>
      </c>
    </row>
    <row r="773" spans="1:9" x14ac:dyDescent="0.25">
      <c r="A773" s="3">
        <v>44279</v>
      </c>
      <c r="B773" s="4">
        <v>44860</v>
      </c>
      <c r="C773" s="4">
        <v>44800</v>
      </c>
      <c r="D773" s="4">
        <v>44895</v>
      </c>
      <c r="E773" s="4">
        <v>44673</v>
      </c>
      <c r="F773" s="4" t="str">
        <v>7.25K</v>
      </c>
      <c r="G773" s="4" t="str">
        <v>0.48%</v>
      </c>
      <c r="H773" s="3">
        <v>44279</v>
      </c>
      <c r="I773" s="4">
        <v>44784</v>
      </c>
    </row>
    <row r="774" spans="1:9" x14ac:dyDescent="0.25">
      <c r="A774" s="3">
        <v>44278</v>
      </c>
      <c r="B774" s="4">
        <v>44646</v>
      </c>
      <c r="C774" s="4">
        <v>44786</v>
      </c>
      <c r="D774" s="4">
        <v>44995</v>
      </c>
      <c r="E774" s="4">
        <v>44590</v>
      </c>
      <c r="F774" s="4" t="str">
        <v>7.96K</v>
      </c>
      <c r="G774" s="4" t="str">
        <v>-0.58%</v>
      </c>
      <c r="H774" s="3">
        <v>44278</v>
      </c>
      <c r="I774" s="4">
        <v>44792.5</v>
      </c>
    </row>
    <row r="775" spans="1:9" x14ac:dyDescent="0.25">
      <c r="A775" s="3">
        <v>44277</v>
      </c>
      <c r="B775" s="4">
        <v>44905</v>
      </c>
      <c r="C775" s="4">
        <v>44974</v>
      </c>
      <c r="D775" s="4">
        <v>45040</v>
      </c>
      <c r="E775" s="4">
        <v>44630</v>
      </c>
      <c r="F775" s="4" t="str">
        <v>7.03K</v>
      </c>
      <c r="G775" s="4" t="str">
        <v>-0.26%</v>
      </c>
      <c r="H775" s="3">
        <v>44277</v>
      </c>
      <c r="I775" s="4">
        <v>44835</v>
      </c>
    </row>
    <row r="776" spans="1:9" x14ac:dyDescent="0.25">
      <c r="A776" s="3">
        <v>44274</v>
      </c>
      <c r="B776" s="4">
        <v>45021</v>
      </c>
      <c r="C776" s="4">
        <v>44928</v>
      </c>
      <c r="D776" s="4">
        <v>45137</v>
      </c>
      <c r="E776" s="4">
        <v>44801</v>
      </c>
      <c r="F776" s="4" t="str">
        <v>7.52K</v>
      </c>
      <c r="G776" s="4" t="str">
        <v>0.16%</v>
      </c>
      <c r="H776" s="3">
        <v>44274</v>
      </c>
      <c r="I776" s="4">
        <v>44969</v>
      </c>
    </row>
    <row r="777" spans="1:9" x14ac:dyDescent="0.25">
      <c r="A777" s="3">
        <v>44273</v>
      </c>
      <c r="B777" s="4">
        <v>44951</v>
      </c>
      <c r="C777" s="4">
        <v>44892</v>
      </c>
      <c r="D777" s="4">
        <v>45299</v>
      </c>
      <c r="E777" s="4">
        <v>44626</v>
      </c>
      <c r="F777" s="4" t="str">
        <v>9.76K</v>
      </c>
      <c r="G777" s="4" t="str">
        <v>0.25%</v>
      </c>
      <c r="H777" s="3">
        <v>44273</v>
      </c>
      <c r="I777" s="4">
        <v>44962.5</v>
      </c>
    </row>
    <row r="778" spans="1:9" x14ac:dyDescent="0.25">
      <c r="A778" s="3">
        <v>44272</v>
      </c>
      <c r="B778" s="4">
        <v>44840</v>
      </c>
      <c r="C778" s="4">
        <v>44890</v>
      </c>
      <c r="D778" s="4">
        <v>45037</v>
      </c>
      <c r="E778" s="4">
        <v>44756</v>
      </c>
      <c r="F778" s="4" t="str">
        <v>6.44K</v>
      </c>
      <c r="G778" s="4" t="str">
        <v>0.06%</v>
      </c>
      <c r="H778" s="3">
        <v>44272</v>
      </c>
      <c r="I778" s="4">
        <v>44896.5</v>
      </c>
    </row>
    <row r="779" spans="1:9" x14ac:dyDescent="0.25">
      <c r="A779" s="3">
        <v>44271</v>
      </c>
      <c r="B779" s="4">
        <v>44813</v>
      </c>
      <c r="C779" s="4">
        <v>44950</v>
      </c>
      <c r="D779" s="4">
        <v>45086</v>
      </c>
      <c r="E779" s="4">
        <v>44766</v>
      </c>
      <c r="F779" s="4" t="str">
        <v>7.82K</v>
      </c>
      <c r="G779" s="4" t="str">
        <v>-0.19%</v>
      </c>
      <c r="H779" s="3">
        <v>44271</v>
      </c>
      <c r="I779" s="4">
        <v>44926</v>
      </c>
    </row>
    <row r="780" spans="1:9" x14ac:dyDescent="0.25">
      <c r="A780" s="3">
        <v>44270</v>
      </c>
      <c r="B780" s="4">
        <v>44900</v>
      </c>
      <c r="C780" s="4">
        <v>44790</v>
      </c>
      <c r="D780" s="4">
        <v>45047</v>
      </c>
      <c r="E780" s="4">
        <v>44730</v>
      </c>
      <c r="F780" s="4" t="str">
        <v>8.09K</v>
      </c>
      <c r="G780" s="4" t="str">
        <v>0.34%</v>
      </c>
      <c r="H780" s="3">
        <v>44270</v>
      </c>
      <c r="I780" s="4">
        <v>44888.5</v>
      </c>
    </row>
    <row r="781" spans="1:9" x14ac:dyDescent="0.25">
      <c r="A781" s="3">
        <v>44267</v>
      </c>
      <c r="B781" s="4">
        <v>44750</v>
      </c>
      <c r="C781" s="4">
        <v>44741</v>
      </c>
      <c r="D781" s="4">
        <v>44785</v>
      </c>
      <c r="E781" s="4">
        <v>44271</v>
      </c>
      <c r="F781" s="4" t="str">
        <v>9.79K</v>
      </c>
      <c r="G781" s="4" t="str">
        <v>-0.29%</v>
      </c>
      <c r="H781" s="3">
        <v>44267</v>
      </c>
      <c r="I781" s="4">
        <v>44528</v>
      </c>
    </row>
    <row r="782" spans="1:9" x14ac:dyDescent="0.25">
      <c r="A782" s="3">
        <v>44266</v>
      </c>
      <c r="B782" s="4">
        <v>44879</v>
      </c>
      <c r="C782" s="4">
        <v>44950</v>
      </c>
      <c r="D782" s="4">
        <v>45167</v>
      </c>
      <c r="E782" s="4">
        <v>44774</v>
      </c>
      <c r="F782" s="4" t="str">
        <v>5.58K</v>
      </c>
      <c r="G782" s="4" t="str">
        <v>0.19%</v>
      </c>
      <c r="H782" s="3">
        <v>44266</v>
      </c>
      <c r="I782" s="4">
        <v>44970.5</v>
      </c>
    </row>
    <row r="783" spans="1:9" x14ac:dyDescent="0.25">
      <c r="A783" s="3">
        <v>44265</v>
      </c>
      <c r="B783" s="4">
        <v>44792</v>
      </c>
      <c r="C783" s="4">
        <v>44730</v>
      </c>
      <c r="D783" s="4">
        <v>44944</v>
      </c>
      <c r="E783" s="4">
        <v>44630</v>
      </c>
      <c r="F783" s="4" t="str">
        <v>8.86K</v>
      </c>
      <c r="G783" s="4" t="str">
        <v>-0.14%</v>
      </c>
      <c r="H783" s="3">
        <v>44265</v>
      </c>
      <c r="I783" s="4">
        <v>44787</v>
      </c>
    </row>
    <row r="784" spans="1:9" x14ac:dyDescent="0.25">
      <c r="A784" s="3">
        <v>44264</v>
      </c>
      <c r="B784" s="4">
        <v>44857</v>
      </c>
      <c r="C784" s="4">
        <v>44349</v>
      </c>
      <c r="D784" s="4">
        <v>44963</v>
      </c>
      <c r="E784" s="4">
        <v>44263</v>
      </c>
      <c r="F784" s="4" t="str">
        <v>11.35K</v>
      </c>
      <c r="G784" s="4" t="str">
        <v>1.45%</v>
      </c>
      <c r="H784" s="3">
        <v>44264</v>
      </c>
      <c r="I784" s="4">
        <v>44613</v>
      </c>
    </row>
    <row r="785" spans="1:9" x14ac:dyDescent="0.25">
      <c r="A785" s="3">
        <v>44263</v>
      </c>
      <c r="B785" s="4">
        <v>44218</v>
      </c>
      <c r="C785" s="4">
        <v>44756</v>
      </c>
      <c r="D785" s="4">
        <v>44780</v>
      </c>
      <c r="E785" s="4">
        <v>44150</v>
      </c>
      <c r="F785" s="4" t="str">
        <v>10.35K</v>
      </c>
      <c r="G785" s="4" t="str">
        <v>-1.04%</v>
      </c>
      <c r="H785" s="3">
        <v>44263</v>
      </c>
      <c r="I785" s="4">
        <v>44465</v>
      </c>
    </row>
    <row r="786" spans="1:9" x14ac:dyDescent="0.25">
      <c r="A786" s="3">
        <v>44260</v>
      </c>
      <c r="B786" s="4">
        <v>44683</v>
      </c>
      <c r="C786" s="4">
        <v>44444</v>
      </c>
      <c r="D786" s="4">
        <v>44720</v>
      </c>
      <c r="E786" s="4">
        <v>44217</v>
      </c>
      <c r="F786" s="4" t="str">
        <v>11.92K</v>
      </c>
      <c r="G786" s="4" t="str">
        <v>0.32%</v>
      </c>
      <c r="H786" s="3">
        <v>44260</v>
      </c>
      <c r="I786" s="4">
        <v>44468.5</v>
      </c>
    </row>
    <row r="787" spans="1:9" x14ac:dyDescent="0.25">
      <c r="A787" s="3">
        <v>44259</v>
      </c>
      <c r="B787" s="4">
        <v>44541</v>
      </c>
      <c r="C787" s="4">
        <v>44735</v>
      </c>
      <c r="D787" s="4">
        <v>44962</v>
      </c>
      <c r="E787" s="4">
        <v>44471</v>
      </c>
      <c r="F787" s="4" t="str">
        <v>12.20K</v>
      </c>
      <c r="G787" s="4" t="str">
        <v>-0.91%</v>
      </c>
      <c r="H787" s="3">
        <v>44259</v>
      </c>
      <c r="I787" s="4">
        <v>44716.5</v>
      </c>
    </row>
    <row r="788" spans="1:9" x14ac:dyDescent="0.25">
      <c r="A788" s="3">
        <v>44258</v>
      </c>
      <c r="B788" s="4">
        <v>44948</v>
      </c>
      <c r="C788" s="4">
        <v>45524</v>
      </c>
      <c r="D788" s="4">
        <v>45544</v>
      </c>
      <c r="E788" s="4">
        <v>44561</v>
      </c>
      <c r="F788" s="4" t="str">
        <v>12.64K</v>
      </c>
      <c r="G788" s="4" t="str">
        <v>-1.32%</v>
      </c>
      <c r="H788" s="3">
        <v>44258</v>
      </c>
      <c r="I788" s="4">
        <v>45052.5</v>
      </c>
    </row>
    <row r="789" spans="1:9" x14ac:dyDescent="0.25">
      <c r="A789" s="3">
        <v>44257</v>
      </c>
      <c r="B789" s="4">
        <v>45548</v>
      </c>
      <c r="C789" s="4">
        <v>45066</v>
      </c>
      <c r="D789" s="4">
        <v>45650</v>
      </c>
      <c r="E789" s="4">
        <v>44975</v>
      </c>
      <c r="F789" s="4" t="str">
        <v>12.35K</v>
      </c>
      <c r="G789" s="4" t="str">
        <v>0.53%</v>
      </c>
      <c r="H789" s="3">
        <v>44257</v>
      </c>
      <c r="I789" s="4">
        <v>45312.5</v>
      </c>
    </row>
    <row r="790" spans="1:9" x14ac:dyDescent="0.25">
      <c r="A790" s="3">
        <v>44256</v>
      </c>
      <c r="B790" s="4">
        <v>45308</v>
      </c>
      <c r="C790" s="4">
        <v>46000</v>
      </c>
      <c r="D790" s="4">
        <v>46139</v>
      </c>
      <c r="E790" s="4">
        <v>45215</v>
      </c>
      <c r="F790" s="4" t="str">
        <v>11.65K</v>
      </c>
      <c r="G790" s="4" t="str">
        <v>-0.94%</v>
      </c>
      <c r="H790" s="3">
        <v>44256</v>
      </c>
      <c r="I790" s="4">
        <v>45677</v>
      </c>
    </row>
    <row r="791" spans="1:9" x14ac:dyDescent="0.25">
      <c r="A791" s="3">
        <v>44253</v>
      </c>
      <c r="B791" s="4">
        <v>45736</v>
      </c>
      <c r="C791" s="4">
        <v>46340</v>
      </c>
      <c r="D791" s="4">
        <v>46689</v>
      </c>
      <c r="E791" s="4">
        <v>45611</v>
      </c>
      <c r="F791" s="4" t="str">
        <v>17.95K</v>
      </c>
      <c r="G791" s="4" t="str">
        <v>-1.09%</v>
      </c>
      <c r="H791" s="3">
        <v>44253</v>
      </c>
      <c r="I791" s="4">
        <v>46150</v>
      </c>
    </row>
    <row r="792" spans="1:9" x14ac:dyDescent="0.25">
      <c r="A792" s="3">
        <v>44252</v>
      </c>
      <c r="B792" s="4">
        <v>46241</v>
      </c>
      <c r="C792" s="4">
        <v>46443</v>
      </c>
      <c r="D792" s="4">
        <v>46655</v>
      </c>
      <c r="E792" s="4">
        <v>46060</v>
      </c>
      <c r="F792" s="4" t="str">
        <v>13.83K</v>
      </c>
      <c r="G792" s="4" t="str">
        <v>-0.60%</v>
      </c>
      <c r="H792" s="3">
        <v>44252</v>
      </c>
      <c r="I792" s="4">
        <v>46357.5</v>
      </c>
    </row>
    <row r="793" spans="1:9" x14ac:dyDescent="0.25">
      <c r="A793" s="3">
        <v>44251</v>
      </c>
      <c r="B793" s="4">
        <v>46522</v>
      </c>
      <c r="C793" s="4">
        <v>46808</v>
      </c>
      <c r="D793" s="4">
        <v>46857</v>
      </c>
      <c r="E793" s="4">
        <v>46268</v>
      </c>
      <c r="F793" s="4" t="str">
        <v>11.49K</v>
      </c>
      <c r="G793" s="4" t="str">
        <v>-0.60%</v>
      </c>
      <c r="H793" s="3">
        <v>44251</v>
      </c>
      <c r="I793" s="4">
        <v>46562.5</v>
      </c>
    </row>
    <row r="794" spans="1:9" x14ac:dyDescent="0.25">
      <c r="A794" s="3">
        <v>44250</v>
      </c>
      <c r="B794" s="4">
        <v>46802</v>
      </c>
      <c r="C794" s="4">
        <v>46973</v>
      </c>
      <c r="D794" s="4">
        <v>46985</v>
      </c>
      <c r="E794" s="4">
        <v>46589</v>
      </c>
      <c r="F794" s="4" t="str">
        <v>8.95K</v>
      </c>
      <c r="G794" s="4" t="str">
        <v>-0.21%</v>
      </c>
      <c r="H794" s="3">
        <v>44250</v>
      </c>
      <c r="I794" s="4">
        <v>46787</v>
      </c>
    </row>
    <row r="795" spans="1:9" x14ac:dyDescent="0.25">
      <c r="A795" s="3">
        <v>44249</v>
      </c>
      <c r="B795" s="4">
        <v>46901</v>
      </c>
      <c r="C795" s="4">
        <v>46335</v>
      </c>
      <c r="D795" s="4">
        <v>46966</v>
      </c>
      <c r="E795" s="4">
        <v>46238</v>
      </c>
      <c r="F795" s="4" t="str">
        <v>12.75K</v>
      </c>
      <c r="G795" s="4" t="str">
        <v>1.52%</v>
      </c>
      <c r="H795" s="3">
        <v>44249</v>
      </c>
      <c r="I795" s="4">
        <v>46602</v>
      </c>
    </row>
    <row r="796" spans="1:9" x14ac:dyDescent="0.25">
      <c r="A796" s="3">
        <v>44246</v>
      </c>
      <c r="B796" s="4">
        <v>46197</v>
      </c>
      <c r="C796" s="4">
        <v>45986</v>
      </c>
      <c r="D796" s="4">
        <v>46490</v>
      </c>
      <c r="E796" s="4">
        <v>45861</v>
      </c>
      <c r="F796" s="4" t="str">
        <v>11.11K</v>
      </c>
      <c r="G796" s="4" t="str">
        <v>0.15%</v>
      </c>
      <c r="H796" s="3">
        <v>44246</v>
      </c>
      <c r="I796" s="4">
        <v>46175.5</v>
      </c>
    </row>
    <row r="797" spans="1:9" x14ac:dyDescent="0.25">
      <c r="A797" s="3">
        <v>44245</v>
      </c>
      <c r="B797" s="4">
        <v>46126</v>
      </c>
      <c r="C797" s="4">
        <v>46409</v>
      </c>
      <c r="D797" s="4">
        <v>46498</v>
      </c>
      <c r="E797" s="4">
        <v>46011</v>
      </c>
      <c r="F797" s="4" t="str">
        <v>10.06K</v>
      </c>
      <c r="G797" s="4" t="str">
        <v>-0.24%</v>
      </c>
      <c r="H797" s="3">
        <v>44245</v>
      </c>
      <c r="I797" s="4">
        <v>46254.5</v>
      </c>
    </row>
    <row r="798" spans="1:9" x14ac:dyDescent="0.25">
      <c r="A798" s="3">
        <v>44244</v>
      </c>
      <c r="B798" s="4">
        <v>46237</v>
      </c>
      <c r="C798" s="4">
        <v>46800</v>
      </c>
      <c r="D798" s="4">
        <v>46800</v>
      </c>
      <c r="E798" s="4">
        <v>46162</v>
      </c>
      <c r="F798" s="4" t="str">
        <v>12.29K</v>
      </c>
      <c r="G798" s="4" t="str">
        <v>-1.41%</v>
      </c>
      <c r="H798" s="3">
        <v>44244</v>
      </c>
      <c r="I798" s="4">
        <v>46481</v>
      </c>
    </row>
    <row r="799" spans="1:9" x14ac:dyDescent="0.25">
      <c r="A799" s="3">
        <v>44243</v>
      </c>
      <c r="B799" s="4">
        <v>46899</v>
      </c>
      <c r="C799" s="4">
        <v>47409</v>
      </c>
      <c r="D799" s="4">
        <v>47480</v>
      </c>
      <c r="E799" s="4">
        <v>46682</v>
      </c>
      <c r="F799" s="4" t="str">
        <v>13.85K</v>
      </c>
      <c r="G799" s="4" t="str">
        <v>-0.72%</v>
      </c>
      <c r="H799" s="3">
        <v>44243</v>
      </c>
      <c r="I799" s="4">
        <v>47081</v>
      </c>
    </row>
    <row r="800" spans="1:9" x14ac:dyDescent="0.25">
      <c r="A800" s="3">
        <v>44242</v>
      </c>
      <c r="B800" s="4">
        <v>47241</v>
      </c>
      <c r="C800" s="4">
        <v>47436</v>
      </c>
      <c r="D800" s="4">
        <v>47455</v>
      </c>
      <c r="E800" s="4">
        <v>47202</v>
      </c>
      <c r="F800" s="4" t="str">
        <v>6.16K</v>
      </c>
      <c r="G800" s="4" t="str">
        <v>-0.16%</v>
      </c>
      <c r="H800" s="3">
        <v>44242</v>
      </c>
      <c r="I800" s="4">
        <v>47328.5</v>
      </c>
    </row>
    <row r="801" spans="1:9" x14ac:dyDescent="0.25">
      <c r="A801" s="3">
        <v>44239</v>
      </c>
      <c r="B801" s="4">
        <v>47318</v>
      </c>
      <c r="C801" s="4">
        <v>47411</v>
      </c>
      <c r="D801" s="4">
        <v>47586</v>
      </c>
      <c r="E801" s="4">
        <v>47111</v>
      </c>
      <c r="F801" s="4" t="str">
        <v>9.55K</v>
      </c>
      <c r="G801" s="4" t="str">
        <v>-0.40%</v>
      </c>
      <c r="H801" s="3">
        <v>44239</v>
      </c>
      <c r="I801" s="4">
        <v>47348.5</v>
      </c>
    </row>
    <row r="802" spans="1:9" x14ac:dyDescent="0.25">
      <c r="A802" s="3">
        <v>44238</v>
      </c>
      <c r="B802" s="4">
        <v>47508</v>
      </c>
      <c r="C802" s="4">
        <v>47837</v>
      </c>
      <c r="D802" s="4">
        <v>48100</v>
      </c>
      <c r="E802" s="4">
        <v>47456</v>
      </c>
      <c r="F802" s="4" t="str">
        <v>8.90K</v>
      </c>
      <c r="G802" s="4" t="str">
        <v>-1.05%</v>
      </c>
      <c r="H802" s="3">
        <v>44238</v>
      </c>
      <c r="I802" s="4">
        <v>47778</v>
      </c>
    </row>
    <row r="803" spans="1:9" x14ac:dyDescent="0.25">
      <c r="A803" s="3">
        <v>44237</v>
      </c>
      <c r="B803" s="4">
        <v>48013</v>
      </c>
      <c r="C803" s="4">
        <v>48000</v>
      </c>
      <c r="D803" s="4">
        <v>48374</v>
      </c>
      <c r="E803" s="4">
        <v>47822</v>
      </c>
      <c r="F803" s="4" t="str">
        <v>10.33K</v>
      </c>
      <c r="G803" s="4" t="str">
        <v>0.14%</v>
      </c>
      <c r="H803" s="3">
        <v>44237</v>
      </c>
      <c r="I803" s="4">
        <v>48098</v>
      </c>
    </row>
    <row r="804" spans="1:9" x14ac:dyDescent="0.25">
      <c r="A804" s="3">
        <v>44236</v>
      </c>
      <c r="B804" s="4">
        <v>47948</v>
      </c>
      <c r="C804" s="4">
        <v>48000</v>
      </c>
      <c r="D804" s="4">
        <v>48235</v>
      </c>
      <c r="E804" s="4">
        <v>47779</v>
      </c>
      <c r="F804" s="4" t="str">
        <v>9.55K</v>
      </c>
      <c r="G804" s="4" t="str">
        <v>0.23%</v>
      </c>
      <c r="H804" s="3">
        <v>44236</v>
      </c>
      <c r="I804" s="4">
        <v>48007</v>
      </c>
    </row>
    <row r="805" spans="1:9" x14ac:dyDescent="0.25">
      <c r="A805" s="3">
        <v>44235</v>
      </c>
      <c r="B805" s="4">
        <v>47839</v>
      </c>
      <c r="C805" s="4">
        <v>47152</v>
      </c>
      <c r="D805" s="4">
        <v>47957</v>
      </c>
      <c r="E805" s="4">
        <v>47152</v>
      </c>
      <c r="F805" s="4" t="str">
        <v>10.41K</v>
      </c>
      <c r="G805" s="4" t="str">
        <v>1.62%</v>
      </c>
      <c r="H805" s="3">
        <v>44235</v>
      </c>
      <c r="I805" s="4">
        <v>47554.5</v>
      </c>
    </row>
    <row r="806" spans="1:9" x14ac:dyDescent="0.25">
      <c r="A806" s="3">
        <v>44232</v>
      </c>
      <c r="B806" s="4">
        <v>47078</v>
      </c>
      <c r="C806" s="4">
        <v>47075</v>
      </c>
      <c r="D806" s="4">
        <v>47080</v>
      </c>
      <c r="E806" s="4">
        <v>47075</v>
      </c>
      <c r="F806" s="4" t="str">
        <v>0.00K</v>
      </c>
      <c r="G806" s="4" t="str">
        <v>0.24%</v>
      </c>
      <c r="H806" s="3">
        <v>44232</v>
      </c>
      <c r="I806" s="4">
        <v>47077.5</v>
      </c>
    </row>
    <row r="807" spans="1:9" x14ac:dyDescent="0.25">
      <c r="A807" s="3">
        <v>44231</v>
      </c>
      <c r="B807" s="4">
        <v>46965</v>
      </c>
      <c r="C807" s="4">
        <v>47400</v>
      </c>
      <c r="D807" s="4">
        <v>47400</v>
      </c>
      <c r="E807" s="4">
        <v>46600</v>
      </c>
      <c r="F807" s="4" t="str">
        <v>0.01K</v>
      </c>
      <c r="G807" s="4" t="str">
        <v>-1.64%</v>
      </c>
      <c r="H807" s="3">
        <v>44231</v>
      </c>
      <c r="I807" s="4">
        <v>47000</v>
      </c>
    </row>
    <row r="808" spans="1:9" x14ac:dyDescent="0.25">
      <c r="A808" s="3">
        <v>44230</v>
      </c>
      <c r="B808" s="4">
        <v>47750</v>
      </c>
      <c r="C808" s="4">
        <v>47925</v>
      </c>
      <c r="D808" s="4">
        <v>47955</v>
      </c>
      <c r="E808" s="4">
        <v>47725</v>
      </c>
      <c r="F808" s="4" t="str">
        <v>0.04K</v>
      </c>
      <c r="G808" s="4" t="str">
        <v>-0.00%</v>
      </c>
      <c r="H808" s="3">
        <v>44230</v>
      </c>
      <c r="I808" s="4">
        <v>47840</v>
      </c>
    </row>
    <row r="809" spans="1:9" x14ac:dyDescent="0.25">
      <c r="A809" s="3">
        <v>44229</v>
      </c>
      <c r="B809" s="4">
        <v>47751</v>
      </c>
      <c r="C809" s="4">
        <v>48265</v>
      </c>
      <c r="D809" s="4">
        <v>48265</v>
      </c>
      <c r="E809" s="4">
        <v>47606</v>
      </c>
      <c r="F809" s="4" t="str">
        <v>0.07K</v>
      </c>
      <c r="G809" s="4" t="str">
        <v>-1.33%</v>
      </c>
      <c r="H809" s="3">
        <v>44229</v>
      </c>
      <c r="I809" s="4">
        <v>47935.5</v>
      </c>
    </row>
    <row r="810" spans="1:9" x14ac:dyDescent="0.25">
      <c r="A810" s="3">
        <v>44228</v>
      </c>
      <c r="B810" s="4">
        <v>48394</v>
      </c>
      <c r="C810" s="4">
        <v>49370</v>
      </c>
      <c r="D810" s="4">
        <v>49400</v>
      </c>
      <c r="E810" s="4">
        <v>47200</v>
      </c>
      <c r="F810" s="4" t="str">
        <v>0.99K</v>
      </c>
      <c r="G810" s="4" t="str">
        <v>-1.43%</v>
      </c>
      <c r="H810" s="3">
        <v>44228</v>
      </c>
      <c r="I810" s="4">
        <v>48300</v>
      </c>
    </row>
    <row r="811" spans="1:9" x14ac:dyDescent="0.25">
      <c r="A811" s="3">
        <v>44225</v>
      </c>
      <c r="B811" s="4">
        <v>49096</v>
      </c>
      <c r="C811" s="4">
        <v>48624</v>
      </c>
      <c r="D811" s="4">
        <v>49485</v>
      </c>
      <c r="E811" s="4">
        <v>48624</v>
      </c>
      <c r="F811" s="4" t="str">
        <v>8.26K</v>
      </c>
      <c r="G811" s="4" t="str">
        <v>0.97%</v>
      </c>
      <c r="H811" s="3">
        <v>44225</v>
      </c>
      <c r="I811" s="4">
        <v>49054.5</v>
      </c>
    </row>
    <row r="812" spans="1:9" x14ac:dyDescent="0.25">
      <c r="A812" s="3">
        <v>44224</v>
      </c>
      <c r="B812" s="4">
        <v>48624</v>
      </c>
      <c r="C812" s="4">
        <v>48700</v>
      </c>
      <c r="D812" s="4">
        <v>49290</v>
      </c>
      <c r="E812" s="4">
        <v>48521</v>
      </c>
      <c r="F812" s="4" t="str">
        <v>10.26K</v>
      </c>
      <c r="G812" s="4" t="str">
        <v>-0.49%</v>
      </c>
      <c r="H812" s="3">
        <v>44224</v>
      </c>
      <c r="I812" s="4">
        <v>48905.5</v>
      </c>
    </row>
    <row r="813" spans="1:9" x14ac:dyDescent="0.25">
      <c r="A813" s="3">
        <v>44223</v>
      </c>
      <c r="B813" s="4">
        <v>48865</v>
      </c>
      <c r="C813" s="4">
        <v>48903</v>
      </c>
      <c r="D813" s="4">
        <v>48980</v>
      </c>
      <c r="E813" s="4">
        <v>48511</v>
      </c>
      <c r="F813" s="4" t="str">
        <v>9.42K</v>
      </c>
      <c r="G813" s="4" t="str">
        <v>-0.57%</v>
      </c>
      <c r="H813" s="3">
        <v>44223</v>
      </c>
      <c r="I813" s="4">
        <v>48745.5</v>
      </c>
    </row>
    <row r="814" spans="1:9" x14ac:dyDescent="0.25">
      <c r="A814" s="3">
        <v>44221</v>
      </c>
      <c r="B814" s="4">
        <v>49143</v>
      </c>
      <c r="C814" s="4">
        <v>49155</v>
      </c>
      <c r="D814" s="4">
        <v>49346</v>
      </c>
      <c r="E814" s="4">
        <v>48925</v>
      </c>
      <c r="F814" s="4" t="str">
        <v>8.73K</v>
      </c>
      <c r="G814" s="4" t="str">
        <v>0.01%</v>
      </c>
      <c r="H814" s="3">
        <v>44221</v>
      </c>
      <c r="I814" s="4">
        <v>49135.5</v>
      </c>
    </row>
    <row r="815" spans="1:9" x14ac:dyDescent="0.25">
      <c r="A815" s="3">
        <v>44218</v>
      </c>
      <c r="B815" s="4">
        <v>49140</v>
      </c>
      <c r="C815" s="4">
        <v>49355</v>
      </c>
      <c r="D815" s="4">
        <v>49399</v>
      </c>
      <c r="E815" s="4">
        <v>48685</v>
      </c>
      <c r="F815" s="4" t="str">
        <v>11.64K</v>
      </c>
      <c r="G815" s="4" t="str">
        <v>-0.62%</v>
      </c>
      <c r="H815" s="3">
        <v>44218</v>
      </c>
      <c r="I815" s="4">
        <v>49042</v>
      </c>
    </row>
    <row r="816" spans="1:9" x14ac:dyDescent="0.25">
      <c r="A816" s="3">
        <v>44217</v>
      </c>
      <c r="B816" s="4">
        <v>49448</v>
      </c>
      <c r="C816" s="4">
        <v>49699</v>
      </c>
      <c r="D816" s="4">
        <v>49765</v>
      </c>
      <c r="E816" s="4">
        <v>49323</v>
      </c>
      <c r="F816" s="4" t="str">
        <v>8.75K</v>
      </c>
      <c r="G816" s="4" t="str">
        <v>-0.17%</v>
      </c>
      <c r="H816" s="3">
        <v>44217</v>
      </c>
      <c r="I816" s="4">
        <v>49544</v>
      </c>
    </row>
    <row r="817" spans="1:9" x14ac:dyDescent="0.25">
      <c r="A817" s="3">
        <v>44216</v>
      </c>
      <c r="B817" s="4">
        <v>49534</v>
      </c>
      <c r="C817" s="4">
        <v>49077</v>
      </c>
      <c r="D817" s="4">
        <v>49640</v>
      </c>
      <c r="E817" s="4">
        <v>48801</v>
      </c>
      <c r="F817" s="4" t="str">
        <v>13.56K</v>
      </c>
      <c r="G817" s="4" t="str">
        <v>1.12%</v>
      </c>
      <c r="H817" s="3">
        <v>44216</v>
      </c>
      <c r="I817" s="4">
        <v>49220.5</v>
      </c>
    </row>
    <row r="818" spans="1:9" x14ac:dyDescent="0.25">
      <c r="A818" s="3">
        <v>44215</v>
      </c>
      <c r="B818" s="4">
        <v>48983</v>
      </c>
      <c r="C818" s="4">
        <v>48965</v>
      </c>
      <c r="D818" s="4">
        <v>49070</v>
      </c>
      <c r="E818" s="4">
        <v>48750</v>
      </c>
      <c r="F818" s="4" t="str">
        <v>8.03K</v>
      </c>
      <c r="G818" s="4" t="str">
        <v>0.18%</v>
      </c>
      <c r="H818" s="3">
        <v>44215</v>
      </c>
      <c r="I818" s="4">
        <v>48910</v>
      </c>
    </row>
    <row r="819" spans="1:9" x14ac:dyDescent="0.25">
      <c r="A819" s="3">
        <v>44214</v>
      </c>
      <c r="B819" s="4">
        <v>48894</v>
      </c>
      <c r="C819" s="4">
        <v>48669</v>
      </c>
      <c r="D819" s="4">
        <v>48995</v>
      </c>
      <c r="E819" s="4">
        <v>48608</v>
      </c>
      <c r="F819" s="4" t="str">
        <v>6.33K</v>
      </c>
      <c r="G819" s="4" t="str">
        <v>0.39%</v>
      </c>
      <c r="H819" s="3">
        <v>44214</v>
      </c>
      <c r="I819" s="4">
        <v>48801.5</v>
      </c>
    </row>
    <row r="820" spans="1:9" x14ac:dyDescent="0.25">
      <c r="A820" s="3">
        <v>44211</v>
      </c>
      <c r="B820" s="4">
        <v>48702</v>
      </c>
      <c r="C820" s="4">
        <v>49088</v>
      </c>
      <c r="D820" s="4">
        <v>49327</v>
      </c>
      <c r="E820" s="4">
        <v>48537</v>
      </c>
      <c r="F820" s="4" t="str">
        <v>11.33K</v>
      </c>
      <c r="G820" s="4" t="str">
        <v>-1.05%</v>
      </c>
      <c r="H820" s="3">
        <v>44211</v>
      </c>
      <c r="I820" s="4">
        <v>48932</v>
      </c>
    </row>
    <row r="821" spans="1:9" x14ac:dyDescent="0.25">
      <c r="A821" s="3">
        <v>44210</v>
      </c>
      <c r="B821" s="4">
        <v>49221</v>
      </c>
      <c r="C821" s="4">
        <v>49000</v>
      </c>
      <c r="D821" s="4">
        <v>49268</v>
      </c>
      <c r="E821" s="4">
        <v>48751</v>
      </c>
      <c r="F821" s="4" t="str">
        <v>10.47K</v>
      </c>
      <c r="G821" s="4" t="str">
        <v>-0.17%</v>
      </c>
      <c r="H821" s="3">
        <v>44210</v>
      </c>
      <c r="I821" s="4">
        <v>49009.5</v>
      </c>
    </row>
    <row r="822" spans="1:9" x14ac:dyDescent="0.25">
      <c r="A822" s="3">
        <v>44209</v>
      </c>
      <c r="B822" s="4">
        <v>49305</v>
      </c>
      <c r="C822" s="4">
        <v>49130</v>
      </c>
      <c r="D822" s="4">
        <v>49447</v>
      </c>
      <c r="E822" s="4">
        <v>49130</v>
      </c>
      <c r="F822" s="4" t="str">
        <v>7.23K</v>
      </c>
      <c r="G822" s="4" t="str">
        <v>0.53%</v>
      </c>
      <c r="H822" s="3">
        <v>44209</v>
      </c>
      <c r="I822" s="4">
        <v>49288.5</v>
      </c>
    </row>
    <row r="823" spans="1:9" x14ac:dyDescent="0.25">
      <c r="A823" s="3">
        <v>44208</v>
      </c>
      <c r="B823" s="4">
        <v>49045</v>
      </c>
      <c r="C823" s="4">
        <v>49320</v>
      </c>
      <c r="D823" s="4">
        <v>49570</v>
      </c>
      <c r="E823" s="4">
        <v>48933</v>
      </c>
      <c r="F823" s="4" t="str">
        <v>9.18K</v>
      </c>
      <c r="G823" s="4" t="str">
        <v>-0.60%</v>
      </c>
      <c r="H823" s="3">
        <v>44208</v>
      </c>
      <c r="I823" s="4">
        <v>49251.5</v>
      </c>
    </row>
    <row r="824" spans="1:9" x14ac:dyDescent="0.25">
      <c r="A824" s="3">
        <v>44207</v>
      </c>
      <c r="B824" s="4">
        <v>49341</v>
      </c>
      <c r="C824" s="4">
        <v>48786</v>
      </c>
      <c r="D824" s="4">
        <v>49390</v>
      </c>
      <c r="E824" s="4">
        <v>48635</v>
      </c>
      <c r="F824" s="4" t="str">
        <v>11.77K</v>
      </c>
      <c r="G824" s="4" t="str">
        <v>0.76%</v>
      </c>
      <c r="H824" s="3">
        <v>44207</v>
      </c>
      <c r="I824" s="4">
        <v>49012.5</v>
      </c>
    </row>
    <row r="825" spans="1:9" x14ac:dyDescent="0.25">
      <c r="A825" s="3">
        <v>44204</v>
      </c>
      <c r="B825" s="4">
        <v>48967</v>
      </c>
      <c r="C825" s="4">
        <v>50755</v>
      </c>
      <c r="D825" s="4">
        <v>50799</v>
      </c>
      <c r="E825" s="4">
        <v>48818</v>
      </c>
      <c r="F825" s="4" t="str">
        <v>19.74K</v>
      </c>
      <c r="G825" s="4" t="str">
        <v>-3.81%</v>
      </c>
      <c r="H825" s="3">
        <v>44204</v>
      </c>
      <c r="I825" s="4">
        <v>49808.5</v>
      </c>
    </row>
    <row r="826" spans="1:9" x14ac:dyDescent="0.25">
      <c r="A826" s="3">
        <v>44203</v>
      </c>
      <c r="B826" s="4">
        <v>50904</v>
      </c>
      <c r="C826" s="4">
        <v>50740</v>
      </c>
      <c r="D826" s="4">
        <v>51046</v>
      </c>
      <c r="E826" s="4">
        <v>50660</v>
      </c>
      <c r="F826" s="4" t="str">
        <v>10.82K</v>
      </c>
      <c r="G826" s="4" t="str">
        <v>0.78%</v>
      </c>
      <c r="H826" s="3">
        <v>44203</v>
      </c>
      <c r="I826" s="4">
        <v>50853</v>
      </c>
    </row>
    <row r="827" spans="1:9" x14ac:dyDescent="0.25">
      <c r="A827" s="3">
        <v>44202</v>
      </c>
      <c r="B827" s="4">
        <v>50509</v>
      </c>
      <c r="C827" s="4">
        <v>51555</v>
      </c>
      <c r="D827" s="4">
        <v>51875</v>
      </c>
      <c r="E827" s="4">
        <v>50401</v>
      </c>
      <c r="F827" s="4" t="str">
        <v>19.22K</v>
      </c>
      <c r="G827" s="4" t="str">
        <v>-2.34%</v>
      </c>
      <c r="H827" s="3">
        <v>44202</v>
      </c>
      <c r="I827" s="4">
        <v>51138</v>
      </c>
    </row>
    <row r="828" spans="1:9" x14ac:dyDescent="0.25">
      <c r="A828" s="3">
        <v>44201</v>
      </c>
      <c r="B828" s="4">
        <v>51720</v>
      </c>
      <c r="C828" s="4">
        <v>51397</v>
      </c>
      <c r="D828" s="4">
        <v>51780</v>
      </c>
      <c r="E828" s="4">
        <v>51333</v>
      </c>
      <c r="F828" s="4" t="str">
        <v>10.60K</v>
      </c>
      <c r="G828" s="4" t="str">
        <v>0.58%</v>
      </c>
      <c r="H828" s="3">
        <v>44201</v>
      </c>
      <c r="I828" s="4">
        <v>51556.5</v>
      </c>
    </row>
    <row r="829" spans="1:9" x14ac:dyDescent="0.25">
      <c r="A829" s="3">
        <v>44200</v>
      </c>
      <c r="B829" s="4">
        <v>51424</v>
      </c>
      <c r="C829" s="4">
        <v>50300</v>
      </c>
      <c r="D829" s="4">
        <v>51490</v>
      </c>
      <c r="E829" s="4">
        <v>50300</v>
      </c>
      <c r="F829" s="4" t="str">
        <v>12.99K</v>
      </c>
      <c r="G829" s="4" t="str">
        <v>2.35%</v>
      </c>
      <c r="H829" s="3">
        <v>44200</v>
      </c>
      <c r="I829" s="4">
        <v>50895</v>
      </c>
    </row>
    <row r="830" spans="1:9" x14ac:dyDescent="0.25">
      <c r="A830" s="3">
        <v>44197</v>
      </c>
      <c r="B830" s="4">
        <v>50244</v>
      </c>
      <c r="C830" s="4">
        <v>50180</v>
      </c>
      <c r="D830" s="4">
        <v>50280</v>
      </c>
      <c r="E830" s="4">
        <v>50128</v>
      </c>
      <c r="F830" s="4" t="str">
        <v>1.23K</v>
      </c>
      <c r="G830" s="4" t="str">
        <v>0.19%</v>
      </c>
      <c r="H830" s="3">
        <v>44197</v>
      </c>
      <c r="I830" s="4">
        <v>50204</v>
      </c>
    </row>
    <row r="831" spans="1:9" x14ac:dyDescent="0.25">
      <c r="A831" s="3">
        <v>44196</v>
      </c>
      <c r="B831" s="4">
        <v>50151</v>
      </c>
      <c r="C831" s="4">
        <v>50059</v>
      </c>
      <c r="D831" s="4">
        <v>50290</v>
      </c>
      <c r="E831" s="4">
        <v>50002</v>
      </c>
      <c r="F831" s="4" t="str">
        <v>7.02K</v>
      </c>
      <c r="G831" s="4" t="str">
        <v>0.03%</v>
      </c>
      <c r="H831" s="3">
        <v>44196</v>
      </c>
      <c r="I831" s="4">
        <v>50146</v>
      </c>
    </row>
    <row r="832" spans="1:9" x14ac:dyDescent="0.25">
      <c r="A832" s="3">
        <v>44195</v>
      </c>
      <c r="B832" s="4">
        <v>50135</v>
      </c>
      <c r="C832" s="4">
        <v>50179</v>
      </c>
      <c r="D832" s="4">
        <v>50179</v>
      </c>
      <c r="E832" s="4">
        <v>49857</v>
      </c>
      <c r="F832" s="4" t="str">
        <v>7.42K</v>
      </c>
      <c r="G832" s="4" t="str">
        <v>0.19%</v>
      </c>
      <c r="H832" s="3">
        <v>44195</v>
      </c>
      <c r="I832" s="4">
        <v>50018</v>
      </c>
    </row>
    <row r="833" spans="1:9" x14ac:dyDescent="0.25">
      <c r="A833" s="3">
        <v>44194</v>
      </c>
      <c r="B833" s="4">
        <v>50039</v>
      </c>
      <c r="C833" s="4">
        <v>50051</v>
      </c>
      <c r="D833" s="4">
        <v>50195</v>
      </c>
      <c r="E833" s="4">
        <v>49860</v>
      </c>
      <c r="F833" s="4" t="str">
        <v>9.45K</v>
      </c>
      <c r="G833" s="4" t="str">
        <v>0.05%</v>
      </c>
      <c r="H833" s="3">
        <v>44194</v>
      </c>
      <c r="I833" s="4">
        <v>50027.5</v>
      </c>
    </row>
    <row r="834" spans="1:9" x14ac:dyDescent="0.25">
      <c r="A834" s="3">
        <v>44193</v>
      </c>
      <c r="B834" s="4">
        <v>50013</v>
      </c>
      <c r="C834" s="4">
        <v>50200</v>
      </c>
      <c r="D834" s="4">
        <v>50580</v>
      </c>
      <c r="E834" s="4">
        <v>49915</v>
      </c>
      <c r="F834" s="4" t="str">
        <v>11.88K</v>
      </c>
      <c r="G834" s="4" t="str">
        <v>-0.12%</v>
      </c>
      <c r="H834" s="3">
        <v>44193</v>
      </c>
      <c r="I834" s="4">
        <v>50247.5</v>
      </c>
    </row>
    <row r="835" spans="1:9" x14ac:dyDescent="0.25">
      <c r="A835" s="3">
        <v>44189</v>
      </c>
      <c r="B835" s="4">
        <v>50073</v>
      </c>
      <c r="C835" s="4">
        <v>50151</v>
      </c>
      <c r="D835" s="4">
        <v>50186</v>
      </c>
      <c r="E835" s="4">
        <v>49878</v>
      </c>
      <c r="F835" s="4" t="str">
        <v>7.96K</v>
      </c>
      <c r="G835" s="4" t="str">
        <v>-0.15%</v>
      </c>
      <c r="H835" s="3">
        <v>44189</v>
      </c>
      <c r="I835" s="4">
        <v>50032</v>
      </c>
    </row>
    <row r="836" spans="1:9" x14ac:dyDescent="0.25">
      <c r="A836" s="3">
        <v>44188</v>
      </c>
      <c r="B836" s="4">
        <v>50149</v>
      </c>
      <c r="C836" s="4">
        <v>50042</v>
      </c>
      <c r="D836" s="4">
        <v>50280</v>
      </c>
      <c r="E836" s="4">
        <v>49680</v>
      </c>
      <c r="F836" s="4" t="str">
        <v>11.40K</v>
      </c>
      <c r="G836" s="4" t="str">
        <v>0.14%</v>
      </c>
      <c r="H836" s="3">
        <v>44188</v>
      </c>
      <c r="I836" s="4">
        <v>49980</v>
      </c>
    </row>
    <row r="837" spans="1:9" x14ac:dyDescent="0.25">
      <c r="A837" s="3">
        <v>44187</v>
      </c>
      <c r="B837" s="4">
        <v>50081</v>
      </c>
      <c r="C837" s="4">
        <v>50527</v>
      </c>
      <c r="D837" s="4">
        <v>50540</v>
      </c>
      <c r="E837" s="4">
        <v>49923</v>
      </c>
      <c r="F837" s="4" t="str">
        <v>9.65K</v>
      </c>
      <c r="G837" s="4" t="str">
        <v>-0.66%</v>
      </c>
      <c r="H837" s="3">
        <v>44187</v>
      </c>
      <c r="I837" s="4">
        <v>50231.5</v>
      </c>
    </row>
    <row r="838" spans="1:9" x14ac:dyDescent="0.25">
      <c r="A838" s="3">
        <v>44186</v>
      </c>
      <c r="B838" s="4">
        <v>50416</v>
      </c>
      <c r="C838" s="4">
        <v>50515</v>
      </c>
      <c r="D838" s="4">
        <v>51009</v>
      </c>
      <c r="E838" s="4">
        <v>49712</v>
      </c>
      <c r="F838" s="4" t="str">
        <v>15.05K</v>
      </c>
      <c r="G838" s="4" t="str">
        <v>0.22%</v>
      </c>
      <c r="H838" s="3">
        <v>44186</v>
      </c>
      <c r="I838" s="4">
        <v>50360.5</v>
      </c>
    </row>
    <row r="839" spans="1:9" x14ac:dyDescent="0.25">
      <c r="A839" s="3">
        <v>44183</v>
      </c>
      <c r="B839" s="4">
        <v>50304</v>
      </c>
      <c r="C839" s="4">
        <v>50319</v>
      </c>
      <c r="D839" s="4">
        <v>50469</v>
      </c>
      <c r="E839" s="4">
        <v>50105</v>
      </c>
      <c r="F839" s="4" t="str">
        <v>7.91K</v>
      </c>
      <c r="G839" s="4" t="str">
        <v>-0.17%</v>
      </c>
      <c r="H839" s="3">
        <v>44183</v>
      </c>
      <c r="I839" s="4">
        <v>50287</v>
      </c>
    </row>
    <row r="840" spans="1:9" x14ac:dyDescent="0.25">
      <c r="A840" s="3">
        <v>44182</v>
      </c>
      <c r="B840" s="4">
        <v>50390</v>
      </c>
      <c r="C840" s="4">
        <v>49720</v>
      </c>
      <c r="D840" s="4">
        <v>50642</v>
      </c>
      <c r="E840" s="4">
        <v>49720</v>
      </c>
      <c r="F840" s="4" t="str">
        <v>12.91K</v>
      </c>
      <c r="G840" s="4" t="str">
        <v>1.60%</v>
      </c>
      <c r="H840" s="3">
        <v>44182</v>
      </c>
      <c r="I840" s="4">
        <v>50181</v>
      </c>
    </row>
    <row r="841" spans="1:9" x14ac:dyDescent="0.25">
      <c r="A841" s="3">
        <v>44181</v>
      </c>
      <c r="B841" s="4">
        <v>49597</v>
      </c>
      <c r="C841" s="4">
        <v>49510</v>
      </c>
      <c r="D841" s="4">
        <v>49850</v>
      </c>
      <c r="E841" s="4">
        <v>49452</v>
      </c>
      <c r="F841" s="4" t="str">
        <v>11.58K</v>
      </c>
      <c r="G841" s="4" t="str">
        <v>0.31%</v>
      </c>
      <c r="H841" s="3">
        <v>44181</v>
      </c>
      <c r="I841" s="4">
        <v>49651</v>
      </c>
    </row>
    <row r="842" spans="1:9" x14ac:dyDescent="0.25">
      <c r="A842" s="3">
        <v>44180</v>
      </c>
      <c r="B842" s="4">
        <v>49443</v>
      </c>
      <c r="C842" s="4">
        <v>49035</v>
      </c>
      <c r="D842" s="4">
        <v>49589</v>
      </c>
      <c r="E842" s="4">
        <v>49007</v>
      </c>
      <c r="F842" s="4" t="str">
        <v>9.97K</v>
      </c>
      <c r="G842" s="4" t="str">
        <v>1.03%</v>
      </c>
      <c r="H842" s="3">
        <v>44180</v>
      </c>
      <c r="I842" s="4">
        <v>49298</v>
      </c>
    </row>
    <row r="843" spans="1:9" x14ac:dyDescent="0.25">
      <c r="A843" s="3">
        <v>44179</v>
      </c>
      <c r="B843" s="4">
        <v>48939</v>
      </c>
      <c r="C843" s="4">
        <v>49101</v>
      </c>
      <c r="D843" s="4">
        <v>49133</v>
      </c>
      <c r="E843" s="4">
        <v>48602</v>
      </c>
      <c r="F843" s="4" t="str">
        <v>9.95K</v>
      </c>
      <c r="G843" s="4" t="str">
        <v>-0.78%</v>
      </c>
      <c r="H843" s="3">
        <v>44179</v>
      </c>
      <c r="I843" s="4">
        <v>48867.5</v>
      </c>
    </row>
    <row r="844" spans="1:9" x14ac:dyDescent="0.25">
      <c r="A844" s="3">
        <v>44176</v>
      </c>
      <c r="B844" s="4">
        <v>49324</v>
      </c>
      <c r="C844" s="4">
        <v>49150</v>
      </c>
      <c r="D844" s="4">
        <v>49438</v>
      </c>
      <c r="E844" s="4">
        <v>48875</v>
      </c>
      <c r="F844" s="4" t="str">
        <v>9.68K</v>
      </c>
      <c r="G844" s="4" t="str">
        <v>0.50%</v>
      </c>
      <c r="H844" s="3">
        <v>44176</v>
      </c>
      <c r="I844" s="4">
        <v>49156.5</v>
      </c>
    </row>
    <row r="845" spans="1:9" x14ac:dyDescent="0.25">
      <c r="A845" s="3">
        <v>44175</v>
      </c>
      <c r="B845" s="4">
        <v>49077</v>
      </c>
      <c r="C845" s="4">
        <v>49165</v>
      </c>
      <c r="D845" s="4">
        <v>49500</v>
      </c>
      <c r="E845" s="4">
        <v>48935</v>
      </c>
      <c r="F845" s="4" t="str">
        <v>9.56K</v>
      </c>
      <c r="G845" s="4" t="str">
        <v>-0.37%</v>
      </c>
      <c r="H845" s="3">
        <v>44175</v>
      </c>
      <c r="I845" s="4">
        <v>49217.5</v>
      </c>
    </row>
    <row r="846" spans="1:9" x14ac:dyDescent="0.25">
      <c r="A846" s="3">
        <v>44174</v>
      </c>
      <c r="B846" s="4">
        <v>49260</v>
      </c>
      <c r="C846" s="4">
        <v>49850</v>
      </c>
      <c r="D846" s="4">
        <v>49886</v>
      </c>
      <c r="E846" s="4">
        <v>49140</v>
      </c>
      <c r="F846" s="4" t="str">
        <v>12.54K</v>
      </c>
      <c r="G846" s="4" t="str">
        <v>-1.69%</v>
      </c>
      <c r="H846" s="3">
        <v>44174</v>
      </c>
      <c r="I846" s="4">
        <v>49513</v>
      </c>
    </row>
    <row r="847" spans="1:9" x14ac:dyDescent="0.25">
      <c r="A847" s="3">
        <v>44173</v>
      </c>
      <c r="B847" s="4">
        <v>50109</v>
      </c>
      <c r="C847" s="4">
        <v>50065</v>
      </c>
      <c r="D847" s="4">
        <v>50175</v>
      </c>
      <c r="E847" s="4">
        <v>49711</v>
      </c>
      <c r="F847" s="4" t="str">
        <v>8.38K</v>
      </c>
      <c r="G847" s="4" t="str">
        <v>0.33%</v>
      </c>
      <c r="H847" s="3">
        <v>44173</v>
      </c>
      <c r="I847" s="4">
        <v>49943</v>
      </c>
    </row>
    <row r="848" spans="1:9" x14ac:dyDescent="0.25">
      <c r="A848" s="3">
        <v>44172</v>
      </c>
      <c r="B848" s="4">
        <v>49946</v>
      </c>
      <c r="C848" s="4">
        <v>49231</v>
      </c>
      <c r="D848" s="4">
        <v>50060</v>
      </c>
      <c r="E848" s="4">
        <v>48874</v>
      </c>
      <c r="F848" s="4" t="str">
        <v>10.41K</v>
      </c>
      <c r="G848" s="4" t="str">
        <v>1.12%</v>
      </c>
      <c r="H848" s="3">
        <v>44172</v>
      </c>
      <c r="I848" s="4">
        <v>49467</v>
      </c>
    </row>
    <row r="849" spans="1:9" x14ac:dyDescent="0.25">
      <c r="A849" s="3">
        <v>44169</v>
      </c>
      <c r="B849" s="4">
        <v>49393</v>
      </c>
      <c r="C849" s="4">
        <v>49350</v>
      </c>
      <c r="D849" s="4">
        <v>50001</v>
      </c>
      <c r="E849" s="4">
        <v>49100</v>
      </c>
      <c r="F849" s="4" t="str">
        <v>0.01K</v>
      </c>
      <c r="G849" s="4" t="str">
        <v>-0.05%</v>
      </c>
      <c r="H849" s="3">
        <v>44169</v>
      </c>
      <c r="I849" s="4">
        <v>49550.5</v>
      </c>
    </row>
    <row r="850" spans="1:9" x14ac:dyDescent="0.25">
      <c r="A850" s="3">
        <v>44168</v>
      </c>
      <c r="B850" s="4">
        <v>49419</v>
      </c>
      <c r="C850" s="4">
        <v>49874</v>
      </c>
      <c r="D850" s="4">
        <v>49936</v>
      </c>
      <c r="E850" s="4">
        <v>49093</v>
      </c>
      <c r="F850" s="4" t="str">
        <v>0.01K</v>
      </c>
      <c r="G850" s="4" t="str">
        <v>1.60%</v>
      </c>
      <c r="H850" s="3">
        <v>44168</v>
      </c>
      <c r="I850" s="4">
        <v>49514.5</v>
      </c>
    </row>
    <row r="851" spans="1:9" x14ac:dyDescent="0.25">
      <c r="A851" s="3">
        <v>44167</v>
      </c>
      <c r="B851" s="4">
        <v>48643</v>
      </c>
      <c r="C851" s="4">
        <v>48499</v>
      </c>
      <c r="D851" s="4">
        <v>48849</v>
      </c>
      <c r="E851" s="4">
        <v>48400</v>
      </c>
      <c r="F851" s="4" t="str">
        <v>0.01K</v>
      </c>
      <c r="G851" s="4" t="str">
        <v>0.76%</v>
      </c>
      <c r="H851" s="3">
        <v>44167</v>
      </c>
      <c r="I851" s="4">
        <v>48624.5</v>
      </c>
    </row>
    <row r="852" spans="1:9" x14ac:dyDescent="0.25">
      <c r="A852" s="3">
        <v>44166</v>
      </c>
      <c r="B852" s="4">
        <v>48275</v>
      </c>
      <c r="C852" s="4">
        <v>48194</v>
      </c>
      <c r="D852" s="4">
        <v>48559</v>
      </c>
      <c r="E852" s="4">
        <v>47705</v>
      </c>
      <c r="F852" s="4" t="str">
        <v>0.04K</v>
      </c>
      <c r="G852" s="4" t="str">
        <v>1.01%</v>
      </c>
      <c r="H852" s="3">
        <v>44166</v>
      </c>
      <c r="I852" s="4">
        <v>48132</v>
      </c>
    </row>
    <row r="853" spans="1:9" x14ac:dyDescent="0.25">
      <c r="A853" s="3">
        <v>44165</v>
      </c>
      <c r="B853" s="4">
        <v>47792</v>
      </c>
      <c r="C853" s="4">
        <v>47680</v>
      </c>
      <c r="D853" s="4">
        <v>47966</v>
      </c>
      <c r="E853" s="4">
        <v>47550</v>
      </c>
      <c r="F853" s="4" t="str">
        <v>0.46K</v>
      </c>
      <c r="G853" s="4" t="str">
        <v>-0.69%</v>
      </c>
      <c r="H853" s="3">
        <v>44165</v>
      </c>
      <c r="I853" s="4">
        <v>47758</v>
      </c>
    </row>
    <row r="854" spans="1:9" x14ac:dyDescent="0.25">
      <c r="A854" s="3">
        <v>44162</v>
      </c>
      <c r="B854" s="4">
        <v>48125</v>
      </c>
      <c r="C854" s="4">
        <v>48508</v>
      </c>
      <c r="D854" s="4">
        <v>48647</v>
      </c>
      <c r="E854" s="4">
        <v>47800</v>
      </c>
      <c r="F854" s="4" t="str">
        <v>10.10K</v>
      </c>
      <c r="G854" s="4" t="str">
        <v>-0.81%</v>
      </c>
      <c r="H854" s="3">
        <v>44162</v>
      </c>
      <c r="I854" s="4">
        <v>48223.5</v>
      </c>
    </row>
    <row r="855" spans="1:9" x14ac:dyDescent="0.25">
      <c r="A855" s="3">
        <v>44161</v>
      </c>
      <c r="B855" s="4">
        <v>48517</v>
      </c>
      <c r="C855" s="4">
        <v>48524</v>
      </c>
      <c r="D855" s="4">
        <v>48800</v>
      </c>
      <c r="E855" s="4">
        <v>48425</v>
      </c>
      <c r="F855" s="4" t="str">
        <v>7.89K</v>
      </c>
      <c r="G855" s="4" t="str">
        <v>0.01%</v>
      </c>
      <c r="H855" s="3">
        <v>44161</v>
      </c>
      <c r="I855" s="4">
        <v>48612.5</v>
      </c>
    </row>
    <row r="856" spans="1:9" x14ac:dyDescent="0.25">
      <c r="A856" s="3">
        <v>44160</v>
      </c>
      <c r="B856" s="4">
        <v>48513</v>
      </c>
      <c r="C856" s="4">
        <v>48497</v>
      </c>
      <c r="D856" s="4">
        <v>48885</v>
      </c>
      <c r="E856" s="4">
        <v>48390</v>
      </c>
      <c r="F856" s="4" t="str">
        <v>12.33K</v>
      </c>
      <c r="G856" s="4" t="str">
        <v>-0.15%</v>
      </c>
      <c r="H856" s="3">
        <v>44160</v>
      </c>
      <c r="I856" s="4">
        <v>48637.5</v>
      </c>
    </row>
    <row r="857" spans="1:9" x14ac:dyDescent="0.25">
      <c r="A857" s="3">
        <v>44159</v>
      </c>
      <c r="B857" s="4">
        <v>48585</v>
      </c>
      <c r="C857" s="4">
        <v>49262</v>
      </c>
      <c r="D857" s="4">
        <v>49262</v>
      </c>
      <c r="E857" s="4">
        <v>48514</v>
      </c>
      <c r="F857" s="4" t="str">
        <v>16.73K</v>
      </c>
      <c r="G857" s="4" t="str">
        <v>-1.81%</v>
      </c>
      <c r="H857" s="3">
        <v>44159</v>
      </c>
      <c r="I857" s="4">
        <v>48888</v>
      </c>
    </row>
    <row r="858" spans="1:9" x14ac:dyDescent="0.25">
      <c r="A858" s="3">
        <v>44158</v>
      </c>
      <c r="B858" s="4">
        <v>49480</v>
      </c>
      <c r="C858" s="4">
        <v>50234</v>
      </c>
      <c r="D858" s="4">
        <v>50350</v>
      </c>
      <c r="E858" s="4">
        <v>49291</v>
      </c>
      <c r="F858" s="4" t="str">
        <v>15.17K</v>
      </c>
      <c r="G858" s="4" t="str">
        <v>-1.46%</v>
      </c>
      <c r="H858" s="3">
        <v>44158</v>
      </c>
      <c r="I858" s="4">
        <v>49820.5</v>
      </c>
    </row>
    <row r="859" spans="1:9" x14ac:dyDescent="0.25">
      <c r="A859" s="3">
        <v>44155</v>
      </c>
      <c r="B859" s="4">
        <v>50212</v>
      </c>
      <c r="C859" s="4">
        <v>50041</v>
      </c>
      <c r="D859" s="4">
        <v>50435</v>
      </c>
      <c r="E859" s="4">
        <v>49857</v>
      </c>
      <c r="F859" s="4" t="str">
        <v>10.73K</v>
      </c>
      <c r="G859" s="4" t="str">
        <v>0.44%</v>
      </c>
      <c r="H859" s="3">
        <v>44155</v>
      </c>
      <c r="I859" s="4">
        <v>50146</v>
      </c>
    </row>
    <row r="860" spans="1:9" x14ac:dyDescent="0.25">
      <c r="A860" s="3">
        <v>44154</v>
      </c>
      <c r="B860" s="4">
        <v>49992</v>
      </c>
      <c r="C860" s="4">
        <v>50200</v>
      </c>
      <c r="D860" s="4">
        <v>50200</v>
      </c>
      <c r="E860" s="4">
        <v>49720</v>
      </c>
      <c r="F860" s="4" t="str">
        <v>12.67K</v>
      </c>
      <c r="G860" s="4" t="str">
        <v>-0.66%</v>
      </c>
      <c r="H860" s="3">
        <v>44154</v>
      </c>
      <c r="I860" s="4">
        <v>49960</v>
      </c>
    </row>
    <row r="861" spans="1:9" x14ac:dyDescent="0.25">
      <c r="A861" s="3">
        <v>44153</v>
      </c>
      <c r="B861" s="4">
        <v>50325</v>
      </c>
      <c r="C861" s="4">
        <v>50600</v>
      </c>
      <c r="D861" s="4">
        <v>50646</v>
      </c>
      <c r="E861" s="4">
        <v>50053</v>
      </c>
      <c r="F861" s="4" t="str">
        <v>12.96K</v>
      </c>
      <c r="G861" s="4" t="str">
        <v>-0.87%</v>
      </c>
      <c r="H861" s="3">
        <v>44153</v>
      </c>
      <c r="I861" s="4">
        <v>50349.5</v>
      </c>
    </row>
    <row r="862" spans="1:9" x14ac:dyDescent="0.25">
      <c r="A862" s="3">
        <v>44152</v>
      </c>
      <c r="B862" s="4">
        <v>50766</v>
      </c>
      <c r="C862" s="4">
        <v>50800</v>
      </c>
      <c r="D862" s="4">
        <v>51029</v>
      </c>
      <c r="E862" s="4">
        <v>50703</v>
      </c>
      <c r="F862" s="4" t="str">
        <v>10.09K</v>
      </c>
      <c r="G862" s="4" t="str">
        <v>-0.13%</v>
      </c>
      <c r="H862" s="3">
        <v>44152</v>
      </c>
      <c r="I862" s="4">
        <v>50866</v>
      </c>
    </row>
    <row r="863" spans="1:9" x14ac:dyDescent="0.25">
      <c r="A863" s="3">
        <v>44151</v>
      </c>
      <c r="B863" s="4">
        <v>50830</v>
      </c>
      <c r="C863" s="4">
        <v>50931</v>
      </c>
      <c r="D863" s="4">
        <v>51015</v>
      </c>
      <c r="E863" s="4">
        <v>50150</v>
      </c>
      <c r="F863" s="4" t="str">
        <v>7.83K</v>
      </c>
      <c r="G863" s="4" t="str">
        <v>-0.18%</v>
      </c>
      <c r="H863" s="3">
        <v>44151</v>
      </c>
      <c r="I863" s="4">
        <v>50582.5</v>
      </c>
    </row>
    <row r="864" spans="1:9" x14ac:dyDescent="0.25">
      <c r="A864" s="3">
        <v>44149</v>
      </c>
      <c r="B864" s="4">
        <v>50922</v>
      </c>
      <c r="C864" s="4">
        <v>51015</v>
      </c>
      <c r="D864" s="4">
        <v>51080</v>
      </c>
      <c r="E864" s="4">
        <v>50870</v>
      </c>
      <c r="F864" s="4" t="str">
        <v>1.00K</v>
      </c>
      <c r="G864" s="4" t="str">
        <v>0.00%</v>
      </c>
      <c r="H864" s="3">
        <v>44149</v>
      </c>
      <c r="I864" s="4">
        <v>50975</v>
      </c>
    </row>
    <row r="865" spans="1:9" x14ac:dyDescent="0.25">
      <c r="A865" s="3">
        <v>44148</v>
      </c>
      <c r="B865" s="4">
        <v>50922</v>
      </c>
      <c r="C865" s="4">
        <v>50665</v>
      </c>
      <c r="D865" s="4">
        <v>51139</v>
      </c>
      <c r="E865" s="4">
        <v>50609</v>
      </c>
      <c r="F865" s="4" t="str">
        <v>9.40K</v>
      </c>
      <c r="G865" s="4" t="str">
        <v>0.64%</v>
      </c>
      <c r="H865" s="3">
        <v>44148</v>
      </c>
      <c r="I865" s="4">
        <v>50874</v>
      </c>
    </row>
    <row r="866" spans="1:9" x14ac:dyDescent="0.25">
      <c r="A866" s="3">
        <v>44147</v>
      </c>
      <c r="B866" s="4">
        <v>50600</v>
      </c>
      <c r="C866" s="4">
        <v>50315</v>
      </c>
      <c r="D866" s="4">
        <v>50790</v>
      </c>
      <c r="E866" s="4">
        <v>50217</v>
      </c>
      <c r="F866" s="4" t="str">
        <v>11.19K</v>
      </c>
      <c r="G866" s="4" t="str">
        <v>0.86%</v>
      </c>
      <c r="H866" s="3">
        <v>44147</v>
      </c>
      <c r="I866" s="4">
        <v>50503.5</v>
      </c>
    </row>
    <row r="867" spans="1:9" x14ac:dyDescent="0.25">
      <c r="A867" s="3">
        <v>44146</v>
      </c>
      <c r="B867" s="4">
        <v>50169</v>
      </c>
      <c r="C867" s="4">
        <v>50444</v>
      </c>
      <c r="D867" s="4">
        <v>50525</v>
      </c>
      <c r="E867" s="4">
        <v>49944</v>
      </c>
      <c r="F867" s="4" t="str">
        <v>12.49K</v>
      </c>
      <c r="G867" s="4" t="str">
        <v>-0.66%</v>
      </c>
      <c r="H867" s="3">
        <v>44146</v>
      </c>
      <c r="I867" s="4">
        <v>50234.5</v>
      </c>
    </row>
    <row r="868" spans="1:9" x14ac:dyDescent="0.25">
      <c r="A868" s="3">
        <v>44145</v>
      </c>
      <c r="B868" s="4">
        <v>50501</v>
      </c>
      <c r="C868" s="4">
        <v>49931</v>
      </c>
      <c r="D868" s="4">
        <v>50664</v>
      </c>
      <c r="E868" s="4">
        <v>49931</v>
      </c>
      <c r="F868" s="4" t="str">
        <v>14.41K</v>
      </c>
      <c r="G868" s="4" t="str">
        <v>1.51%</v>
      </c>
      <c r="H868" s="3">
        <v>44145</v>
      </c>
      <c r="I868" s="4">
        <v>50297.5</v>
      </c>
    </row>
    <row r="869" spans="1:9" x14ac:dyDescent="0.25">
      <c r="A869" s="3">
        <v>44144</v>
      </c>
      <c r="B869" s="4">
        <v>49748</v>
      </c>
      <c r="C869" s="4">
        <v>52270</v>
      </c>
      <c r="D869" s="4">
        <v>52520</v>
      </c>
      <c r="E869" s="4">
        <v>49500</v>
      </c>
      <c r="F869" s="4" t="str">
        <v>26.54K</v>
      </c>
      <c r="G869" s="4" t="str">
        <v>-4.64%</v>
      </c>
      <c r="H869" s="3">
        <v>44144</v>
      </c>
      <c r="I869" s="4">
        <v>51010</v>
      </c>
    </row>
    <row r="870" spans="1:9" x14ac:dyDescent="0.25">
      <c r="A870" s="3">
        <v>44141</v>
      </c>
      <c r="B870" s="4">
        <v>52167</v>
      </c>
      <c r="C870" s="4">
        <v>51912</v>
      </c>
      <c r="D870" s="4">
        <v>52450</v>
      </c>
      <c r="E870" s="4">
        <v>51711</v>
      </c>
      <c r="F870" s="4" t="str">
        <v>14.87K</v>
      </c>
      <c r="G870" s="4" t="str">
        <v>0.22%</v>
      </c>
      <c r="H870" s="3">
        <v>44141</v>
      </c>
      <c r="I870" s="4">
        <v>52080.5</v>
      </c>
    </row>
    <row r="871" spans="1:9" x14ac:dyDescent="0.25">
      <c r="A871" s="3">
        <v>44140</v>
      </c>
      <c r="B871" s="4">
        <v>52055</v>
      </c>
      <c r="C871" s="4">
        <v>51231</v>
      </c>
      <c r="D871" s="4">
        <v>52176</v>
      </c>
      <c r="E871" s="4">
        <v>51161</v>
      </c>
      <c r="F871" s="4" t="str">
        <v>13.98K</v>
      </c>
      <c r="G871" s="4" t="str">
        <v>2.43%</v>
      </c>
      <c r="H871" s="3">
        <v>44140</v>
      </c>
      <c r="I871" s="4">
        <v>51668.5</v>
      </c>
    </row>
    <row r="872" spans="1:9" x14ac:dyDescent="0.25">
      <c r="A872" s="3">
        <v>44139</v>
      </c>
      <c r="B872" s="4">
        <v>50820</v>
      </c>
      <c r="C872" s="4">
        <v>51320</v>
      </c>
      <c r="D872" s="4">
        <v>51465</v>
      </c>
      <c r="E872" s="4">
        <v>50773</v>
      </c>
      <c r="F872" s="4" t="str">
        <v>14.82K</v>
      </c>
      <c r="G872" s="4" t="str">
        <v>-1.51%</v>
      </c>
      <c r="H872" s="3">
        <v>44139</v>
      </c>
      <c r="I872" s="4">
        <v>51119</v>
      </c>
    </row>
    <row r="873" spans="1:9" x14ac:dyDescent="0.25">
      <c r="A873" s="3">
        <v>44138</v>
      </c>
      <c r="B873" s="4">
        <v>51598</v>
      </c>
      <c r="C873" s="4">
        <v>50950</v>
      </c>
      <c r="D873" s="4">
        <v>51630</v>
      </c>
      <c r="E873" s="4">
        <v>50789</v>
      </c>
      <c r="F873" s="4" t="str">
        <v>10.88K</v>
      </c>
      <c r="G873" s="4" t="str">
        <v>1.04%</v>
      </c>
      <c r="H873" s="3">
        <v>44138</v>
      </c>
      <c r="I873" s="4">
        <v>51209.5</v>
      </c>
    </row>
    <row r="874" spans="1:9" x14ac:dyDescent="0.25">
      <c r="A874" s="3">
        <v>44137</v>
      </c>
      <c r="B874" s="4">
        <v>51067</v>
      </c>
      <c r="C874" s="4">
        <v>50777</v>
      </c>
      <c r="D874" s="4">
        <v>51099</v>
      </c>
      <c r="E874" s="4">
        <v>50612</v>
      </c>
      <c r="F874" s="4" t="str">
        <v>9.51K</v>
      </c>
      <c r="G874" s="4" t="str">
        <v>0.73%</v>
      </c>
      <c r="H874" s="3">
        <v>44137</v>
      </c>
      <c r="I874" s="4">
        <v>50855.5</v>
      </c>
    </row>
    <row r="875" spans="1:9" x14ac:dyDescent="0.25">
      <c r="A875" s="3">
        <v>44134</v>
      </c>
      <c r="B875" s="4">
        <v>50699</v>
      </c>
      <c r="C875" s="4">
        <v>50465</v>
      </c>
      <c r="D875" s="4">
        <v>50870</v>
      </c>
      <c r="E875" s="4">
        <v>50353</v>
      </c>
      <c r="F875" s="4" t="str">
        <v>10.54K</v>
      </c>
      <c r="G875" s="4" t="str">
        <v>0.83%</v>
      </c>
      <c r="H875" s="3">
        <v>44134</v>
      </c>
      <c r="I875" s="4">
        <v>50611.5</v>
      </c>
    </row>
    <row r="876" spans="1:9" x14ac:dyDescent="0.25">
      <c r="A876" s="3">
        <v>44133</v>
      </c>
      <c r="B876" s="4">
        <v>50282</v>
      </c>
      <c r="C876" s="4">
        <v>50446</v>
      </c>
      <c r="D876" s="4">
        <v>50617</v>
      </c>
      <c r="E876" s="4">
        <v>50070</v>
      </c>
      <c r="F876" s="4" t="str">
        <v>13.33K</v>
      </c>
      <c r="G876" s="4" t="str">
        <v>-0.42%</v>
      </c>
      <c r="H876" s="3">
        <v>44133</v>
      </c>
      <c r="I876" s="4">
        <v>50343.5</v>
      </c>
    </row>
    <row r="877" spans="1:9" x14ac:dyDescent="0.25">
      <c r="A877" s="3">
        <v>44132</v>
      </c>
      <c r="B877" s="4">
        <v>50495</v>
      </c>
      <c r="C877" s="4">
        <v>51065</v>
      </c>
      <c r="D877" s="4">
        <v>51065</v>
      </c>
      <c r="E877" s="4">
        <v>50230</v>
      </c>
      <c r="F877" s="4" t="str">
        <v>14.73K</v>
      </c>
      <c r="G877" s="4" t="str">
        <v>-0.91%</v>
      </c>
      <c r="H877" s="3">
        <v>44132</v>
      </c>
      <c r="I877" s="4">
        <v>50647.5</v>
      </c>
    </row>
    <row r="878" spans="1:9" x14ac:dyDescent="0.25">
      <c r="A878" s="3">
        <v>44131</v>
      </c>
      <c r="B878" s="4">
        <v>50961</v>
      </c>
      <c r="C878" s="4">
        <v>51065</v>
      </c>
      <c r="D878" s="4">
        <v>51114</v>
      </c>
      <c r="E878" s="4">
        <v>50704</v>
      </c>
      <c r="F878" s="4" t="str">
        <v>11.06K</v>
      </c>
      <c r="G878" s="4" t="str">
        <v>0.06%</v>
      </c>
      <c r="H878" s="3">
        <v>44131</v>
      </c>
      <c r="I878" s="4">
        <v>50909</v>
      </c>
    </row>
    <row r="879" spans="1:9" x14ac:dyDescent="0.25">
      <c r="A879" s="3">
        <v>44130</v>
      </c>
      <c r="B879" s="4">
        <v>50930</v>
      </c>
      <c r="C879" s="4">
        <v>50690</v>
      </c>
      <c r="D879" s="4">
        <v>51125</v>
      </c>
      <c r="E879" s="4">
        <v>50552</v>
      </c>
      <c r="F879" s="4" t="str">
        <v>11.40K</v>
      </c>
      <c r="G879" s="4" t="str">
        <v>0.18%</v>
      </c>
      <c r="H879" s="3">
        <v>44130</v>
      </c>
      <c r="I879" s="4">
        <v>50838.5</v>
      </c>
    </row>
    <row r="880" spans="1:9" x14ac:dyDescent="0.25">
      <c r="A880" s="3">
        <v>44127</v>
      </c>
      <c r="B880" s="4">
        <v>50839</v>
      </c>
      <c r="C880" s="4">
        <v>50865</v>
      </c>
      <c r="D880" s="4">
        <v>51040</v>
      </c>
      <c r="E880" s="4">
        <v>50643</v>
      </c>
      <c r="F880" s="4" t="str">
        <v>10.62K</v>
      </c>
      <c r="G880" s="4" t="str">
        <v>0.14%</v>
      </c>
      <c r="H880" s="3">
        <v>44127</v>
      </c>
      <c r="I880" s="4">
        <v>50841.5</v>
      </c>
    </row>
    <row r="881" spans="1:9" x14ac:dyDescent="0.25">
      <c r="A881" s="3">
        <v>44126</v>
      </c>
      <c r="B881" s="4">
        <v>50766</v>
      </c>
      <c r="C881" s="4">
        <v>51199</v>
      </c>
      <c r="D881" s="4">
        <v>51199</v>
      </c>
      <c r="E881" s="4">
        <v>50535</v>
      </c>
      <c r="F881" s="4" t="str">
        <v>11.85K</v>
      </c>
      <c r="G881" s="4" t="str">
        <v>-1.10%</v>
      </c>
      <c r="H881" s="3">
        <v>44126</v>
      </c>
      <c r="I881" s="4">
        <v>50867</v>
      </c>
    </row>
    <row r="882" spans="1:9" x14ac:dyDescent="0.25">
      <c r="A882" s="3">
        <v>44125</v>
      </c>
      <c r="B882" s="4">
        <v>51333</v>
      </c>
      <c r="C882" s="4">
        <v>50950</v>
      </c>
      <c r="D882" s="4">
        <v>51454</v>
      </c>
      <c r="E882" s="4">
        <v>50915</v>
      </c>
      <c r="F882" s="4" t="str">
        <v>13.37K</v>
      </c>
      <c r="G882" s="4" t="str">
        <v>0.83%</v>
      </c>
      <c r="H882" s="3">
        <v>44125</v>
      </c>
      <c r="I882" s="4">
        <v>51184.5</v>
      </c>
    </row>
    <row r="883" spans="1:9" x14ac:dyDescent="0.25">
      <c r="A883" s="3">
        <v>44124</v>
      </c>
      <c r="B883" s="4">
        <v>50910</v>
      </c>
      <c r="C883" s="4">
        <v>50600</v>
      </c>
      <c r="D883" s="4">
        <v>50940</v>
      </c>
      <c r="E883" s="4">
        <v>50491</v>
      </c>
      <c r="F883" s="4" t="str">
        <v>11.14K</v>
      </c>
      <c r="G883" s="4" t="str">
        <v>0.44%</v>
      </c>
      <c r="H883" s="3">
        <v>44124</v>
      </c>
      <c r="I883" s="4">
        <v>50715.5</v>
      </c>
    </row>
    <row r="884" spans="1:9" x14ac:dyDescent="0.25">
      <c r="A884" s="3">
        <v>44123</v>
      </c>
      <c r="B884" s="4">
        <v>50687</v>
      </c>
      <c r="C884" s="4">
        <v>50552</v>
      </c>
      <c r="D884" s="4">
        <v>50940</v>
      </c>
      <c r="E884" s="4">
        <v>50437</v>
      </c>
      <c r="F884" s="4" t="str">
        <v>9.82K</v>
      </c>
      <c r="G884" s="4" t="str">
        <v>0.28%</v>
      </c>
      <c r="H884" s="3">
        <v>44123</v>
      </c>
      <c r="I884" s="4">
        <v>50688.5</v>
      </c>
    </row>
    <row r="885" spans="1:9" x14ac:dyDescent="0.25">
      <c r="A885" s="3">
        <v>44120</v>
      </c>
      <c r="B885" s="4">
        <v>50547</v>
      </c>
      <c r="C885" s="4">
        <v>50586</v>
      </c>
      <c r="D885" s="4">
        <v>50813</v>
      </c>
      <c r="E885" s="4">
        <v>50452</v>
      </c>
      <c r="F885" s="4" t="str">
        <v>8.89K</v>
      </c>
      <c r="G885" s="4" t="str">
        <v>-0.33%</v>
      </c>
      <c r="H885" s="3">
        <v>44120</v>
      </c>
      <c r="I885" s="4">
        <v>50632.5</v>
      </c>
    </row>
    <row r="886" spans="1:9" x14ac:dyDescent="0.25">
      <c r="A886" s="3">
        <v>44119</v>
      </c>
      <c r="B886" s="4">
        <v>50712</v>
      </c>
      <c r="C886" s="4">
        <v>50314</v>
      </c>
      <c r="D886" s="4">
        <v>50749</v>
      </c>
      <c r="E886" s="4">
        <v>50280</v>
      </c>
      <c r="F886" s="4" t="str">
        <v>12.14K</v>
      </c>
      <c r="G886" s="4" t="str">
        <v>0.34%</v>
      </c>
      <c r="H886" s="3">
        <v>44119</v>
      </c>
      <c r="I886" s="4">
        <v>50514.5</v>
      </c>
    </row>
    <row r="887" spans="1:9" x14ac:dyDescent="0.25">
      <c r="A887" s="3">
        <v>44118</v>
      </c>
      <c r="B887" s="4">
        <v>50542</v>
      </c>
      <c r="C887" s="4">
        <v>50369</v>
      </c>
      <c r="D887" s="4">
        <v>50740</v>
      </c>
      <c r="E887" s="4">
        <v>50270</v>
      </c>
      <c r="F887" s="4" t="str">
        <v>10.79K</v>
      </c>
      <c r="G887" s="4" t="str">
        <v>0.59%</v>
      </c>
      <c r="H887" s="3">
        <v>44118</v>
      </c>
      <c r="I887" s="4">
        <v>50505</v>
      </c>
    </row>
    <row r="888" spans="1:9" x14ac:dyDescent="0.25">
      <c r="A888" s="3">
        <v>44117</v>
      </c>
      <c r="B888" s="4">
        <v>50245</v>
      </c>
      <c r="C888" s="4">
        <v>50870</v>
      </c>
      <c r="D888" s="4">
        <v>51078</v>
      </c>
      <c r="E888" s="4">
        <v>50110</v>
      </c>
      <c r="F888" s="4" t="str">
        <v>14.10K</v>
      </c>
      <c r="G888" s="4" t="str">
        <v>-1.69%</v>
      </c>
      <c r="H888" s="3">
        <v>44117</v>
      </c>
      <c r="I888" s="4">
        <v>50594</v>
      </c>
    </row>
    <row r="889" spans="1:9" x14ac:dyDescent="0.25">
      <c r="A889" s="3">
        <v>44116</v>
      </c>
      <c r="B889" s="4">
        <v>51107</v>
      </c>
      <c r="C889" s="4">
        <v>50940</v>
      </c>
      <c r="D889" s="4">
        <v>51184</v>
      </c>
      <c r="E889" s="4">
        <v>50830</v>
      </c>
      <c r="F889" s="4" t="str">
        <v>8.54K</v>
      </c>
      <c r="G889" s="4" t="str">
        <v>0.57%</v>
      </c>
      <c r="H889" s="3">
        <v>44116</v>
      </c>
      <c r="I889" s="4">
        <v>51007</v>
      </c>
    </row>
    <row r="890" spans="1:9" x14ac:dyDescent="0.25">
      <c r="A890" s="3">
        <v>44113</v>
      </c>
      <c r="B890" s="4">
        <v>50817</v>
      </c>
      <c r="C890" s="4">
        <v>50300</v>
      </c>
      <c r="D890" s="4">
        <v>50970</v>
      </c>
      <c r="E890" s="4">
        <v>50300</v>
      </c>
      <c r="F890" s="4" t="str">
        <v>11.95K</v>
      </c>
      <c r="G890" s="4" t="str">
        <v>1.28%</v>
      </c>
      <c r="H890" s="3">
        <v>44113</v>
      </c>
      <c r="I890" s="4">
        <v>50635</v>
      </c>
    </row>
    <row r="891" spans="1:9" x14ac:dyDescent="0.25">
      <c r="A891" s="3">
        <v>44112</v>
      </c>
      <c r="B891" s="4">
        <v>50175</v>
      </c>
      <c r="C891" s="4">
        <v>49972</v>
      </c>
      <c r="D891" s="4">
        <v>50399</v>
      </c>
      <c r="E891" s="4">
        <v>49924</v>
      </c>
      <c r="F891" s="4" t="str">
        <v>10.97K</v>
      </c>
      <c r="G891" s="4" t="str">
        <v>0.25%</v>
      </c>
      <c r="H891" s="3">
        <v>44112</v>
      </c>
      <c r="I891" s="4">
        <v>50161.5</v>
      </c>
    </row>
    <row r="892" spans="1:9" x14ac:dyDescent="0.25">
      <c r="A892" s="3">
        <v>44111</v>
      </c>
      <c r="B892" s="4">
        <v>50048</v>
      </c>
      <c r="C892" s="4">
        <v>50270</v>
      </c>
      <c r="D892" s="4">
        <v>50361</v>
      </c>
      <c r="E892" s="4">
        <v>49880</v>
      </c>
      <c r="F892" s="4" t="str">
        <v>12.47K</v>
      </c>
      <c r="G892" s="4" t="str">
        <v>-0.95%</v>
      </c>
      <c r="H892" s="3">
        <v>44111</v>
      </c>
      <c r="I892" s="4">
        <v>50120.5</v>
      </c>
    </row>
    <row r="893" spans="1:9" x14ac:dyDescent="0.25">
      <c r="A893" s="3">
        <v>44110</v>
      </c>
      <c r="B893" s="4">
        <v>50526</v>
      </c>
      <c r="C893" s="4">
        <v>50468</v>
      </c>
      <c r="D893" s="4">
        <v>50982</v>
      </c>
      <c r="E893" s="4">
        <v>50445</v>
      </c>
      <c r="F893" s="4" t="str">
        <v>11.18K</v>
      </c>
      <c r="G893" s="4" t="str">
        <v>0.74%</v>
      </c>
      <c r="H893" s="3">
        <v>44110</v>
      </c>
      <c r="I893" s="4">
        <v>50713.5</v>
      </c>
    </row>
    <row r="894" spans="1:9" x14ac:dyDescent="0.25">
      <c r="A894" s="3">
        <v>44109</v>
      </c>
      <c r="B894" s="4">
        <v>50157</v>
      </c>
      <c r="C894" s="4">
        <v>50600</v>
      </c>
      <c r="D894" s="4">
        <v>50600</v>
      </c>
      <c r="E894" s="4">
        <v>50100</v>
      </c>
      <c r="F894" s="4" t="str">
        <v>0.02K</v>
      </c>
      <c r="G894" s="4" t="str">
        <v>-0.62%</v>
      </c>
      <c r="H894" s="3">
        <v>44109</v>
      </c>
      <c r="I894" s="4">
        <v>50350</v>
      </c>
    </row>
    <row r="895" spans="1:9" x14ac:dyDescent="0.25">
      <c r="A895" s="3">
        <v>44105</v>
      </c>
      <c r="B895" s="4">
        <v>50470</v>
      </c>
      <c r="C895" s="4">
        <v>50400</v>
      </c>
      <c r="D895" s="4">
        <v>50940</v>
      </c>
      <c r="E895" s="4">
        <v>50300</v>
      </c>
      <c r="F895" s="4" t="str">
        <v>0.01K</v>
      </c>
      <c r="G895" s="4" t="str">
        <v>0.13%</v>
      </c>
      <c r="H895" s="3">
        <v>44105</v>
      </c>
      <c r="I895" s="4">
        <v>50620</v>
      </c>
    </row>
    <row r="896" spans="1:9" x14ac:dyDescent="0.25">
      <c r="A896" s="3">
        <v>44104</v>
      </c>
      <c r="B896" s="4">
        <v>50404</v>
      </c>
      <c r="C896" s="4">
        <v>50559</v>
      </c>
      <c r="D896" s="4">
        <v>50860</v>
      </c>
      <c r="E896" s="4">
        <v>50150</v>
      </c>
      <c r="F896" s="4" t="str">
        <v>0.11K</v>
      </c>
      <c r="G896" s="4" t="str">
        <v>-0.55%</v>
      </c>
      <c r="H896" s="3">
        <v>44104</v>
      </c>
      <c r="I896" s="4">
        <v>50505</v>
      </c>
    </row>
    <row r="897" spans="1:9" x14ac:dyDescent="0.25">
      <c r="A897" s="3">
        <v>44103</v>
      </c>
      <c r="B897" s="4">
        <v>50681</v>
      </c>
      <c r="C897" s="4">
        <v>50194</v>
      </c>
      <c r="D897" s="4">
        <v>50739</v>
      </c>
      <c r="E897" s="4">
        <v>50059</v>
      </c>
      <c r="F897" s="4" t="str">
        <v>0.68K</v>
      </c>
      <c r="G897" s="4" t="str">
        <v>1.09%</v>
      </c>
      <c r="H897" s="3">
        <v>44103</v>
      </c>
      <c r="I897" s="4">
        <v>50399</v>
      </c>
    </row>
    <row r="898" spans="1:9" x14ac:dyDescent="0.25">
      <c r="A898" s="3">
        <v>44102</v>
      </c>
      <c r="B898" s="4">
        <v>50133</v>
      </c>
      <c r="C898" s="4">
        <v>49474</v>
      </c>
      <c r="D898" s="4">
        <v>50197</v>
      </c>
      <c r="E898" s="4">
        <v>49315</v>
      </c>
      <c r="F898" s="4" t="str">
        <v>5.68K</v>
      </c>
      <c r="G898" s="4" t="str">
        <v>0.95%</v>
      </c>
      <c r="H898" s="3">
        <v>44102</v>
      </c>
      <c r="I898" s="4">
        <v>49756</v>
      </c>
    </row>
    <row r="899" spans="1:9" x14ac:dyDescent="0.25">
      <c r="A899" s="3">
        <v>44099</v>
      </c>
      <c r="B899" s="4">
        <v>49659</v>
      </c>
      <c r="C899" s="4">
        <v>49826</v>
      </c>
      <c r="D899" s="4">
        <v>49900</v>
      </c>
      <c r="E899" s="4">
        <v>49380</v>
      </c>
      <c r="F899" s="4" t="str">
        <v>10.62K</v>
      </c>
      <c r="G899" s="4" t="str">
        <v>-0.49%</v>
      </c>
      <c r="H899" s="3">
        <v>44099</v>
      </c>
      <c r="I899" s="4">
        <v>49640</v>
      </c>
    </row>
    <row r="900" spans="1:9" x14ac:dyDescent="0.25">
      <c r="A900" s="3">
        <v>44098</v>
      </c>
      <c r="B900" s="4">
        <v>49904</v>
      </c>
      <c r="C900" s="4">
        <v>49400</v>
      </c>
      <c r="D900" s="4">
        <v>50050</v>
      </c>
      <c r="E900" s="4">
        <v>49248</v>
      </c>
      <c r="F900" s="4" t="str">
        <v>15.56K</v>
      </c>
      <c r="G900" s="4" t="str">
        <v>0.80%</v>
      </c>
      <c r="H900" s="3">
        <v>44098</v>
      </c>
      <c r="I900" s="4">
        <v>49649</v>
      </c>
    </row>
    <row r="901" spans="1:9" x14ac:dyDescent="0.25">
      <c r="A901" s="3">
        <v>44097</v>
      </c>
      <c r="B901" s="4">
        <v>49508</v>
      </c>
      <c r="C901" s="4">
        <v>50380</v>
      </c>
      <c r="D901" s="4">
        <v>50380</v>
      </c>
      <c r="E901" s="4">
        <v>49444</v>
      </c>
      <c r="F901" s="4" t="str">
        <v>17.93K</v>
      </c>
      <c r="G901" s="4" t="str">
        <v>-1.73%</v>
      </c>
      <c r="H901" s="3">
        <v>44097</v>
      </c>
      <c r="I901" s="4">
        <v>49912</v>
      </c>
    </row>
    <row r="902" spans="1:9" x14ac:dyDescent="0.25">
      <c r="A902" s="3">
        <v>44096</v>
      </c>
      <c r="B902" s="4">
        <v>50381</v>
      </c>
      <c r="C902" s="4">
        <v>50560</v>
      </c>
      <c r="D902" s="4">
        <v>50686</v>
      </c>
      <c r="E902" s="4">
        <v>50129</v>
      </c>
      <c r="F902" s="4" t="str">
        <v>12.78K</v>
      </c>
      <c r="G902" s="4" t="str">
        <v>-0.18%</v>
      </c>
      <c r="H902" s="3">
        <v>44096</v>
      </c>
      <c r="I902" s="4">
        <v>50407.5</v>
      </c>
    </row>
    <row r="903" spans="1:9" x14ac:dyDescent="0.25">
      <c r="A903" s="3">
        <v>44095</v>
      </c>
      <c r="B903" s="4">
        <v>50471</v>
      </c>
      <c r="C903" s="4">
        <v>51650</v>
      </c>
      <c r="D903" s="4">
        <v>51650</v>
      </c>
      <c r="E903" s="4">
        <v>49815</v>
      </c>
      <c r="F903" s="4" t="str">
        <v>19.07K</v>
      </c>
      <c r="G903" s="4" t="str">
        <v>-2.41%</v>
      </c>
      <c r="H903" s="3">
        <v>44095</v>
      </c>
      <c r="I903" s="4">
        <v>50732.5</v>
      </c>
    </row>
    <row r="904" spans="1:9" x14ac:dyDescent="0.25">
      <c r="A904" s="3">
        <v>44092</v>
      </c>
      <c r="B904" s="4">
        <v>51715</v>
      </c>
      <c r="C904" s="4">
        <v>51559</v>
      </c>
      <c r="D904" s="4">
        <v>51849</v>
      </c>
      <c r="E904" s="4">
        <v>51453</v>
      </c>
      <c r="F904" s="4" t="str">
        <v>10.02K</v>
      </c>
      <c r="G904" s="4" t="str">
        <v>0.51%</v>
      </c>
      <c r="H904" s="3">
        <v>44092</v>
      </c>
      <c r="I904" s="4">
        <v>51651</v>
      </c>
    </row>
    <row r="905" spans="1:9" x14ac:dyDescent="0.25">
      <c r="A905" s="3">
        <v>44091</v>
      </c>
      <c r="B905" s="4">
        <v>51453</v>
      </c>
      <c r="C905" s="4">
        <v>51710</v>
      </c>
      <c r="D905" s="4">
        <v>51710</v>
      </c>
      <c r="E905" s="4">
        <v>51181</v>
      </c>
      <c r="F905" s="4" t="str">
        <v>12.78K</v>
      </c>
      <c r="G905" s="4" t="str">
        <v>-0.72%</v>
      </c>
      <c r="H905" s="3">
        <v>44091</v>
      </c>
      <c r="I905" s="4">
        <v>51445.5</v>
      </c>
    </row>
    <row r="906" spans="1:9" x14ac:dyDescent="0.25">
      <c r="A906" s="3">
        <v>44090</v>
      </c>
      <c r="B906" s="4">
        <v>51824</v>
      </c>
      <c r="C906" s="4">
        <v>51839</v>
      </c>
      <c r="D906" s="4">
        <v>52127</v>
      </c>
      <c r="E906" s="4">
        <v>51750</v>
      </c>
      <c r="F906" s="4" t="str">
        <v>11.40K</v>
      </c>
      <c r="G906" s="4" t="str">
        <v>0.11%</v>
      </c>
      <c r="H906" s="3">
        <v>44090</v>
      </c>
      <c r="I906" s="4">
        <v>51938.5</v>
      </c>
    </row>
    <row r="907" spans="1:9" x14ac:dyDescent="0.25">
      <c r="A907" s="3">
        <v>44089</v>
      </c>
      <c r="B907" s="4">
        <v>51769</v>
      </c>
      <c r="C907" s="4">
        <v>51850</v>
      </c>
      <c r="D907" s="4">
        <v>52182</v>
      </c>
      <c r="E907" s="4">
        <v>51561</v>
      </c>
      <c r="F907" s="4" t="str">
        <v>12.38K</v>
      </c>
      <c r="G907" s="4" t="str">
        <v>0.16%</v>
      </c>
      <c r="H907" s="3">
        <v>44089</v>
      </c>
      <c r="I907" s="4">
        <v>51871.5</v>
      </c>
    </row>
    <row r="908" spans="1:9" x14ac:dyDescent="0.25">
      <c r="A908" s="3">
        <v>44088</v>
      </c>
      <c r="B908" s="4">
        <v>51687</v>
      </c>
      <c r="C908" s="4">
        <v>51599</v>
      </c>
      <c r="D908" s="4">
        <v>51847</v>
      </c>
      <c r="E908" s="4">
        <v>51334</v>
      </c>
      <c r="F908" s="4" t="str">
        <v>10.65K</v>
      </c>
      <c r="G908" s="4" t="str">
        <v>0.72%</v>
      </c>
      <c r="H908" s="3">
        <v>44088</v>
      </c>
      <c r="I908" s="4">
        <v>51590.5</v>
      </c>
    </row>
    <row r="909" spans="1:9" x14ac:dyDescent="0.25">
      <c r="A909" s="3">
        <v>44085</v>
      </c>
      <c r="B909" s="4">
        <v>51319</v>
      </c>
      <c r="C909" s="4">
        <v>51431</v>
      </c>
      <c r="D909" s="4">
        <v>51684</v>
      </c>
      <c r="E909" s="4">
        <v>51224</v>
      </c>
      <c r="F909" s="4" t="str">
        <v>9.56K</v>
      </c>
      <c r="G909" s="4" t="str">
        <v>-0.88%</v>
      </c>
      <c r="H909" s="3">
        <v>44085</v>
      </c>
      <c r="I909" s="4">
        <v>51454</v>
      </c>
    </row>
    <row r="910" spans="1:9" x14ac:dyDescent="0.25">
      <c r="A910" s="3">
        <v>44084</v>
      </c>
      <c r="B910" s="4">
        <v>51774</v>
      </c>
      <c r="C910" s="4">
        <v>51430</v>
      </c>
      <c r="D910" s="4">
        <v>51851</v>
      </c>
      <c r="E910" s="4">
        <v>51242</v>
      </c>
      <c r="F910" s="4" t="str">
        <v>10.82K</v>
      </c>
      <c r="G910" s="4" t="str">
        <v>0.72%</v>
      </c>
      <c r="H910" s="3">
        <v>44084</v>
      </c>
      <c r="I910" s="4">
        <v>51546.5</v>
      </c>
    </row>
    <row r="911" spans="1:9" x14ac:dyDescent="0.25">
      <c r="A911" s="3">
        <v>44083</v>
      </c>
      <c r="B911" s="4">
        <v>51402</v>
      </c>
      <c r="C911" s="4">
        <v>51165</v>
      </c>
      <c r="D911" s="4">
        <v>51480</v>
      </c>
      <c r="E911" s="4">
        <v>50872</v>
      </c>
      <c r="F911" s="4" t="str">
        <v>12.11K</v>
      </c>
      <c r="G911" s="4" t="str">
        <v>0.10%</v>
      </c>
      <c r="H911" s="3">
        <v>44083</v>
      </c>
      <c r="I911" s="4">
        <v>51176</v>
      </c>
    </row>
    <row r="912" spans="1:9" x14ac:dyDescent="0.25">
      <c r="A912" s="3">
        <v>44082</v>
      </c>
      <c r="B912" s="4">
        <v>51353</v>
      </c>
      <c r="C912" s="4">
        <v>50800</v>
      </c>
      <c r="D912" s="4">
        <v>51406</v>
      </c>
      <c r="E912" s="4">
        <v>50629</v>
      </c>
      <c r="F912" s="4" t="str">
        <v>14.83K</v>
      </c>
      <c r="G912" s="4" t="str">
        <v>0.56%</v>
      </c>
      <c r="H912" s="3">
        <v>44082</v>
      </c>
      <c r="I912" s="4">
        <v>51017.5</v>
      </c>
    </row>
    <row r="913" spans="1:9" x14ac:dyDescent="0.25">
      <c r="A913" s="3">
        <v>44081</v>
      </c>
      <c r="B913" s="4">
        <v>51065</v>
      </c>
      <c r="C913" s="4">
        <v>50801</v>
      </c>
      <c r="D913" s="4">
        <v>51200</v>
      </c>
      <c r="E913" s="4">
        <v>50680</v>
      </c>
      <c r="F913" s="4" t="str">
        <v>6.72K</v>
      </c>
      <c r="G913" s="4" t="str">
        <v>0.76%</v>
      </c>
      <c r="H913" s="3">
        <v>44081</v>
      </c>
      <c r="I913" s="4">
        <v>50940</v>
      </c>
    </row>
    <row r="914" spans="1:9" x14ac:dyDescent="0.25">
      <c r="A914" s="3">
        <v>44078</v>
      </c>
      <c r="B914" s="4">
        <v>50678</v>
      </c>
      <c r="C914" s="4">
        <v>50865</v>
      </c>
      <c r="D914" s="4">
        <v>51082</v>
      </c>
      <c r="E914" s="4">
        <v>50362</v>
      </c>
      <c r="F914" s="4" t="str">
        <v>13.11K</v>
      </c>
      <c r="G914" s="4" t="str">
        <v>-0.13%</v>
      </c>
      <c r="H914" s="3">
        <v>44078</v>
      </c>
      <c r="I914" s="4">
        <v>50722</v>
      </c>
    </row>
    <row r="915" spans="1:9" x14ac:dyDescent="0.25">
      <c r="A915" s="3">
        <v>44077</v>
      </c>
      <c r="B915" s="4">
        <v>50742</v>
      </c>
      <c r="C915" s="4">
        <v>50964</v>
      </c>
      <c r="D915" s="4">
        <v>51068</v>
      </c>
      <c r="E915" s="4">
        <v>50500</v>
      </c>
      <c r="F915" s="4" t="str">
        <v>14.34K</v>
      </c>
      <c r="G915" s="4" t="str">
        <v>-0.16%</v>
      </c>
      <c r="H915" s="3">
        <v>44077</v>
      </c>
      <c r="I915" s="4">
        <v>50784</v>
      </c>
    </row>
    <row r="916" spans="1:9" x14ac:dyDescent="0.25">
      <c r="A916" s="3">
        <v>44076</v>
      </c>
      <c r="B916" s="4">
        <v>50821</v>
      </c>
      <c r="C916" s="4">
        <v>51449</v>
      </c>
      <c r="D916" s="4">
        <v>51555</v>
      </c>
      <c r="E916" s="4">
        <v>50696</v>
      </c>
      <c r="F916" s="4" t="str">
        <v>14.49K</v>
      </c>
      <c r="G916" s="4" t="str">
        <v>-1.32%</v>
      </c>
      <c r="H916" s="3">
        <v>44076</v>
      </c>
      <c r="I916" s="4">
        <v>51125.5</v>
      </c>
    </row>
    <row r="917" spans="1:9" x14ac:dyDescent="0.25">
      <c r="A917" s="3">
        <v>44075</v>
      </c>
      <c r="B917" s="4">
        <v>51502</v>
      </c>
      <c r="C917" s="4">
        <v>52000</v>
      </c>
      <c r="D917" s="4">
        <v>52100</v>
      </c>
      <c r="E917" s="4">
        <v>51303</v>
      </c>
      <c r="F917" s="4" t="str">
        <v>11.76K</v>
      </c>
      <c r="G917" s="4" t="str">
        <v>-0.38%</v>
      </c>
      <c r="H917" s="3">
        <v>44075</v>
      </c>
      <c r="I917" s="4">
        <v>51701.5</v>
      </c>
    </row>
    <row r="918" spans="1:9" x14ac:dyDescent="0.25">
      <c r="A918" s="3">
        <v>44074</v>
      </c>
      <c r="B918" s="4">
        <v>51701</v>
      </c>
      <c r="C918" s="4">
        <v>51540</v>
      </c>
      <c r="D918" s="4">
        <v>51875</v>
      </c>
      <c r="E918" s="4">
        <v>51460</v>
      </c>
      <c r="F918" s="4" t="str">
        <v>13.26K</v>
      </c>
      <c r="G918" s="4" t="str">
        <v>0.49%</v>
      </c>
      <c r="H918" s="3">
        <v>44074</v>
      </c>
      <c r="I918" s="4">
        <v>51667.5</v>
      </c>
    </row>
    <row r="919" spans="1:9" x14ac:dyDescent="0.25">
      <c r="A919" s="3">
        <v>44071</v>
      </c>
      <c r="B919" s="4">
        <v>51448</v>
      </c>
      <c r="C919" s="4">
        <v>50890</v>
      </c>
      <c r="D919" s="4">
        <v>51750</v>
      </c>
      <c r="E919" s="4">
        <v>50890</v>
      </c>
      <c r="F919" s="4" t="str">
        <v>16.28K</v>
      </c>
      <c r="G919" s="4" t="str">
        <v>1.07%</v>
      </c>
      <c r="H919" s="3">
        <v>44071</v>
      </c>
      <c r="I919" s="4">
        <v>51320</v>
      </c>
    </row>
    <row r="920" spans="1:9" x14ac:dyDescent="0.25">
      <c r="A920" s="3">
        <v>44070</v>
      </c>
      <c r="B920" s="4">
        <v>50902</v>
      </c>
      <c r="C920" s="4">
        <v>51601</v>
      </c>
      <c r="D920" s="4">
        <v>52160</v>
      </c>
      <c r="E920" s="4">
        <v>50533</v>
      </c>
      <c r="F920" s="4" t="str">
        <v>21.22K</v>
      </c>
      <c r="G920" s="4" t="str">
        <v>-1.69%</v>
      </c>
      <c r="H920" s="3">
        <v>44070</v>
      </c>
      <c r="I920" s="4">
        <v>51346.5</v>
      </c>
    </row>
    <row r="921" spans="1:9" x14ac:dyDescent="0.25">
      <c r="A921" s="3">
        <v>44069</v>
      </c>
      <c r="B921" s="4">
        <v>51779</v>
      </c>
      <c r="C921" s="4">
        <v>51165</v>
      </c>
      <c r="D921" s="4">
        <v>51876</v>
      </c>
      <c r="E921" s="4">
        <v>50551</v>
      </c>
      <c r="F921" s="4" t="str">
        <v>16.33K</v>
      </c>
      <c r="G921" s="4" t="str">
        <v>1.68%</v>
      </c>
      <c r="H921" s="3">
        <v>44069</v>
      </c>
      <c r="I921" s="4">
        <v>51213.5</v>
      </c>
    </row>
    <row r="922" spans="1:9" x14ac:dyDescent="0.25">
      <c r="A922" s="3">
        <v>44068</v>
      </c>
      <c r="B922" s="4">
        <v>50924</v>
      </c>
      <c r="C922" s="4">
        <v>51350</v>
      </c>
      <c r="D922" s="4">
        <v>51533</v>
      </c>
      <c r="E922" s="4">
        <v>50820</v>
      </c>
      <c r="F922" s="4" t="str">
        <v>12.49K</v>
      </c>
      <c r="G922" s="4" t="str">
        <v>-0.67%</v>
      </c>
      <c r="H922" s="3">
        <v>44068</v>
      </c>
      <c r="I922" s="4">
        <v>51176.5</v>
      </c>
    </row>
    <row r="923" spans="1:9" x14ac:dyDescent="0.25">
      <c r="A923" s="3">
        <v>44067</v>
      </c>
      <c r="B923" s="4">
        <v>51269</v>
      </c>
      <c r="C923" s="4">
        <v>51860</v>
      </c>
      <c r="D923" s="4">
        <v>52232</v>
      </c>
      <c r="E923" s="4">
        <v>51160</v>
      </c>
      <c r="F923" s="4" t="str">
        <v>13.93K</v>
      </c>
      <c r="G923" s="4" t="str">
        <v>-1.44%</v>
      </c>
      <c r="H923" s="3">
        <v>44067</v>
      </c>
      <c r="I923" s="4">
        <v>51696</v>
      </c>
    </row>
    <row r="924" spans="1:9" x14ac:dyDescent="0.25">
      <c r="A924" s="3">
        <v>44064</v>
      </c>
      <c r="B924" s="4">
        <v>52016</v>
      </c>
      <c r="C924" s="4">
        <v>52160</v>
      </c>
      <c r="D924" s="4">
        <v>52409</v>
      </c>
      <c r="E924" s="4">
        <v>51239</v>
      </c>
      <c r="F924" s="4" t="str">
        <v>16.22K</v>
      </c>
      <c r="G924" s="4" t="str">
        <v>-0.26%</v>
      </c>
      <c r="H924" s="3">
        <v>44064</v>
      </c>
      <c r="I924" s="4">
        <v>51824</v>
      </c>
    </row>
    <row r="925" spans="1:9" x14ac:dyDescent="0.25">
      <c r="A925" s="3">
        <v>44063</v>
      </c>
      <c r="B925" s="4">
        <v>52151</v>
      </c>
      <c r="C925" s="4">
        <v>52550</v>
      </c>
      <c r="D925" s="4">
        <v>52550</v>
      </c>
      <c r="E925" s="4">
        <v>51721</v>
      </c>
      <c r="F925" s="4" t="str">
        <v>15.61K</v>
      </c>
      <c r="G925" s="4" t="str">
        <v>-0.90%</v>
      </c>
      <c r="H925" s="3">
        <v>44063</v>
      </c>
      <c r="I925" s="4">
        <v>52135.5</v>
      </c>
    </row>
    <row r="926" spans="1:9" x14ac:dyDescent="0.25">
      <c r="A926" s="3">
        <v>44062</v>
      </c>
      <c r="B926" s="4">
        <v>52622</v>
      </c>
      <c r="C926" s="4">
        <v>53450</v>
      </c>
      <c r="D926" s="4">
        <v>53493</v>
      </c>
      <c r="E926" s="4">
        <v>52302</v>
      </c>
      <c r="F926" s="4" t="str">
        <v>14.80K</v>
      </c>
      <c r="G926" s="4" t="str">
        <v>-1.77%</v>
      </c>
      <c r="H926" s="3">
        <v>44062</v>
      </c>
      <c r="I926" s="4">
        <v>52897.5</v>
      </c>
    </row>
    <row r="927" spans="1:9" x14ac:dyDescent="0.25">
      <c r="A927" s="3">
        <v>44061</v>
      </c>
      <c r="B927" s="4">
        <v>53571</v>
      </c>
      <c r="C927" s="4">
        <v>53415</v>
      </c>
      <c r="D927" s="4">
        <v>53999</v>
      </c>
      <c r="E927" s="4">
        <v>51800</v>
      </c>
      <c r="F927" s="4" t="str">
        <v>19.28K</v>
      </c>
      <c r="G927" s="4" t="str">
        <v>0.56%</v>
      </c>
      <c r="H927" s="3">
        <v>44061</v>
      </c>
      <c r="I927" s="4">
        <v>52899.5</v>
      </c>
    </row>
    <row r="928" spans="1:9" x14ac:dyDescent="0.25">
      <c r="A928" s="3">
        <v>44060</v>
      </c>
      <c r="B928" s="4">
        <v>53275</v>
      </c>
      <c r="C928" s="4">
        <v>52151</v>
      </c>
      <c r="D928" s="4">
        <v>53443</v>
      </c>
      <c r="E928" s="4">
        <v>52113</v>
      </c>
      <c r="F928" s="4" t="str">
        <v>12.90K</v>
      </c>
      <c r="G928" s="4" t="str">
        <v>2.01%</v>
      </c>
      <c r="H928" s="3">
        <v>44060</v>
      </c>
      <c r="I928" s="4">
        <v>52778</v>
      </c>
    </row>
    <row r="929" spans="1:9" x14ac:dyDescent="0.25">
      <c r="A929" s="3">
        <v>44057</v>
      </c>
      <c r="B929" s="4">
        <v>52227</v>
      </c>
      <c r="C929" s="4">
        <v>52675</v>
      </c>
      <c r="D929" s="4">
        <v>52797</v>
      </c>
      <c r="E929" s="4">
        <v>51840</v>
      </c>
      <c r="F929" s="4" t="str">
        <v>14.51K</v>
      </c>
      <c r="G929" s="4" t="str">
        <v>-1.33%</v>
      </c>
      <c r="H929" s="3">
        <v>44057</v>
      </c>
      <c r="I929" s="4">
        <v>52318.5</v>
      </c>
    </row>
    <row r="930" spans="1:9" x14ac:dyDescent="0.25">
      <c r="A930" s="3">
        <v>44056</v>
      </c>
      <c r="B930" s="4">
        <v>52930</v>
      </c>
      <c r="C930" s="4">
        <v>52365</v>
      </c>
      <c r="D930" s="4">
        <v>53038</v>
      </c>
      <c r="E930" s="4">
        <v>51802</v>
      </c>
      <c r="F930" s="4" t="str">
        <v>14.84K</v>
      </c>
      <c r="G930" s="4" t="str">
        <v>1.29%</v>
      </c>
      <c r="H930" s="3">
        <v>44056</v>
      </c>
      <c r="I930" s="4">
        <v>52420</v>
      </c>
    </row>
    <row r="931" spans="1:9" x14ac:dyDescent="0.25">
      <c r="A931" s="3">
        <v>44055</v>
      </c>
      <c r="B931" s="4">
        <v>52254</v>
      </c>
      <c r="C931" s="4">
        <v>51650</v>
      </c>
      <c r="D931" s="4">
        <v>52598</v>
      </c>
      <c r="E931" s="4">
        <v>49955</v>
      </c>
      <c r="F931" s="4" t="str">
        <v>27.25K</v>
      </c>
      <c r="G931" s="4" t="str">
        <v>0.63%</v>
      </c>
      <c r="H931" s="3">
        <v>44055</v>
      </c>
      <c r="I931" s="4">
        <v>51276.5</v>
      </c>
    </row>
    <row r="932" spans="1:9" x14ac:dyDescent="0.25">
      <c r="A932" s="3">
        <v>44054</v>
      </c>
      <c r="B932" s="4">
        <v>51929</v>
      </c>
      <c r="C932" s="4">
        <v>54750</v>
      </c>
      <c r="D932" s="4">
        <v>54750</v>
      </c>
      <c r="E932" s="4">
        <v>51712</v>
      </c>
      <c r="F932" s="4" t="str">
        <v>27.98K</v>
      </c>
      <c r="G932" s="4" t="str">
        <v>-5.49%</v>
      </c>
      <c r="H932" s="3">
        <v>44054</v>
      </c>
      <c r="I932" s="4">
        <v>53231</v>
      </c>
    </row>
    <row r="933" spans="1:9" x14ac:dyDescent="0.25">
      <c r="A933" s="3">
        <v>44053</v>
      </c>
      <c r="B933" s="4">
        <v>54946</v>
      </c>
      <c r="C933" s="4">
        <v>55049</v>
      </c>
      <c r="D933" s="4">
        <v>55449</v>
      </c>
      <c r="E933" s="4">
        <v>54861</v>
      </c>
      <c r="F933" s="4" t="str">
        <v>10.97K</v>
      </c>
      <c r="G933" s="4" t="str">
        <v>0.29%</v>
      </c>
      <c r="H933" s="3">
        <v>44053</v>
      </c>
      <c r="I933" s="4">
        <v>55155</v>
      </c>
    </row>
    <row r="934" spans="1:9" x14ac:dyDescent="0.25">
      <c r="A934" s="3">
        <v>44050</v>
      </c>
      <c r="B934" s="4">
        <v>54789</v>
      </c>
      <c r="C934" s="4">
        <v>55965</v>
      </c>
      <c r="D934" s="4">
        <v>56191</v>
      </c>
      <c r="E934" s="4">
        <v>54690</v>
      </c>
      <c r="F934" s="4" t="str">
        <v>18.31K</v>
      </c>
      <c r="G934" s="4" t="str">
        <v>-1.89%</v>
      </c>
      <c r="H934" s="3">
        <v>44050</v>
      </c>
      <c r="I934" s="4">
        <v>55440.5</v>
      </c>
    </row>
    <row r="935" spans="1:9" x14ac:dyDescent="0.25">
      <c r="A935" s="3">
        <v>44049</v>
      </c>
      <c r="B935" s="4">
        <v>55845</v>
      </c>
      <c r="C935" s="4">
        <v>55265</v>
      </c>
      <c r="D935" s="4">
        <v>56079</v>
      </c>
      <c r="E935" s="4">
        <v>55241</v>
      </c>
      <c r="F935" s="4" t="str">
        <v>16.22K</v>
      </c>
      <c r="G935" s="4" t="str">
        <v>1.16%</v>
      </c>
      <c r="H935" s="3">
        <v>44049</v>
      </c>
      <c r="I935" s="4">
        <v>55660</v>
      </c>
    </row>
    <row r="936" spans="1:9" x14ac:dyDescent="0.25">
      <c r="A936" s="3">
        <v>44048</v>
      </c>
      <c r="B936" s="4">
        <v>55207</v>
      </c>
      <c r="C936" s="4">
        <v>54900</v>
      </c>
      <c r="D936" s="4">
        <v>55450</v>
      </c>
      <c r="E936" s="4">
        <v>54900</v>
      </c>
      <c r="F936" s="4" t="str">
        <v>0.01K</v>
      </c>
      <c r="G936" s="4" t="str">
        <v>2.11%</v>
      </c>
      <c r="H936" s="3">
        <v>44048</v>
      </c>
      <c r="I936" s="4">
        <v>55175</v>
      </c>
    </row>
    <row r="937" spans="1:9" x14ac:dyDescent="0.25">
      <c r="A937" s="3">
        <v>44047</v>
      </c>
      <c r="B937" s="4">
        <v>54064</v>
      </c>
      <c r="C937" s="4">
        <v>54223</v>
      </c>
      <c r="D937" s="4">
        <v>54560</v>
      </c>
      <c r="E937" s="4">
        <v>53708</v>
      </c>
      <c r="F937" s="4" t="str">
        <v>0.02K</v>
      </c>
      <c r="G937" s="4" t="str">
        <v>0.12%</v>
      </c>
      <c r="H937" s="3">
        <v>44047</v>
      </c>
      <c r="I937" s="4">
        <v>54134</v>
      </c>
    </row>
    <row r="938" spans="1:9" x14ac:dyDescent="0.25">
      <c r="A938" s="3">
        <v>44046</v>
      </c>
      <c r="B938" s="4">
        <v>53997</v>
      </c>
      <c r="C938" s="4">
        <v>54194</v>
      </c>
      <c r="D938" s="4">
        <v>54199</v>
      </c>
      <c r="E938" s="4">
        <v>53564</v>
      </c>
      <c r="F938" s="4" t="str">
        <v>0.08K</v>
      </c>
      <c r="G938" s="4" t="str">
        <v>0.31%</v>
      </c>
      <c r="H938" s="3">
        <v>44046</v>
      </c>
      <c r="I938" s="4">
        <v>53881.5</v>
      </c>
    </row>
    <row r="939" spans="1:9" x14ac:dyDescent="0.25">
      <c r="A939" s="3">
        <v>44043</v>
      </c>
      <c r="B939" s="4">
        <v>53828</v>
      </c>
      <c r="C939" s="4">
        <v>53526</v>
      </c>
      <c r="D939" s="4">
        <v>53920</v>
      </c>
      <c r="E939" s="4">
        <v>53450</v>
      </c>
      <c r="F939" s="4" t="str">
        <v>0.54K</v>
      </c>
      <c r="G939" s="4" t="str">
        <v>1.30%</v>
      </c>
      <c r="H939" s="3">
        <v>44043</v>
      </c>
      <c r="I939" s="4">
        <v>53685</v>
      </c>
    </row>
    <row r="940" spans="1:9" x14ac:dyDescent="0.25">
      <c r="A940" s="3">
        <v>44042</v>
      </c>
      <c r="B940" s="4">
        <v>53138</v>
      </c>
      <c r="C940" s="4">
        <v>53390</v>
      </c>
      <c r="D940" s="4">
        <v>53429</v>
      </c>
      <c r="E940" s="4">
        <v>52700</v>
      </c>
      <c r="F940" s="4" t="str">
        <v>3.12K</v>
      </c>
      <c r="G940" s="4" t="str">
        <v>-0.09%</v>
      </c>
      <c r="H940" s="3">
        <v>44042</v>
      </c>
      <c r="I940" s="4">
        <v>53064.5</v>
      </c>
    </row>
    <row r="941" spans="1:9" x14ac:dyDescent="0.25">
      <c r="A941" s="3">
        <v>44041</v>
      </c>
      <c r="B941" s="4">
        <v>53187</v>
      </c>
      <c r="C941" s="4">
        <v>52550</v>
      </c>
      <c r="D941" s="4">
        <v>53399</v>
      </c>
      <c r="E941" s="4">
        <v>52364</v>
      </c>
      <c r="F941" s="4" t="str">
        <v>13.37K</v>
      </c>
      <c r="G941" s="4" t="str">
        <v>1.13%</v>
      </c>
      <c r="H941" s="3">
        <v>44041</v>
      </c>
      <c r="I941" s="4">
        <v>52881.5</v>
      </c>
    </row>
    <row r="942" spans="1:9" x14ac:dyDescent="0.25">
      <c r="A942" s="3">
        <v>44040</v>
      </c>
      <c r="B942" s="4">
        <v>52591</v>
      </c>
      <c r="C942" s="4">
        <v>52186</v>
      </c>
      <c r="D942" s="4">
        <v>52698</v>
      </c>
      <c r="E942" s="4">
        <v>51277</v>
      </c>
      <c r="F942" s="4" t="str">
        <v>19.55K</v>
      </c>
      <c r="G942" s="4" t="str">
        <v>0.94%</v>
      </c>
      <c r="H942" s="3">
        <v>44040</v>
      </c>
      <c r="I942" s="4">
        <v>51987.5</v>
      </c>
    </row>
    <row r="943" spans="1:9" x14ac:dyDescent="0.25">
      <c r="A943" s="3">
        <v>44039</v>
      </c>
      <c r="B943" s="4">
        <v>52101</v>
      </c>
      <c r="C943" s="4">
        <v>51749</v>
      </c>
      <c r="D943" s="4">
        <v>52220</v>
      </c>
      <c r="E943" s="4">
        <v>51657</v>
      </c>
      <c r="F943" s="4" t="str">
        <v>13.40K</v>
      </c>
      <c r="G943" s="4" t="str">
        <v>2.09%</v>
      </c>
      <c r="H943" s="3">
        <v>44039</v>
      </c>
      <c r="I943" s="4">
        <v>51938.5</v>
      </c>
    </row>
    <row r="944" spans="1:9" x14ac:dyDescent="0.25">
      <c r="A944" s="3">
        <v>44036</v>
      </c>
      <c r="B944" s="4">
        <v>51035</v>
      </c>
      <c r="C944" s="4">
        <v>50809</v>
      </c>
      <c r="D944" s="4">
        <v>51184</v>
      </c>
      <c r="E944" s="4">
        <v>50570</v>
      </c>
      <c r="F944" s="4" t="str">
        <v>12.22K</v>
      </c>
      <c r="G944" s="4" t="str">
        <v>0.66%</v>
      </c>
      <c r="H944" s="3">
        <v>44036</v>
      </c>
      <c r="I944" s="4">
        <v>50877</v>
      </c>
    </row>
    <row r="945" spans="1:9" x14ac:dyDescent="0.25">
      <c r="A945" s="3">
        <v>44035</v>
      </c>
      <c r="B945" s="4">
        <v>50700</v>
      </c>
      <c r="C945" s="4">
        <v>50191</v>
      </c>
      <c r="D945" s="4">
        <v>50936</v>
      </c>
      <c r="E945" s="4">
        <v>50125</v>
      </c>
      <c r="F945" s="4" t="str">
        <v>16.87K</v>
      </c>
      <c r="G945" s="4" t="str">
        <v>1.24%</v>
      </c>
      <c r="H945" s="3">
        <v>44035</v>
      </c>
      <c r="I945" s="4">
        <v>50530.5</v>
      </c>
    </row>
    <row r="946" spans="1:9" x14ac:dyDescent="0.25">
      <c r="A946" s="3">
        <v>44034</v>
      </c>
      <c r="B946" s="4">
        <v>50078</v>
      </c>
      <c r="C946" s="4">
        <v>49931</v>
      </c>
      <c r="D946" s="4">
        <v>50199</v>
      </c>
      <c r="E946" s="4">
        <v>49630</v>
      </c>
      <c r="F946" s="4" t="str">
        <v>18.01K</v>
      </c>
      <c r="G946" s="4" t="str">
        <v>1.11%</v>
      </c>
      <c r="H946" s="3">
        <v>44034</v>
      </c>
      <c r="I946" s="4">
        <v>49914.5</v>
      </c>
    </row>
    <row r="947" spans="1:9" x14ac:dyDescent="0.25">
      <c r="A947" s="3">
        <v>44033</v>
      </c>
      <c r="B947" s="4">
        <v>49527</v>
      </c>
      <c r="C947" s="4">
        <v>49078</v>
      </c>
      <c r="D947" s="4">
        <v>49579</v>
      </c>
      <c r="E947" s="4">
        <v>49036</v>
      </c>
      <c r="F947" s="4" t="str">
        <v>12.61K</v>
      </c>
      <c r="G947" s="4" t="str">
        <v>1.02%</v>
      </c>
      <c r="H947" s="3">
        <v>44033</v>
      </c>
      <c r="I947" s="4">
        <v>49307.5</v>
      </c>
    </row>
    <row r="948" spans="1:9" x14ac:dyDescent="0.25">
      <c r="A948" s="3">
        <v>44032</v>
      </c>
      <c r="B948" s="4">
        <v>49027</v>
      </c>
      <c r="C948" s="4">
        <v>48910</v>
      </c>
      <c r="D948" s="4">
        <v>49175</v>
      </c>
      <c r="E948" s="4">
        <v>48858</v>
      </c>
      <c r="F948" s="4" t="str">
        <v>9.86K</v>
      </c>
      <c r="G948" s="4" t="str">
        <v>0.12%</v>
      </c>
      <c r="H948" s="3">
        <v>44032</v>
      </c>
      <c r="I948" s="4">
        <v>49016.5</v>
      </c>
    </row>
    <row r="949" spans="1:9" x14ac:dyDescent="0.25">
      <c r="A949" s="3">
        <v>44029</v>
      </c>
      <c r="B949" s="4">
        <v>48967</v>
      </c>
      <c r="C949" s="4">
        <v>48796</v>
      </c>
      <c r="D949" s="4">
        <v>49025</v>
      </c>
      <c r="E949" s="4">
        <v>48713</v>
      </c>
      <c r="F949" s="4" t="str">
        <v>10.25K</v>
      </c>
      <c r="G949" s="4" t="str">
        <v>0.40%</v>
      </c>
      <c r="H949" s="3">
        <v>44029</v>
      </c>
      <c r="I949" s="4">
        <v>48869</v>
      </c>
    </row>
    <row r="950" spans="1:9" x14ac:dyDescent="0.25">
      <c r="A950" s="3">
        <v>44028</v>
      </c>
      <c r="B950" s="4">
        <v>48773</v>
      </c>
      <c r="C950" s="4">
        <v>49104</v>
      </c>
      <c r="D950" s="4">
        <v>49245</v>
      </c>
      <c r="E950" s="4">
        <v>48727</v>
      </c>
      <c r="F950" s="4" t="str">
        <v>10.92K</v>
      </c>
      <c r="G950" s="4" t="str">
        <v>-0.79%</v>
      </c>
      <c r="H950" s="3">
        <v>44028</v>
      </c>
      <c r="I950" s="4">
        <v>48986</v>
      </c>
    </row>
    <row r="951" spans="1:9" x14ac:dyDescent="0.25">
      <c r="A951" s="3">
        <v>44027</v>
      </c>
      <c r="B951" s="4">
        <v>49159</v>
      </c>
      <c r="C951" s="4">
        <v>49228</v>
      </c>
      <c r="D951" s="4">
        <v>49270</v>
      </c>
      <c r="E951" s="4">
        <v>48914</v>
      </c>
      <c r="F951" s="4" t="str">
        <v>12.50K</v>
      </c>
      <c r="G951" s="4" t="str">
        <v>-0.20%</v>
      </c>
      <c r="H951" s="3">
        <v>44027</v>
      </c>
      <c r="I951" s="4">
        <v>49092</v>
      </c>
    </row>
    <row r="952" spans="1:9" x14ac:dyDescent="0.25">
      <c r="A952" s="3">
        <v>44026</v>
      </c>
      <c r="B952" s="4">
        <v>49259</v>
      </c>
      <c r="C952" s="4">
        <v>49050</v>
      </c>
      <c r="D952" s="4">
        <v>49291</v>
      </c>
      <c r="E952" s="4">
        <v>48770</v>
      </c>
      <c r="F952" s="4" t="str">
        <v>13.40K</v>
      </c>
      <c r="G952" s="4" t="str">
        <v>0.23%</v>
      </c>
      <c r="H952" s="3">
        <v>44026</v>
      </c>
      <c r="I952" s="4">
        <v>49030.5</v>
      </c>
    </row>
    <row r="953" spans="1:9" x14ac:dyDescent="0.25">
      <c r="A953" s="3">
        <v>44025</v>
      </c>
      <c r="B953" s="4">
        <v>49148</v>
      </c>
      <c r="C953" s="4">
        <v>49046</v>
      </c>
      <c r="D953" s="4">
        <v>49265</v>
      </c>
      <c r="E953" s="4">
        <v>48915</v>
      </c>
      <c r="F953" s="4" t="str">
        <v>11.66K</v>
      </c>
      <c r="G953" s="4" t="str">
        <v>0.58%</v>
      </c>
      <c r="H953" s="3">
        <v>44025</v>
      </c>
      <c r="I953" s="4">
        <v>49090</v>
      </c>
    </row>
    <row r="954" spans="1:9" x14ac:dyDescent="0.25">
      <c r="A954" s="3">
        <v>44022</v>
      </c>
      <c r="B954" s="4">
        <v>48863</v>
      </c>
      <c r="C954" s="4">
        <v>48919</v>
      </c>
      <c r="D954" s="4">
        <v>49230</v>
      </c>
      <c r="E954" s="4">
        <v>48710</v>
      </c>
      <c r="F954" s="4" t="str">
        <v>13.60K</v>
      </c>
      <c r="G954" s="4" t="str">
        <v>-0.03%</v>
      </c>
      <c r="H954" s="3">
        <v>44022</v>
      </c>
      <c r="I954" s="4">
        <v>48970</v>
      </c>
    </row>
    <row r="955" spans="1:9" x14ac:dyDescent="0.25">
      <c r="A955" s="3">
        <v>44021</v>
      </c>
      <c r="B955" s="4">
        <v>48878</v>
      </c>
      <c r="C955" s="4">
        <v>49139</v>
      </c>
      <c r="D955" s="4">
        <v>49312</v>
      </c>
      <c r="E955" s="4">
        <v>48756</v>
      </c>
      <c r="F955" s="4" t="str">
        <v>15.86K</v>
      </c>
      <c r="G955" s="4" t="str">
        <v>-0.57%</v>
      </c>
      <c r="H955" s="3">
        <v>44021</v>
      </c>
      <c r="I955" s="4">
        <v>49034</v>
      </c>
    </row>
    <row r="956" spans="1:9" x14ac:dyDescent="0.25">
      <c r="A956" s="3">
        <v>44020</v>
      </c>
      <c r="B956" s="4">
        <v>49159</v>
      </c>
      <c r="C956" s="4">
        <v>48704</v>
      </c>
      <c r="D956" s="4">
        <v>49348</v>
      </c>
      <c r="E956" s="4">
        <v>48642</v>
      </c>
      <c r="F956" s="4" t="str">
        <v>14.92K</v>
      </c>
      <c r="G956" s="4" t="str">
        <v>0.74%</v>
      </c>
      <c r="H956" s="3">
        <v>44020</v>
      </c>
      <c r="I956" s="4">
        <v>48995</v>
      </c>
    </row>
    <row r="957" spans="1:9" x14ac:dyDescent="0.25">
      <c r="A957" s="3">
        <v>44019</v>
      </c>
      <c r="B957" s="4">
        <v>48800</v>
      </c>
      <c r="C957" s="4">
        <v>48210</v>
      </c>
      <c r="D957" s="4">
        <v>48825</v>
      </c>
      <c r="E957" s="4">
        <v>48101</v>
      </c>
      <c r="F957" s="4" t="str">
        <v>15.36K</v>
      </c>
      <c r="G957" s="4" t="str">
        <v>1.19%</v>
      </c>
      <c r="H957" s="3">
        <v>44019</v>
      </c>
      <c r="I957" s="4">
        <v>48463</v>
      </c>
    </row>
    <row r="958" spans="1:9" x14ac:dyDescent="0.25">
      <c r="A958" s="3">
        <v>44018</v>
      </c>
      <c r="B958" s="4">
        <v>48225</v>
      </c>
      <c r="C958" s="4">
        <v>47970</v>
      </c>
      <c r="D958" s="4">
        <v>48285</v>
      </c>
      <c r="E958" s="4">
        <v>47775</v>
      </c>
      <c r="F958" s="4" t="str">
        <v>14.51K</v>
      </c>
      <c r="G958" s="4" t="str">
        <v>0.37%</v>
      </c>
      <c r="H958" s="3">
        <v>44018</v>
      </c>
      <c r="I958" s="4">
        <v>48030</v>
      </c>
    </row>
    <row r="959" spans="1:9" x14ac:dyDescent="0.25">
      <c r="A959" s="3">
        <v>44015</v>
      </c>
      <c r="B959" s="4">
        <v>48046</v>
      </c>
      <c r="C959" s="4">
        <v>48053</v>
      </c>
      <c r="D959" s="4">
        <v>48190</v>
      </c>
      <c r="E959" s="4">
        <v>47950</v>
      </c>
      <c r="F959" s="4" t="str">
        <v>8.76K</v>
      </c>
      <c r="G959" s="4" t="str">
        <v>-0.23%</v>
      </c>
      <c r="H959" s="3">
        <v>44015</v>
      </c>
      <c r="I959" s="4">
        <v>48070</v>
      </c>
    </row>
    <row r="960" spans="1:9" x14ac:dyDescent="0.25">
      <c r="A960" s="3">
        <v>44014</v>
      </c>
      <c r="B960" s="4">
        <v>48158</v>
      </c>
      <c r="C960" s="4">
        <v>48174</v>
      </c>
      <c r="D960" s="4">
        <v>48273</v>
      </c>
      <c r="E960" s="4">
        <v>47606</v>
      </c>
      <c r="F960" s="4" t="str">
        <v>16.48K</v>
      </c>
      <c r="G960" s="4" t="str">
        <v>-0.23%</v>
      </c>
      <c r="H960" s="3">
        <v>44014</v>
      </c>
      <c r="I960" s="4">
        <v>47939.5</v>
      </c>
    </row>
    <row r="961" spans="1:9" x14ac:dyDescent="0.25">
      <c r="A961" s="3">
        <v>44013</v>
      </c>
      <c r="B961" s="4">
        <v>48267</v>
      </c>
      <c r="C961" s="4">
        <v>48814</v>
      </c>
      <c r="D961" s="4">
        <v>48982</v>
      </c>
      <c r="E961" s="4">
        <v>48051</v>
      </c>
      <c r="F961" s="4" t="str">
        <v>17.22K</v>
      </c>
      <c r="G961" s="4" t="str">
        <v>-1.02%</v>
      </c>
      <c r="H961" s="3">
        <v>44013</v>
      </c>
      <c r="I961" s="4">
        <v>48516.5</v>
      </c>
    </row>
    <row r="962" spans="1:9" x14ac:dyDescent="0.25">
      <c r="A962" s="3">
        <v>44012</v>
      </c>
      <c r="B962" s="4">
        <v>48762</v>
      </c>
      <c r="C962" s="4">
        <v>48270</v>
      </c>
      <c r="D962" s="4">
        <v>48825</v>
      </c>
      <c r="E962" s="4">
        <v>48180</v>
      </c>
      <c r="F962" s="4" t="str">
        <v>14.23K</v>
      </c>
      <c r="G962" s="4" t="str">
        <v>1.07%</v>
      </c>
      <c r="H962" s="3">
        <v>44012</v>
      </c>
      <c r="I962" s="4">
        <v>48502.5</v>
      </c>
    </row>
    <row r="963" spans="1:9" x14ac:dyDescent="0.25">
      <c r="A963" s="3">
        <v>44011</v>
      </c>
      <c r="B963" s="4">
        <v>48244</v>
      </c>
      <c r="C963" s="4">
        <v>48365</v>
      </c>
      <c r="D963" s="4">
        <v>48462</v>
      </c>
      <c r="E963" s="4">
        <v>48150</v>
      </c>
      <c r="F963" s="4" t="str">
        <v>10.05K</v>
      </c>
      <c r="G963" s="4" t="str">
        <v>-0.13%</v>
      </c>
      <c r="H963" s="3">
        <v>44011</v>
      </c>
      <c r="I963" s="4">
        <v>48306</v>
      </c>
    </row>
    <row r="964" spans="1:9" x14ac:dyDescent="0.25">
      <c r="A964" s="3">
        <v>44008</v>
      </c>
      <c r="B964" s="4">
        <v>48305</v>
      </c>
      <c r="C964" s="4">
        <v>47902</v>
      </c>
      <c r="D964" s="4">
        <v>48348</v>
      </c>
      <c r="E964" s="4">
        <v>47700</v>
      </c>
      <c r="F964" s="4" t="str">
        <v>16.17K</v>
      </c>
      <c r="G964" s="4" t="str">
        <v>0.76%</v>
      </c>
      <c r="H964" s="3">
        <v>44008</v>
      </c>
      <c r="I964" s="4">
        <v>48024</v>
      </c>
    </row>
    <row r="965" spans="1:9" x14ac:dyDescent="0.25">
      <c r="A965" s="3">
        <v>44007</v>
      </c>
      <c r="B965" s="4">
        <v>47941</v>
      </c>
      <c r="C965" s="4">
        <v>48114</v>
      </c>
      <c r="D965" s="4">
        <v>48173</v>
      </c>
      <c r="E965" s="4">
        <v>47823</v>
      </c>
      <c r="F965" s="4" t="str">
        <v>12.37K</v>
      </c>
      <c r="G965" s="4" t="str">
        <v>-0.40%</v>
      </c>
      <c r="H965" s="3">
        <v>44007</v>
      </c>
      <c r="I965" s="4">
        <v>47998</v>
      </c>
    </row>
    <row r="966" spans="1:9" x14ac:dyDescent="0.25">
      <c r="A966" s="3">
        <v>44006</v>
      </c>
      <c r="B966" s="4">
        <v>48134</v>
      </c>
      <c r="C966" s="4">
        <v>48333</v>
      </c>
      <c r="D966" s="4">
        <v>48589</v>
      </c>
      <c r="E966" s="4">
        <v>48035</v>
      </c>
      <c r="F966" s="4" t="str">
        <v>17.25K</v>
      </c>
      <c r="G966" s="4" t="str">
        <v>-0.20%</v>
      </c>
      <c r="H966" s="3">
        <v>44006</v>
      </c>
      <c r="I966" s="4">
        <v>48312</v>
      </c>
    </row>
    <row r="967" spans="1:9" x14ac:dyDescent="0.25">
      <c r="A967" s="3">
        <v>44005</v>
      </c>
      <c r="B967" s="4">
        <v>48232</v>
      </c>
      <c r="C967" s="4">
        <v>47864</v>
      </c>
      <c r="D967" s="4">
        <v>48272</v>
      </c>
      <c r="E967" s="4">
        <v>47731</v>
      </c>
      <c r="F967" s="4" t="str">
        <v>13.90K</v>
      </c>
      <c r="G967" s="4" t="str">
        <v>0.60%</v>
      </c>
      <c r="H967" s="3">
        <v>44005</v>
      </c>
      <c r="I967" s="4">
        <v>48001.5</v>
      </c>
    </row>
    <row r="968" spans="1:9" x14ac:dyDescent="0.25">
      <c r="A968" s="3">
        <v>44004</v>
      </c>
      <c r="B968" s="4">
        <v>47944</v>
      </c>
      <c r="C968" s="4">
        <v>48000</v>
      </c>
      <c r="D968" s="4">
        <v>48289</v>
      </c>
      <c r="E968" s="4">
        <v>47792</v>
      </c>
      <c r="F968" s="4" t="str">
        <v>12.35K</v>
      </c>
      <c r="G968" s="4" t="str">
        <v>0.01%</v>
      </c>
      <c r="H968" s="3">
        <v>44004</v>
      </c>
      <c r="I968" s="4">
        <v>48040.5</v>
      </c>
    </row>
    <row r="969" spans="1:9" x14ac:dyDescent="0.25">
      <c r="A969" s="3">
        <v>44001</v>
      </c>
      <c r="B969" s="4">
        <v>47937</v>
      </c>
      <c r="C969" s="4">
        <v>47399</v>
      </c>
      <c r="D969" s="4">
        <v>47980</v>
      </c>
      <c r="E969" s="4">
        <v>47328</v>
      </c>
      <c r="F969" s="4" t="str">
        <v>11.46K</v>
      </c>
      <c r="G969" s="4" t="str">
        <v>1.23%</v>
      </c>
      <c r="H969" s="3">
        <v>44001</v>
      </c>
      <c r="I969" s="4">
        <v>47654</v>
      </c>
    </row>
    <row r="970" spans="1:9" x14ac:dyDescent="0.25">
      <c r="A970" s="3">
        <v>44000</v>
      </c>
      <c r="B970" s="4">
        <v>47355</v>
      </c>
      <c r="C970" s="4">
        <v>47301</v>
      </c>
      <c r="D970" s="4">
        <v>47619</v>
      </c>
      <c r="E970" s="4">
        <v>47110</v>
      </c>
      <c r="F970" s="4" t="str">
        <v>12.94K</v>
      </c>
      <c r="G970" s="4" t="str">
        <v>0.04%</v>
      </c>
      <c r="H970" s="3">
        <v>44000</v>
      </c>
      <c r="I970" s="4">
        <v>47364.5</v>
      </c>
    </row>
    <row r="971" spans="1:9" x14ac:dyDescent="0.25">
      <c r="A971" s="3">
        <v>43999</v>
      </c>
      <c r="B971" s="4">
        <v>47338</v>
      </c>
      <c r="C971" s="4">
        <v>47450</v>
      </c>
      <c r="D971" s="4">
        <v>47483</v>
      </c>
      <c r="E971" s="4">
        <v>46967</v>
      </c>
      <c r="F971" s="4" t="str">
        <v>11.89K</v>
      </c>
      <c r="G971" s="4" t="str">
        <v>-0.48%</v>
      </c>
      <c r="H971" s="3">
        <v>43999</v>
      </c>
      <c r="I971" s="4">
        <v>47225</v>
      </c>
    </row>
    <row r="972" spans="1:9" x14ac:dyDescent="0.25">
      <c r="A972" s="3">
        <v>43998</v>
      </c>
      <c r="B972" s="4">
        <v>47567</v>
      </c>
      <c r="C972" s="4">
        <v>47180</v>
      </c>
      <c r="D972" s="4">
        <v>47650</v>
      </c>
      <c r="E972" s="4">
        <v>46960</v>
      </c>
      <c r="F972" s="4" t="str">
        <v>14.47K</v>
      </c>
      <c r="G972" s="4" t="str">
        <v>1.15%</v>
      </c>
      <c r="H972" s="3">
        <v>43998</v>
      </c>
      <c r="I972" s="4">
        <v>47305</v>
      </c>
    </row>
    <row r="973" spans="1:9" x14ac:dyDescent="0.25">
      <c r="A973" s="3">
        <v>43997</v>
      </c>
      <c r="B973" s="4">
        <v>47026</v>
      </c>
      <c r="C973" s="4">
        <v>47199</v>
      </c>
      <c r="D973" s="4">
        <v>47246</v>
      </c>
      <c r="E973" s="4">
        <v>46546</v>
      </c>
      <c r="F973" s="4" t="str">
        <v>12.92K</v>
      </c>
      <c r="G973" s="4" t="str">
        <v>-0.65%</v>
      </c>
      <c r="H973" s="3">
        <v>43997</v>
      </c>
      <c r="I973" s="4">
        <v>46896</v>
      </c>
    </row>
    <row r="974" spans="1:9" x14ac:dyDescent="0.25">
      <c r="A974" s="3">
        <v>43994</v>
      </c>
      <c r="B974" s="4">
        <v>47334</v>
      </c>
      <c r="C974" s="4">
        <v>47150</v>
      </c>
      <c r="D974" s="4">
        <v>47550</v>
      </c>
      <c r="E974" s="4">
        <v>47065</v>
      </c>
      <c r="F974" s="4" t="str">
        <v>11.83K</v>
      </c>
      <c r="G974" s="4" t="str">
        <v>-0.17%</v>
      </c>
      <c r="H974" s="3">
        <v>43994</v>
      </c>
      <c r="I974" s="4">
        <v>47307.5</v>
      </c>
    </row>
    <row r="975" spans="1:9" x14ac:dyDescent="0.25">
      <c r="A975" s="3">
        <v>43993</v>
      </c>
      <c r="B975" s="4">
        <v>47414</v>
      </c>
      <c r="C975" s="4">
        <v>46750</v>
      </c>
      <c r="D975" s="4">
        <v>47680</v>
      </c>
      <c r="E975" s="4">
        <v>46750</v>
      </c>
      <c r="F975" s="4" t="str">
        <v>16.91K</v>
      </c>
      <c r="G975" s="4" t="str">
        <v>1.69%</v>
      </c>
      <c r="H975" s="3">
        <v>43993</v>
      </c>
      <c r="I975" s="4">
        <v>47215</v>
      </c>
    </row>
    <row r="976" spans="1:9" x14ac:dyDescent="0.25">
      <c r="A976" s="3">
        <v>43992</v>
      </c>
      <c r="B976" s="4">
        <v>46626</v>
      </c>
      <c r="C976" s="4">
        <v>46602</v>
      </c>
      <c r="D976" s="4">
        <v>46949</v>
      </c>
      <c r="E976" s="4">
        <v>46554</v>
      </c>
      <c r="F976" s="4" t="str">
        <v>9.88K</v>
      </c>
      <c r="G976" s="4" t="str">
        <v>0.07%</v>
      </c>
      <c r="H976" s="3">
        <v>43992</v>
      </c>
      <c r="I976" s="4">
        <v>46751.5</v>
      </c>
    </row>
    <row r="977" spans="1:9" x14ac:dyDescent="0.25">
      <c r="A977" s="3">
        <v>43991</v>
      </c>
      <c r="B977" s="4">
        <v>46594</v>
      </c>
      <c r="C977" s="4">
        <v>46075</v>
      </c>
      <c r="D977" s="4">
        <v>46737</v>
      </c>
      <c r="E977" s="4">
        <v>45950</v>
      </c>
      <c r="F977" s="4" t="str">
        <v>13.28K</v>
      </c>
      <c r="G977" s="4" t="str">
        <v>1.07%</v>
      </c>
      <c r="H977" s="3">
        <v>43991</v>
      </c>
      <c r="I977" s="4">
        <v>46343.5</v>
      </c>
    </row>
    <row r="978" spans="1:9" x14ac:dyDescent="0.25">
      <c r="A978" s="3">
        <v>43990</v>
      </c>
      <c r="B978" s="4">
        <v>46101</v>
      </c>
      <c r="C978" s="4">
        <v>45793</v>
      </c>
      <c r="D978" s="4">
        <v>46160</v>
      </c>
      <c r="E978" s="4">
        <v>45748</v>
      </c>
      <c r="F978" s="4" t="str">
        <v>10.22K</v>
      </c>
      <c r="G978" s="4" t="str">
        <v>-0.91%</v>
      </c>
      <c r="H978" s="3">
        <v>43990</v>
      </c>
      <c r="I978" s="4">
        <v>45954</v>
      </c>
    </row>
    <row r="979" spans="1:9" x14ac:dyDescent="0.25">
      <c r="A979" s="3">
        <v>43987</v>
      </c>
      <c r="B979" s="4">
        <v>46526</v>
      </c>
      <c r="C979" s="4">
        <v>46750</v>
      </c>
      <c r="D979" s="4">
        <v>46750</v>
      </c>
      <c r="E979" s="4">
        <v>46301</v>
      </c>
      <c r="F979" s="4" t="str">
        <v>0.00K</v>
      </c>
      <c r="G979" s="4" t="str">
        <v>-0.43%</v>
      </c>
      <c r="H979" s="3">
        <v>43987</v>
      </c>
      <c r="I979" s="4">
        <v>46525.5</v>
      </c>
    </row>
    <row r="980" spans="1:9" x14ac:dyDescent="0.25">
      <c r="A980" s="3">
        <v>43986</v>
      </c>
      <c r="B980" s="4">
        <v>46727</v>
      </c>
      <c r="C980" s="4">
        <v>46599</v>
      </c>
      <c r="D980" s="4">
        <v>46904</v>
      </c>
      <c r="E980" s="4">
        <v>46599</v>
      </c>
      <c r="F980" s="4" t="str">
        <v>0.01K</v>
      </c>
      <c r="G980" s="4" t="str">
        <v>1.36%</v>
      </c>
      <c r="H980" s="3">
        <v>43986</v>
      </c>
      <c r="I980" s="4">
        <v>46751.5</v>
      </c>
    </row>
    <row r="981" spans="1:9" x14ac:dyDescent="0.25">
      <c r="A981" s="3">
        <v>43985</v>
      </c>
      <c r="B981" s="4">
        <v>46099</v>
      </c>
      <c r="C981" s="4">
        <v>46700</v>
      </c>
      <c r="D981" s="4">
        <v>46700</v>
      </c>
      <c r="E981" s="4">
        <v>45900</v>
      </c>
      <c r="F981" s="4" t="str">
        <v>0.04K</v>
      </c>
      <c r="G981" s="4" t="str">
        <v>-1.49%</v>
      </c>
      <c r="H981" s="3">
        <v>43985</v>
      </c>
      <c r="I981" s="4">
        <v>46300</v>
      </c>
    </row>
    <row r="982" spans="1:9" x14ac:dyDescent="0.25">
      <c r="A982" s="3">
        <v>43984</v>
      </c>
      <c r="B982" s="4">
        <v>46796</v>
      </c>
      <c r="C982" s="4">
        <v>47170</v>
      </c>
      <c r="D982" s="4">
        <v>47200</v>
      </c>
      <c r="E982" s="4">
        <v>46600</v>
      </c>
      <c r="F982" s="4" t="str">
        <v>0.06K</v>
      </c>
      <c r="G982" s="4" t="str">
        <v>-0.61%</v>
      </c>
      <c r="H982" s="3">
        <v>43984</v>
      </c>
      <c r="I982" s="4">
        <v>46900</v>
      </c>
    </row>
    <row r="983" spans="1:9" x14ac:dyDescent="0.25">
      <c r="A983" s="3">
        <v>43983</v>
      </c>
      <c r="B983" s="4">
        <v>47083</v>
      </c>
      <c r="C983" s="4">
        <v>46571</v>
      </c>
      <c r="D983" s="4">
        <v>47300</v>
      </c>
      <c r="E983" s="4">
        <v>46520</v>
      </c>
      <c r="F983" s="4" t="str">
        <v>0.41K</v>
      </c>
      <c r="G983" s="4" t="str">
        <v>0.92%</v>
      </c>
      <c r="H983" s="3">
        <v>43983</v>
      </c>
      <c r="I983" s="4">
        <v>46910</v>
      </c>
    </row>
    <row r="984" spans="1:9" x14ac:dyDescent="0.25">
      <c r="A984" s="3">
        <v>43980</v>
      </c>
      <c r="B984" s="4">
        <v>46654</v>
      </c>
      <c r="C984" s="4">
        <v>46523</v>
      </c>
      <c r="D984" s="4">
        <v>46868</v>
      </c>
      <c r="E984" s="4">
        <v>46394</v>
      </c>
      <c r="F984" s="4" t="str">
        <v>7.90K</v>
      </c>
      <c r="G984" s="4" t="str">
        <v>0.54%</v>
      </c>
      <c r="H984" s="3">
        <v>43980</v>
      </c>
      <c r="I984" s="4">
        <v>46631</v>
      </c>
    </row>
    <row r="985" spans="1:9" x14ac:dyDescent="0.25">
      <c r="A985" s="3">
        <v>43979</v>
      </c>
      <c r="B985" s="4">
        <v>46405</v>
      </c>
      <c r="C985" s="4">
        <v>46444</v>
      </c>
      <c r="D985" s="4">
        <v>46860</v>
      </c>
      <c r="E985" s="4">
        <v>46288</v>
      </c>
      <c r="F985" s="4" t="str">
        <v>10.59K</v>
      </c>
      <c r="G985" s="4" t="str">
        <v>-0.27%</v>
      </c>
      <c r="H985" s="3">
        <v>43979</v>
      </c>
      <c r="I985" s="4">
        <v>46574</v>
      </c>
    </row>
    <row r="986" spans="1:9" x14ac:dyDescent="0.25">
      <c r="A986" s="3">
        <v>43978</v>
      </c>
      <c r="B986" s="4">
        <v>46531</v>
      </c>
      <c r="C986" s="4">
        <v>46307</v>
      </c>
      <c r="D986" s="4">
        <v>46570</v>
      </c>
      <c r="E986" s="4">
        <v>45775</v>
      </c>
      <c r="F986" s="4" t="str">
        <v>13.87K</v>
      </c>
      <c r="G986" s="4" t="str">
        <v>0.45%</v>
      </c>
      <c r="H986" s="3">
        <v>43978</v>
      </c>
      <c r="I986" s="4">
        <v>46172.5</v>
      </c>
    </row>
    <row r="987" spans="1:9" x14ac:dyDescent="0.25">
      <c r="A987" s="3">
        <v>43977</v>
      </c>
      <c r="B987" s="4">
        <v>46322</v>
      </c>
      <c r="C987" s="4">
        <v>47049</v>
      </c>
      <c r="D987" s="4">
        <v>47150</v>
      </c>
      <c r="E987" s="4">
        <v>46257</v>
      </c>
      <c r="F987" s="4" t="str">
        <v>13.66K</v>
      </c>
      <c r="G987" s="4" t="str">
        <v>-1.39%</v>
      </c>
      <c r="H987" s="3">
        <v>43977</v>
      </c>
      <c r="I987" s="4">
        <v>46703.5</v>
      </c>
    </row>
    <row r="988" spans="1:9" x14ac:dyDescent="0.25">
      <c r="A988" s="3">
        <v>43976</v>
      </c>
      <c r="B988" s="4">
        <v>46973</v>
      </c>
      <c r="C988" s="4">
        <v>46808</v>
      </c>
      <c r="D988" s="4">
        <v>47050</v>
      </c>
      <c r="E988" s="4">
        <v>46650</v>
      </c>
      <c r="F988" s="4" t="str">
        <v>4.16K</v>
      </c>
      <c r="G988" s="4" t="str">
        <v>-0.18%</v>
      </c>
      <c r="H988" s="3">
        <v>43976</v>
      </c>
      <c r="I988" s="4">
        <v>46850</v>
      </c>
    </row>
    <row r="989" spans="1:9" x14ac:dyDescent="0.25">
      <c r="A989" s="3">
        <v>43973</v>
      </c>
      <c r="B989" s="4">
        <v>47056</v>
      </c>
      <c r="C989" s="4">
        <v>46466</v>
      </c>
      <c r="D989" s="4">
        <v>47130</v>
      </c>
      <c r="E989" s="4">
        <v>46464</v>
      </c>
      <c r="F989" s="4" t="str">
        <v>11.30K</v>
      </c>
      <c r="G989" s="4" t="str">
        <v>1.44%</v>
      </c>
      <c r="H989" s="3">
        <v>43973</v>
      </c>
      <c r="I989" s="4">
        <v>46797</v>
      </c>
    </row>
    <row r="990" spans="1:9" x14ac:dyDescent="0.25">
      <c r="A990" s="3">
        <v>43972</v>
      </c>
      <c r="B990" s="4">
        <v>46388</v>
      </c>
      <c r="C990" s="4">
        <v>47050</v>
      </c>
      <c r="D990" s="4">
        <v>47050</v>
      </c>
      <c r="E990" s="4">
        <v>46241</v>
      </c>
      <c r="F990" s="4" t="str">
        <v>10.90K</v>
      </c>
      <c r="G990" s="4" t="str">
        <v>-1.58%</v>
      </c>
      <c r="H990" s="3">
        <v>43972</v>
      </c>
      <c r="I990" s="4">
        <v>46645.5</v>
      </c>
    </row>
    <row r="991" spans="1:9" x14ac:dyDescent="0.25">
      <c r="A991" s="3">
        <v>43971</v>
      </c>
      <c r="B991" s="4">
        <v>47131</v>
      </c>
      <c r="C991" s="4">
        <v>47181</v>
      </c>
      <c r="D991" s="4">
        <v>47354</v>
      </c>
      <c r="E991" s="4">
        <v>46800</v>
      </c>
      <c r="F991" s="4" t="str">
        <v>10.94K</v>
      </c>
      <c r="G991" s="4" t="str">
        <v>0.17%</v>
      </c>
      <c r="H991" s="3">
        <v>43971</v>
      </c>
      <c r="I991" s="4">
        <v>47077</v>
      </c>
    </row>
    <row r="992" spans="1:9" x14ac:dyDescent="0.25">
      <c r="A992" s="3">
        <v>43970</v>
      </c>
      <c r="B992" s="4">
        <v>47050</v>
      </c>
      <c r="C992" s="4">
        <v>46802</v>
      </c>
      <c r="D992" s="4">
        <v>47181</v>
      </c>
      <c r="E992" s="4">
        <v>46481</v>
      </c>
      <c r="F992" s="4" t="str">
        <v>12.21K</v>
      </c>
      <c r="G992" s="4" t="str">
        <v>0.85%</v>
      </c>
      <c r="H992" s="3">
        <v>43970</v>
      </c>
      <c r="I992" s="4">
        <v>46831</v>
      </c>
    </row>
    <row r="993" spans="1:9" x14ac:dyDescent="0.25">
      <c r="A993" s="3">
        <v>43969</v>
      </c>
      <c r="B993" s="4">
        <v>46655</v>
      </c>
      <c r="C993" s="4">
        <v>47659</v>
      </c>
      <c r="D993" s="4">
        <v>47980</v>
      </c>
      <c r="E993" s="4">
        <v>46559</v>
      </c>
      <c r="F993" s="4" t="str">
        <v>16.31K</v>
      </c>
      <c r="G993" s="4" t="str">
        <v>-1.53%</v>
      </c>
      <c r="H993" s="3">
        <v>43969</v>
      </c>
      <c r="I993" s="4">
        <v>47269.5</v>
      </c>
    </row>
    <row r="994" spans="1:9" x14ac:dyDescent="0.25">
      <c r="A994" s="3">
        <v>43966</v>
      </c>
      <c r="B994" s="4">
        <v>47381</v>
      </c>
      <c r="C994" s="4">
        <v>46711</v>
      </c>
      <c r="D994" s="4">
        <v>47462</v>
      </c>
      <c r="E994" s="4">
        <v>46641</v>
      </c>
      <c r="F994" s="4" t="str">
        <v>12.37K</v>
      </c>
      <c r="G994" s="4" t="str">
        <v>1.56%</v>
      </c>
      <c r="H994" s="3">
        <v>43966</v>
      </c>
      <c r="I994" s="4">
        <v>47051.5</v>
      </c>
    </row>
    <row r="995" spans="1:9" x14ac:dyDescent="0.25">
      <c r="A995" s="3">
        <v>43965</v>
      </c>
      <c r="B995" s="4">
        <v>46654</v>
      </c>
      <c r="C995" s="4">
        <v>46062</v>
      </c>
      <c r="D995" s="4">
        <v>46795</v>
      </c>
      <c r="E995" s="4">
        <v>46062</v>
      </c>
      <c r="F995" s="4" t="str">
        <v>13.05K</v>
      </c>
      <c r="G995" s="4" t="str">
        <v>1.46%</v>
      </c>
      <c r="H995" s="3">
        <v>43965</v>
      </c>
      <c r="I995" s="4">
        <v>46428.5</v>
      </c>
    </row>
    <row r="996" spans="1:9" x14ac:dyDescent="0.25">
      <c r="A996" s="3">
        <v>43964</v>
      </c>
      <c r="B996" s="4">
        <v>45981</v>
      </c>
      <c r="C996" s="4">
        <v>45613</v>
      </c>
      <c r="D996" s="4">
        <v>46090</v>
      </c>
      <c r="E996" s="4">
        <v>45501</v>
      </c>
      <c r="F996" s="4" t="str">
        <v>11.10K</v>
      </c>
      <c r="G996" s="4" t="str">
        <v>0.78%</v>
      </c>
      <c r="H996" s="3">
        <v>43964</v>
      </c>
      <c r="I996" s="4">
        <v>45795.5</v>
      </c>
    </row>
    <row r="997" spans="1:9" x14ac:dyDescent="0.25">
      <c r="A997" s="3">
        <v>43963</v>
      </c>
      <c r="B997" s="4">
        <v>45625</v>
      </c>
      <c r="C997" s="4">
        <v>45878</v>
      </c>
      <c r="D997" s="4">
        <v>45970</v>
      </c>
      <c r="E997" s="4">
        <v>45544</v>
      </c>
      <c r="F997" s="4" t="str">
        <v>10.99K</v>
      </c>
      <c r="G997" s="4" t="str">
        <v>-0.34%</v>
      </c>
      <c r="H997" s="3">
        <v>43963</v>
      </c>
      <c r="I997" s="4">
        <v>45757</v>
      </c>
    </row>
    <row r="998" spans="1:9" x14ac:dyDescent="0.25">
      <c r="A998" s="3">
        <v>43962</v>
      </c>
      <c r="B998" s="4">
        <v>45781</v>
      </c>
      <c r="C998" s="4">
        <v>45801</v>
      </c>
      <c r="D998" s="4">
        <v>45960</v>
      </c>
      <c r="E998" s="4">
        <v>45590</v>
      </c>
      <c r="F998" s="4" t="str">
        <v>9.79K</v>
      </c>
      <c r="G998" s="4" t="str">
        <v>-0.07%</v>
      </c>
      <c r="H998" s="3">
        <v>43962</v>
      </c>
      <c r="I998" s="4">
        <v>45775</v>
      </c>
    </row>
    <row r="999" spans="1:9" x14ac:dyDescent="0.25">
      <c r="A999" s="3">
        <v>43959</v>
      </c>
      <c r="B999" s="4">
        <v>45812</v>
      </c>
      <c r="C999" s="4">
        <v>46377</v>
      </c>
      <c r="D999" s="4">
        <v>46377</v>
      </c>
      <c r="E999" s="4">
        <v>45755</v>
      </c>
      <c r="F999" s="4" t="str">
        <v>11.23K</v>
      </c>
      <c r="G999" s="4" t="str">
        <v>-0.76%</v>
      </c>
      <c r="H999" s="3">
        <v>43959</v>
      </c>
      <c r="I999" s="4">
        <v>46066</v>
      </c>
    </row>
    <row r="1000" spans="1:9" x14ac:dyDescent="0.25">
      <c r="A1000" s="3">
        <v>43958</v>
      </c>
      <c r="B1000" s="4">
        <v>46161</v>
      </c>
      <c r="C1000" s="4">
        <v>45430</v>
      </c>
      <c r="D1000" s="4">
        <v>46209</v>
      </c>
      <c r="E1000" s="4">
        <v>45340</v>
      </c>
      <c r="F1000" s="4" t="str">
        <v>9.32K</v>
      </c>
      <c r="G1000" s="4" t="str">
        <v>1.74%</v>
      </c>
      <c r="H1000" s="3">
        <v>43958</v>
      </c>
      <c r="I1000" s="4">
        <v>45774.5</v>
      </c>
    </row>
    <row r="1001" spans="1:9" x14ac:dyDescent="0.25">
      <c r="A1001" s="3">
        <v>43957</v>
      </c>
      <c r="B1001" s="4">
        <v>45371</v>
      </c>
      <c r="C1001" s="4">
        <v>45641</v>
      </c>
      <c r="D1001" s="4">
        <v>45848</v>
      </c>
      <c r="E1001" s="4">
        <v>45320</v>
      </c>
      <c r="F1001" s="4" t="str">
        <v>9.54K</v>
      </c>
      <c r="G1001" s="4" t="str">
        <v>-0.83%</v>
      </c>
      <c r="H1001" s="3">
        <v>43957</v>
      </c>
      <c r="I1001" s="4">
        <v>45584</v>
      </c>
    </row>
    <row r="1002" spans="1:9" x14ac:dyDescent="0.25">
      <c r="A1002" s="3">
        <v>43956</v>
      </c>
      <c r="B1002" s="4">
        <v>45751</v>
      </c>
      <c r="C1002" s="4">
        <v>45527</v>
      </c>
      <c r="D1002" s="4">
        <v>45784</v>
      </c>
      <c r="E1002" s="4">
        <v>45311</v>
      </c>
      <c r="F1002" s="4" t="str">
        <v>8.78K</v>
      </c>
      <c r="G1002" s="4" t="str">
        <v>-0.12%</v>
      </c>
      <c r="H1002" s="3">
        <v>43956</v>
      </c>
      <c r="I1002" s="4">
        <v>45547.5</v>
      </c>
    </row>
    <row r="1003" spans="1:9" x14ac:dyDescent="0.25">
      <c r="A1003" s="3">
        <v>43955</v>
      </c>
      <c r="B1003" s="4">
        <v>45807</v>
      </c>
      <c r="C1003" s="4">
        <v>45565</v>
      </c>
      <c r="D1003" s="4">
        <v>45978</v>
      </c>
      <c r="E1003" s="4">
        <v>45461</v>
      </c>
      <c r="F1003" s="4" t="str">
        <v>8.80K</v>
      </c>
      <c r="G1003" s="4" t="str">
        <v>0.62%</v>
      </c>
      <c r="H1003" s="3">
        <v>43955</v>
      </c>
      <c r="I1003" s="4">
        <v>45719.5</v>
      </c>
    </row>
    <row r="1004" spans="1:9" x14ac:dyDescent="0.25">
      <c r="A1004" s="3">
        <v>43952</v>
      </c>
      <c r="B1004" s="4">
        <v>45527</v>
      </c>
      <c r="C1004" s="4">
        <v>45008</v>
      </c>
      <c r="D1004" s="4">
        <v>45600</v>
      </c>
      <c r="E1004" s="4">
        <v>44750</v>
      </c>
      <c r="F1004" s="4" t="str">
        <v>7.40K</v>
      </c>
      <c r="G1004" s="4" t="str">
        <v>1.38%</v>
      </c>
      <c r="H1004" s="3">
        <v>43952</v>
      </c>
      <c r="I1004" s="4">
        <v>45175</v>
      </c>
    </row>
    <row r="1005" spans="1:9" x14ac:dyDescent="0.25">
      <c r="A1005" s="3">
        <v>43951</v>
      </c>
      <c r="B1005" s="4">
        <v>44906</v>
      </c>
      <c r="C1005" s="4">
        <v>45801</v>
      </c>
      <c r="D1005" s="4">
        <v>45940</v>
      </c>
      <c r="E1005" s="4">
        <v>44740</v>
      </c>
      <c r="F1005" s="4" t="str">
        <v>11.96K</v>
      </c>
      <c r="G1005" s="4" t="str">
        <v>-1.41%</v>
      </c>
      <c r="H1005" s="3">
        <v>43951</v>
      </c>
      <c r="I1005" s="4">
        <v>45340</v>
      </c>
    </row>
    <row r="1006" spans="1:9" x14ac:dyDescent="0.25">
      <c r="A1006" s="3">
        <v>43950</v>
      </c>
      <c r="B1006" s="4">
        <v>45546</v>
      </c>
      <c r="C1006" s="4">
        <v>45925</v>
      </c>
      <c r="D1006" s="4">
        <v>46177</v>
      </c>
      <c r="E1006" s="4">
        <v>45460</v>
      </c>
      <c r="F1006" s="4" t="str">
        <v>10.50K</v>
      </c>
      <c r="G1006" s="4" t="str">
        <v>-1.13%</v>
      </c>
      <c r="H1006" s="3">
        <v>43950</v>
      </c>
      <c r="I1006" s="4">
        <v>45818.5</v>
      </c>
    </row>
    <row r="1007" spans="1:9" x14ac:dyDescent="0.25">
      <c r="A1007" s="3">
        <v>43949</v>
      </c>
      <c r="B1007" s="4">
        <v>46066</v>
      </c>
      <c r="C1007" s="4">
        <v>46000</v>
      </c>
      <c r="D1007" s="4">
        <v>46133</v>
      </c>
      <c r="E1007" s="4">
        <v>45576</v>
      </c>
      <c r="F1007" s="4" t="str">
        <v>10.14K</v>
      </c>
      <c r="G1007" s="4" t="str">
        <v>-0.27%</v>
      </c>
      <c r="H1007" s="3">
        <v>43949</v>
      </c>
      <c r="I1007" s="4">
        <v>45854.5</v>
      </c>
    </row>
    <row r="1008" spans="1:9" x14ac:dyDescent="0.25">
      <c r="A1008" s="3">
        <v>43948</v>
      </c>
      <c r="B1008" s="4">
        <v>46191</v>
      </c>
      <c r="C1008" s="4">
        <v>46511</v>
      </c>
      <c r="D1008" s="4">
        <v>46650</v>
      </c>
      <c r="E1008" s="4">
        <v>46125</v>
      </c>
      <c r="F1008" s="4" t="str">
        <v>9.20K</v>
      </c>
      <c r="G1008" s="4" t="str">
        <v>-0.72%</v>
      </c>
      <c r="H1008" s="3">
        <v>43948</v>
      </c>
      <c r="I1008" s="4">
        <v>46387.5</v>
      </c>
    </row>
    <row r="1009" spans="1:9" x14ac:dyDescent="0.25">
      <c r="A1009" s="3">
        <v>43945</v>
      </c>
      <c r="B1009" s="4">
        <v>46527</v>
      </c>
      <c r="C1009" s="4">
        <v>46322</v>
      </c>
      <c r="D1009" s="4">
        <v>46900</v>
      </c>
      <c r="E1009" s="4">
        <v>46110</v>
      </c>
      <c r="F1009" s="4" t="str">
        <v>10.86K</v>
      </c>
      <c r="G1009" s="4" t="str">
        <v>0.22%</v>
      </c>
      <c r="H1009" s="3">
        <v>43945</v>
      </c>
      <c r="I1009" s="4">
        <v>46505</v>
      </c>
    </row>
    <row r="1010" spans="1:9" x14ac:dyDescent="0.25">
      <c r="A1010" s="3">
        <v>43944</v>
      </c>
      <c r="B1010" s="4">
        <v>46427</v>
      </c>
      <c r="C1010" s="4">
        <v>46280</v>
      </c>
      <c r="D1010" s="4">
        <v>46733</v>
      </c>
      <c r="E1010" s="4">
        <v>46166</v>
      </c>
      <c r="F1010" s="4" t="str">
        <v>9.88K</v>
      </c>
      <c r="G1010" s="4" t="str">
        <v>0.56%</v>
      </c>
      <c r="H1010" s="3">
        <v>43944</v>
      </c>
      <c r="I1010" s="4">
        <v>46449.5</v>
      </c>
    </row>
    <row r="1011" spans="1:9" x14ac:dyDescent="0.25">
      <c r="A1011" s="3">
        <v>43943</v>
      </c>
      <c r="B1011" s="4">
        <v>46167</v>
      </c>
      <c r="C1011" s="4">
        <v>45768</v>
      </c>
      <c r="D1011" s="4">
        <v>46245</v>
      </c>
      <c r="E1011" s="4">
        <v>45560</v>
      </c>
      <c r="F1011" s="4" t="str">
        <v>7.77K</v>
      </c>
      <c r="G1011" s="4" t="str">
        <v>1.86%</v>
      </c>
      <c r="H1011" s="3">
        <v>43943</v>
      </c>
      <c r="I1011" s="4">
        <v>45902.5</v>
      </c>
    </row>
    <row r="1012" spans="1:9" x14ac:dyDescent="0.25">
      <c r="A1012" s="3">
        <v>43942</v>
      </c>
      <c r="B1012" s="4">
        <v>45325</v>
      </c>
      <c r="C1012" s="4">
        <v>45825</v>
      </c>
      <c r="D1012" s="4">
        <v>46289</v>
      </c>
      <c r="E1012" s="4">
        <v>45050</v>
      </c>
      <c r="F1012" s="4" t="str">
        <v>8.99K</v>
      </c>
      <c r="G1012" s="4" t="str">
        <v>-0.85%</v>
      </c>
      <c r="H1012" s="3">
        <v>43942</v>
      </c>
      <c r="I1012" s="4">
        <v>45669.5</v>
      </c>
    </row>
    <row r="1013" spans="1:9" x14ac:dyDescent="0.25">
      <c r="A1013" s="3">
        <v>43941</v>
      </c>
      <c r="B1013" s="4">
        <v>45714</v>
      </c>
      <c r="C1013" s="4">
        <v>45465</v>
      </c>
      <c r="D1013" s="4">
        <v>45795</v>
      </c>
      <c r="E1013" s="4">
        <v>45310</v>
      </c>
      <c r="F1013" s="4" t="str">
        <v>6.65K</v>
      </c>
      <c r="G1013" s="4" t="str">
        <v>-0.05%</v>
      </c>
      <c r="H1013" s="3">
        <v>43941</v>
      </c>
      <c r="I1013" s="4">
        <v>45552.5</v>
      </c>
    </row>
    <row r="1014" spans="1:9" x14ac:dyDescent="0.25">
      <c r="A1014" s="3">
        <v>43938</v>
      </c>
      <c r="B1014" s="4">
        <v>45735</v>
      </c>
      <c r="C1014" s="4">
        <v>46700</v>
      </c>
      <c r="D1014" s="4">
        <v>46700</v>
      </c>
      <c r="E1014" s="4">
        <v>45614</v>
      </c>
      <c r="F1014" s="4" t="str">
        <v>8.04K</v>
      </c>
      <c r="G1014" s="4" t="str">
        <v>-3.22%</v>
      </c>
      <c r="H1014" s="3">
        <v>43938</v>
      </c>
      <c r="I1014" s="4">
        <v>46157</v>
      </c>
    </row>
    <row r="1015" spans="1:9" x14ac:dyDescent="0.25">
      <c r="A1015" s="3">
        <v>43937</v>
      </c>
      <c r="B1015" s="4">
        <v>47258</v>
      </c>
      <c r="C1015" s="4">
        <v>46600</v>
      </c>
      <c r="D1015" s="4">
        <v>47327</v>
      </c>
      <c r="E1015" s="4">
        <v>46526</v>
      </c>
      <c r="F1015" s="4" t="str">
        <v>4.89K</v>
      </c>
      <c r="G1015" s="4" t="str">
        <v>1.17%</v>
      </c>
      <c r="H1015" s="3">
        <v>43937</v>
      </c>
      <c r="I1015" s="4">
        <v>46926.5</v>
      </c>
    </row>
    <row r="1016" spans="1:9" x14ac:dyDescent="0.25">
      <c r="A1016" s="3">
        <v>43936</v>
      </c>
      <c r="B1016" s="4">
        <v>46710</v>
      </c>
      <c r="C1016" s="4">
        <v>46445</v>
      </c>
      <c r="D1016" s="4">
        <v>46785</v>
      </c>
      <c r="E1016" s="4">
        <v>46060</v>
      </c>
      <c r="F1016" s="4" t="str">
        <v>6.98K</v>
      </c>
      <c r="G1016" s="4" t="str">
        <v>0.92%</v>
      </c>
      <c r="H1016" s="3">
        <v>43936</v>
      </c>
      <c r="I1016" s="4">
        <v>46422.5</v>
      </c>
    </row>
    <row r="1017" spans="1:9" x14ac:dyDescent="0.25">
      <c r="A1017" s="3">
        <v>43934</v>
      </c>
      <c r="B1017" s="4">
        <v>46286</v>
      </c>
      <c r="C1017" s="4">
        <v>45800</v>
      </c>
      <c r="D1017" s="4">
        <v>46385</v>
      </c>
      <c r="E1017" s="4">
        <v>45622</v>
      </c>
      <c r="F1017" s="4" t="str">
        <v>4.86K</v>
      </c>
      <c r="G1017" s="4" t="str">
        <v>2.19%</v>
      </c>
      <c r="H1017" s="3">
        <v>43934</v>
      </c>
      <c r="I1017" s="4">
        <v>46003.5</v>
      </c>
    </row>
    <row r="1018" spans="1:9" x14ac:dyDescent="0.25">
      <c r="A1018" s="3">
        <v>43930</v>
      </c>
      <c r="B1018" s="4">
        <v>45294</v>
      </c>
      <c r="C1018" s="4">
        <v>44838</v>
      </c>
      <c r="D1018" s="4">
        <v>45327</v>
      </c>
      <c r="E1018" s="4">
        <v>44838</v>
      </c>
      <c r="F1018" s="4" t="str">
        <v>3.27K</v>
      </c>
      <c r="G1018" s="4" t="str">
        <v>0.79%</v>
      </c>
      <c r="H1018" s="3">
        <v>43930</v>
      </c>
      <c r="I1018" s="4">
        <v>45082.5</v>
      </c>
    </row>
    <row r="1019" spans="1:9" x14ac:dyDescent="0.25">
      <c r="A1019" s="3">
        <v>43929</v>
      </c>
      <c r="B1019" s="4">
        <v>44941</v>
      </c>
      <c r="C1019" s="4">
        <v>44777</v>
      </c>
      <c r="D1019" s="4">
        <v>45036</v>
      </c>
      <c r="E1019" s="4">
        <v>44686</v>
      </c>
      <c r="F1019" s="4" t="str">
        <v>3.16K</v>
      </c>
      <c r="G1019" s="4" t="str">
        <v>-0.31%</v>
      </c>
      <c r="H1019" s="3">
        <v>43929</v>
      </c>
      <c r="I1019" s="4">
        <v>44861</v>
      </c>
    </row>
    <row r="1020" spans="1:9" x14ac:dyDescent="0.25">
      <c r="A1020" s="3">
        <v>43928</v>
      </c>
      <c r="B1020" s="4">
        <v>45081</v>
      </c>
      <c r="C1020" s="4">
        <v>44000</v>
      </c>
      <c r="D1020" s="4">
        <v>45724</v>
      </c>
      <c r="E1020" s="4">
        <v>44000</v>
      </c>
      <c r="F1020" s="4" t="str">
        <v>5.49K</v>
      </c>
      <c r="G1020" s="4" t="str">
        <v>2.57%</v>
      </c>
      <c r="H1020" s="3">
        <v>43928</v>
      </c>
      <c r="I1020" s="4">
        <v>44862</v>
      </c>
    </row>
    <row r="1021" spans="1:9" x14ac:dyDescent="0.25">
      <c r="A1021" s="3">
        <v>43924</v>
      </c>
      <c r="B1021" s="4">
        <v>43953</v>
      </c>
      <c r="C1021" s="4">
        <v>44657</v>
      </c>
      <c r="D1021" s="4">
        <v>45800</v>
      </c>
      <c r="E1021" s="4">
        <v>43650</v>
      </c>
      <c r="F1021" s="4" t="str">
        <v>0.06K</v>
      </c>
      <c r="G1021" s="4" t="str">
        <v>1.37%</v>
      </c>
      <c r="H1021" s="3">
        <v>43924</v>
      </c>
      <c r="I1021" s="4">
        <v>44725</v>
      </c>
    </row>
    <row r="1022" spans="1:9" x14ac:dyDescent="0.25">
      <c r="A1022" s="3">
        <v>43922</v>
      </c>
      <c r="B1022" s="4">
        <v>43357</v>
      </c>
      <c r="C1022" s="4">
        <v>43261</v>
      </c>
      <c r="D1022" s="4">
        <v>43550</v>
      </c>
      <c r="E1022" s="4">
        <v>43080</v>
      </c>
      <c r="F1022" s="4" t="str">
        <v>0.01K</v>
      </c>
      <c r="G1022" s="4" t="str">
        <v>0.24%</v>
      </c>
      <c r="H1022" s="3">
        <v>43922</v>
      </c>
      <c r="I1022" s="4">
        <v>43315</v>
      </c>
    </row>
    <row r="1023" spans="1:9" x14ac:dyDescent="0.25">
      <c r="A1023" s="3">
        <v>43921</v>
      </c>
      <c r="B1023" s="4">
        <v>43255</v>
      </c>
      <c r="C1023" s="4">
        <v>43799</v>
      </c>
      <c r="D1023" s="4">
        <v>43840</v>
      </c>
      <c r="E1023" s="4">
        <v>43130</v>
      </c>
      <c r="F1023" s="4" t="str">
        <v>0.07K</v>
      </c>
      <c r="G1023" s="4" t="str">
        <v>-1.34%</v>
      </c>
      <c r="H1023" s="3">
        <v>43921</v>
      </c>
      <c r="I1023" s="4">
        <v>43485</v>
      </c>
    </row>
    <row r="1024" spans="1:9" x14ac:dyDescent="0.25">
      <c r="A1024" s="3">
        <v>43920</v>
      </c>
      <c r="B1024" s="4">
        <v>43842</v>
      </c>
      <c r="C1024" s="4">
        <v>43450</v>
      </c>
      <c r="D1024" s="4">
        <v>44190</v>
      </c>
      <c r="E1024" s="4">
        <v>43212</v>
      </c>
      <c r="F1024" s="4" t="str">
        <v>0.40K</v>
      </c>
      <c r="G1024" s="4" t="str">
        <v>0.62%</v>
      </c>
      <c r="H1024" s="3">
        <v>43920</v>
      </c>
      <c r="I1024" s="4">
        <v>43701</v>
      </c>
    </row>
    <row r="1025" spans="1:9" x14ac:dyDescent="0.25">
      <c r="A1025" s="3">
        <v>43917</v>
      </c>
      <c r="B1025" s="4">
        <v>43571</v>
      </c>
      <c r="C1025" s="4">
        <v>42800</v>
      </c>
      <c r="D1025" s="4">
        <v>43760</v>
      </c>
      <c r="E1025" s="4">
        <v>42800</v>
      </c>
      <c r="F1025" s="4" t="str">
        <v>4.80K</v>
      </c>
      <c r="G1025" s="4" t="str">
        <v>0.07%</v>
      </c>
      <c r="H1025" s="3">
        <v>43917</v>
      </c>
      <c r="I1025" s="4">
        <v>43280</v>
      </c>
    </row>
    <row r="1026" spans="1:9" x14ac:dyDescent="0.25">
      <c r="A1026" s="3">
        <v>43916</v>
      </c>
      <c r="B1026" s="4">
        <v>43542</v>
      </c>
      <c r="C1026" s="4">
        <v>42001</v>
      </c>
      <c r="D1026" s="4">
        <v>44535</v>
      </c>
      <c r="E1026" s="4">
        <v>41430</v>
      </c>
      <c r="F1026" s="4" t="str">
        <v>7.07K</v>
      </c>
      <c r="G1026" s="4" t="str">
        <v>3.14%</v>
      </c>
      <c r="H1026" s="3">
        <v>43916</v>
      </c>
      <c r="I1026" s="4">
        <v>42982.5</v>
      </c>
    </row>
    <row r="1027" spans="1:9" x14ac:dyDescent="0.25">
      <c r="A1027" s="3">
        <v>43915</v>
      </c>
      <c r="B1027" s="4">
        <v>42217</v>
      </c>
      <c r="C1027" s="4">
        <v>41379</v>
      </c>
      <c r="D1027" s="4">
        <v>42785</v>
      </c>
      <c r="E1027" s="4">
        <v>40811</v>
      </c>
      <c r="F1027" s="4" t="str">
        <v>7.59K</v>
      </c>
      <c r="G1027" s="4" t="str">
        <v>2.03%</v>
      </c>
      <c r="H1027" s="3">
        <v>43915</v>
      </c>
      <c r="I1027" s="4">
        <v>41798</v>
      </c>
    </row>
    <row r="1028" spans="1:9" x14ac:dyDescent="0.25">
      <c r="A1028" s="3">
        <v>43914</v>
      </c>
      <c r="B1028" s="4">
        <v>41379</v>
      </c>
      <c r="C1028" s="4">
        <v>42184</v>
      </c>
      <c r="D1028" s="4">
        <v>42184</v>
      </c>
      <c r="E1028" s="4">
        <v>39929</v>
      </c>
      <c r="F1028" s="4" t="str">
        <v>12.74K</v>
      </c>
      <c r="G1028" s="4" t="str">
        <v>0.52%</v>
      </c>
      <c r="H1028" s="3">
        <v>43914</v>
      </c>
      <c r="I1028" s="4">
        <v>41056.5</v>
      </c>
    </row>
    <row r="1029" spans="1:9" x14ac:dyDescent="0.25">
      <c r="A1029" s="3">
        <v>43913</v>
      </c>
      <c r="B1029" s="4">
        <v>41163</v>
      </c>
      <c r="C1029" s="4">
        <v>40721</v>
      </c>
      <c r="D1029" s="4">
        <v>41310</v>
      </c>
      <c r="E1029" s="4">
        <v>39765</v>
      </c>
      <c r="F1029" s="4" t="str">
        <v>13.22K</v>
      </c>
      <c r="G1029" s="4" t="str">
        <v>1.99%</v>
      </c>
      <c r="H1029" s="3">
        <v>43913</v>
      </c>
      <c r="I1029" s="4">
        <v>40537.5</v>
      </c>
    </row>
    <row r="1030" spans="1:9" x14ac:dyDescent="0.25">
      <c r="A1030" s="3">
        <v>43910</v>
      </c>
      <c r="B1030" s="4">
        <v>40358</v>
      </c>
      <c r="C1030" s="4">
        <v>39900</v>
      </c>
      <c r="D1030" s="4">
        <v>40948</v>
      </c>
      <c r="E1030" s="4">
        <v>39838</v>
      </c>
      <c r="F1030" s="4" t="str">
        <v>15.28K</v>
      </c>
      <c r="G1030" s="4" t="str">
        <v>1.32%</v>
      </c>
      <c r="H1030" s="3">
        <v>43910</v>
      </c>
      <c r="I1030" s="4">
        <v>40393</v>
      </c>
    </row>
    <row r="1031" spans="1:9" x14ac:dyDescent="0.25">
      <c r="A1031" s="3">
        <v>43909</v>
      </c>
      <c r="B1031" s="4">
        <v>39831</v>
      </c>
      <c r="C1031" s="4">
        <v>39307</v>
      </c>
      <c r="D1031" s="4">
        <v>40099</v>
      </c>
      <c r="E1031" s="4">
        <v>39052</v>
      </c>
      <c r="F1031" s="4" t="str">
        <v>14.77K</v>
      </c>
      <c r="G1031" s="4" t="str">
        <v>0.27%</v>
      </c>
      <c r="H1031" s="3">
        <v>43909</v>
      </c>
      <c r="I1031" s="4">
        <v>39575.5</v>
      </c>
    </row>
    <row r="1032" spans="1:9" x14ac:dyDescent="0.25">
      <c r="A1032" s="3">
        <v>43908</v>
      </c>
      <c r="B1032" s="4">
        <v>39723</v>
      </c>
      <c r="C1032" s="4">
        <v>40127</v>
      </c>
      <c r="D1032" s="4">
        <v>40447</v>
      </c>
      <c r="E1032" s="4">
        <v>39318</v>
      </c>
      <c r="F1032" s="4" t="str">
        <v>22.19K</v>
      </c>
      <c r="G1032" s="4" t="str">
        <v>-1.29%</v>
      </c>
      <c r="H1032" s="3">
        <v>43908</v>
      </c>
      <c r="I1032" s="4">
        <v>39882.5</v>
      </c>
    </row>
    <row r="1033" spans="1:9" x14ac:dyDescent="0.25">
      <c r="A1033" s="3">
        <v>43907</v>
      </c>
      <c r="B1033" s="4">
        <v>40244</v>
      </c>
      <c r="C1033" s="4">
        <v>39489</v>
      </c>
      <c r="D1033" s="4">
        <v>40934</v>
      </c>
      <c r="E1033" s="4">
        <v>38650</v>
      </c>
      <c r="F1033" s="4" t="str">
        <v>24.02K</v>
      </c>
      <c r="G1033" s="4" t="str">
        <v>1.84%</v>
      </c>
      <c r="H1033" s="3">
        <v>43907</v>
      </c>
      <c r="I1033" s="4">
        <v>39792</v>
      </c>
    </row>
    <row r="1034" spans="1:9" x14ac:dyDescent="0.25">
      <c r="A1034" s="3">
        <v>43906</v>
      </c>
      <c r="B1034" s="4">
        <v>39518</v>
      </c>
      <c r="C1034" s="4">
        <v>40982</v>
      </c>
      <c r="D1034" s="4">
        <v>41199</v>
      </c>
      <c r="E1034" s="4">
        <v>38400</v>
      </c>
      <c r="F1034" s="4" t="str">
        <v>37.15K</v>
      </c>
      <c r="G1034" s="4" t="str">
        <v>-2.06%</v>
      </c>
      <c r="H1034" s="3">
        <v>43906</v>
      </c>
      <c r="I1034" s="4">
        <v>39799.5</v>
      </c>
    </row>
    <row r="1035" spans="1:9" x14ac:dyDescent="0.25">
      <c r="A1035" s="3">
        <v>43903</v>
      </c>
      <c r="B1035" s="4">
        <v>40348</v>
      </c>
      <c r="C1035" s="4">
        <v>41750</v>
      </c>
      <c r="D1035" s="4">
        <v>42070</v>
      </c>
      <c r="E1035" s="4">
        <v>40055</v>
      </c>
      <c r="F1035" s="4" t="str">
        <v>25.32K</v>
      </c>
      <c r="G1035" s="4" t="str">
        <v>-4.40%</v>
      </c>
      <c r="H1035" s="3">
        <v>43903</v>
      </c>
      <c r="I1035" s="4">
        <v>41062.5</v>
      </c>
    </row>
    <row r="1036" spans="1:9" x14ac:dyDescent="0.25">
      <c r="A1036" s="3">
        <v>43902</v>
      </c>
      <c r="B1036" s="4">
        <v>42206</v>
      </c>
      <c r="C1036" s="4">
        <v>43302</v>
      </c>
      <c r="D1036" s="4">
        <v>43637</v>
      </c>
      <c r="E1036" s="4">
        <v>41567</v>
      </c>
      <c r="F1036" s="4" t="str">
        <v>28.70K</v>
      </c>
      <c r="G1036" s="4" t="str">
        <v>-2.65%</v>
      </c>
      <c r="H1036" s="3">
        <v>43902</v>
      </c>
      <c r="I1036" s="4">
        <v>42602</v>
      </c>
    </row>
    <row r="1037" spans="1:9" x14ac:dyDescent="0.25">
      <c r="A1037" s="3">
        <v>43901</v>
      </c>
      <c r="B1037" s="4">
        <v>43355</v>
      </c>
      <c r="C1037" s="4">
        <v>43744</v>
      </c>
      <c r="D1037" s="4">
        <v>43875</v>
      </c>
      <c r="E1037" s="4">
        <v>43275</v>
      </c>
      <c r="F1037" s="4" t="str">
        <v>14.84K</v>
      </c>
      <c r="G1037" s="4" t="str">
        <v>-0.88%</v>
      </c>
      <c r="H1037" s="3">
        <v>43901</v>
      </c>
      <c r="I1037" s="4">
        <v>43575</v>
      </c>
    </row>
    <row r="1038" spans="1:9" x14ac:dyDescent="0.25">
      <c r="A1038" s="3">
        <v>43900</v>
      </c>
      <c r="B1038" s="4">
        <v>43740</v>
      </c>
      <c r="C1038" s="4">
        <v>43836</v>
      </c>
      <c r="D1038" s="4">
        <v>43941</v>
      </c>
      <c r="E1038" s="4">
        <v>43530</v>
      </c>
      <c r="F1038" s="4" t="str">
        <v>9.60K</v>
      </c>
      <c r="G1038" s="4" t="str">
        <v>-1.38%</v>
      </c>
      <c r="H1038" s="3">
        <v>43900</v>
      </c>
      <c r="I1038" s="4">
        <v>43735.5</v>
      </c>
    </row>
    <row r="1039" spans="1:9" x14ac:dyDescent="0.25">
      <c r="A1039" s="3">
        <v>43899</v>
      </c>
      <c r="B1039" s="4">
        <v>44353</v>
      </c>
      <c r="C1039" s="4">
        <v>44575</v>
      </c>
      <c r="D1039" s="4">
        <v>44772</v>
      </c>
      <c r="E1039" s="4">
        <v>43851</v>
      </c>
      <c r="F1039" s="4" t="str">
        <v>21.98K</v>
      </c>
      <c r="G1039" s="4" t="str">
        <v>0.44%</v>
      </c>
      <c r="H1039" s="3">
        <v>43899</v>
      </c>
      <c r="I1039" s="4">
        <v>44311.5</v>
      </c>
    </row>
    <row r="1040" spans="1:9" x14ac:dyDescent="0.25">
      <c r="A1040" s="3">
        <v>43896</v>
      </c>
      <c r="B1040" s="4">
        <v>44158</v>
      </c>
      <c r="C1040" s="4">
        <v>44574</v>
      </c>
      <c r="D1040" s="4">
        <v>44961</v>
      </c>
      <c r="E1040" s="4">
        <v>43432</v>
      </c>
      <c r="F1040" s="4" t="str">
        <v>35.39K</v>
      </c>
      <c r="G1040" s="4" t="str">
        <v>-0.67%</v>
      </c>
      <c r="H1040" s="3">
        <v>43896</v>
      </c>
      <c r="I1040" s="4">
        <v>44196.5</v>
      </c>
    </row>
    <row r="1041" spans="1:9" x14ac:dyDescent="0.25">
      <c r="A1041" s="3">
        <v>43895</v>
      </c>
      <c r="B1041" s="4">
        <v>44458</v>
      </c>
      <c r="C1041" s="4">
        <v>43504</v>
      </c>
      <c r="D1041" s="4">
        <v>44503</v>
      </c>
      <c r="E1041" s="4">
        <v>43243</v>
      </c>
      <c r="F1041" s="4" t="str">
        <v>22.50K</v>
      </c>
      <c r="G1041" s="4" t="str">
        <v>2.04%</v>
      </c>
      <c r="H1041" s="3">
        <v>43895</v>
      </c>
      <c r="I1041" s="4">
        <v>43873</v>
      </c>
    </row>
    <row r="1042" spans="1:9" x14ac:dyDescent="0.25">
      <c r="A1042" s="3">
        <v>43894</v>
      </c>
      <c r="B1042" s="4">
        <v>43569</v>
      </c>
      <c r="C1042" s="4">
        <v>43357</v>
      </c>
      <c r="D1042" s="4">
        <v>43778</v>
      </c>
      <c r="E1042" s="4">
        <v>43293</v>
      </c>
      <c r="F1042" s="4" t="str">
        <v>20.04K</v>
      </c>
      <c r="G1042" s="4" t="str">
        <v>0.22%</v>
      </c>
      <c r="H1042" s="3">
        <v>43894</v>
      </c>
      <c r="I1042" s="4">
        <v>43535.5</v>
      </c>
    </row>
    <row r="1043" spans="1:9" x14ac:dyDescent="0.25">
      <c r="A1043" s="3">
        <v>43893</v>
      </c>
      <c r="B1043" s="4">
        <v>43474</v>
      </c>
      <c r="C1043" s="4">
        <v>41927</v>
      </c>
      <c r="D1043" s="4">
        <v>43517</v>
      </c>
      <c r="E1043" s="4">
        <v>41873</v>
      </c>
      <c r="F1043" s="4" t="str">
        <v>26.80K</v>
      </c>
      <c r="G1043" s="4" t="str">
        <v>3.62%</v>
      </c>
      <c r="H1043" s="3">
        <v>43893</v>
      </c>
      <c r="I1043" s="4">
        <v>42695</v>
      </c>
    </row>
    <row r="1044" spans="1:9" x14ac:dyDescent="0.25">
      <c r="A1044" s="3">
        <v>43892</v>
      </c>
      <c r="B1044" s="4">
        <v>41956</v>
      </c>
      <c r="C1044" s="4">
        <v>41738</v>
      </c>
      <c r="D1044" s="4">
        <v>42343</v>
      </c>
      <c r="E1044" s="4">
        <v>41646</v>
      </c>
      <c r="F1044" s="4" t="str">
        <v>22.69K</v>
      </c>
      <c r="G1044" s="4" t="str">
        <v>1.35%</v>
      </c>
      <c r="H1044" s="3">
        <v>43892</v>
      </c>
      <c r="I1044" s="4">
        <v>41994.5</v>
      </c>
    </row>
    <row r="1045" spans="1:9" x14ac:dyDescent="0.25">
      <c r="A1045" s="3">
        <v>43889</v>
      </c>
      <c r="B1045" s="4">
        <v>41397</v>
      </c>
      <c r="C1045" s="4">
        <v>42670</v>
      </c>
      <c r="D1045" s="4">
        <v>42747</v>
      </c>
      <c r="E1045" s="4">
        <v>41275</v>
      </c>
      <c r="F1045" s="4" t="str">
        <v>34.99K</v>
      </c>
      <c r="G1045" s="4" t="str">
        <v>-2.33%</v>
      </c>
      <c r="H1045" s="3">
        <v>43889</v>
      </c>
      <c r="I1045" s="4">
        <v>42011</v>
      </c>
    </row>
    <row r="1046" spans="1:9" x14ac:dyDescent="0.25">
      <c r="A1046" s="3">
        <v>43888</v>
      </c>
      <c r="B1046" s="4">
        <v>42385</v>
      </c>
      <c r="C1046" s="4">
        <v>42640</v>
      </c>
      <c r="D1046" s="4">
        <v>42976</v>
      </c>
      <c r="E1046" s="4">
        <v>42322</v>
      </c>
      <c r="F1046" s="4" t="str">
        <v>20.94K</v>
      </c>
      <c r="G1046" s="4" t="str">
        <v>-0.28%</v>
      </c>
      <c r="H1046" s="3">
        <v>43888</v>
      </c>
      <c r="I1046" s="4">
        <v>42649</v>
      </c>
    </row>
    <row r="1047" spans="1:9" x14ac:dyDescent="0.25">
      <c r="A1047" s="3">
        <v>43887</v>
      </c>
      <c r="B1047" s="4">
        <v>42504</v>
      </c>
      <c r="C1047" s="4">
        <v>42536</v>
      </c>
      <c r="D1047" s="4">
        <v>42854</v>
      </c>
      <c r="E1047" s="4">
        <v>42100</v>
      </c>
      <c r="F1047" s="4" t="str">
        <v>19.75K</v>
      </c>
      <c r="G1047" s="4" t="str">
        <v>-0.66%</v>
      </c>
      <c r="H1047" s="3">
        <v>43887</v>
      </c>
      <c r="I1047" s="4">
        <v>42477</v>
      </c>
    </row>
    <row r="1048" spans="1:9" x14ac:dyDescent="0.25">
      <c r="A1048" s="3">
        <v>43886</v>
      </c>
      <c r="B1048" s="4">
        <v>42788</v>
      </c>
      <c r="C1048" s="4">
        <v>43176</v>
      </c>
      <c r="D1048" s="4">
        <v>43176</v>
      </c>
      <c r="E1048" s="4">
        <v>42371</v>
      </c>
      <c r="F1048" s="4" t="str">
        <v>26.43K</v>
      </c>
      <c r="G1048" s="4" t="str">
        <v>-1.82%</v>
      </c>
      <c r="H1048" s="3">
        <v>43886</v>
      </c>
      <c r="I1048" s="4">
        <v>42773.5</v>
      </c>
    </row>
    <row r="1049" spans="1:9" x14ac:dyDescent="0.25">
      <c r="A1049" s="3">
        <v>43885</v>
      </c>
      <c r="B1049" s="4">
        <v>43580</v>
      </c>
      <c r="C1049" s="4">
        <v>42932</v>
      </c>
      <c r="D1049" s="4">
        <v>43788</v>
      </c>
      <c r="E1049" s="4">
        <v>42932</v>
      </c>
      <c r="F1049" s="4" t="str">
        <v>25.49K</v>
      </c>
      <c r="G1049" s="4" t="str">
        <v>2.14%</v>
      </c>
      <c r="H1049" s="3">
        <v>43885</v>
      </c>
      <c r="I1049" s="4">
        <v>43360</v>
      </c>
    </row>
    <row r="1050" spans="1:9" x14ac:dyDescent="0.25">
      <c r="A1050" s="3">
        <v>43882</v>
      </c>
      <c r="B1050" s="4">
        <v>42666</v>
      </c>
      <c r="C1050" s="4">
        <v>42210</v>
      </c>
      <c r="D1050" s="4">
        <v>42790</v>
      </c>
      <c r="E1050" s="4">
        <v>42210</v>
      </c>
      <c r="F1050" s="4" t="str">
        <v>13.35K</v>
      </c>
      <c r="G1050" s="4" t="str">
        <v>1.49%</v>
      </c>
      <c r="H1050" s="3">
        <v>43882</v>
      </c>
      <c r="I1050" s="4">
        <v>42500</v>
      </c>
    </row>
    <row r="1051" spans="1:9" x14ac:dyDescent="0.25">
      <c r="A1051" s="3">
        <v>43881</v>
      </c>
      <c r="B1051" s="4">
        <v>42039</v>
      </c>
      <c r="C1051" s="4">
        <v>41651</v>
      </c>
      <c r="D1051" s="4">
        <v>42158</v>
      </c>
      <c r="E1051" s="4">
        <v>41500</v>
      </c>
      <c r="F1051" s="4" t="str">
        <v>19.36K</v>
      </c>
      <c r="G1051" s="4" t="str">
        <v>1.09%</v>
      </c>
      <c r="H1051" s="3">
        <v>43881</v>
      </c>
      <c r="I1051" s="4">
        <v>41829</v>
      </c>
    </row>
    <row r="1052" spans="1:9" x14ac:dyDescent="0.25">
      <c r="A1052" s="3">
        <v>43880</v>
      </c>
      <c r="B1052" s="4">
        <v>41586</v>
      </c>
      <c r="C1052" s="4">
        <v>41408</v>
      </c>
      <c r="D1052" s="4">
        <v>41619</v>
      </c>
      <c r="E1052" s="4">
        <v>41350</v>
      </c>
      <c r="F1052" s="4" t="str">
        <v>13.65K</v>
      </c>
      <c r="G1052" s="4" t="str">
        <v>0.40%</v>
      </c>
      <c r="H1052" s="3">
        <v>43880</v>
      </c>
      <c r="I1052" s="4">
        <v>41484.5</v>
      </c>
    </row>
    <row r="1053" spans="1:9" x14ac:dyDescent="0.25">
      <c r="A1053" s="3">
        <v>43879</v>
      </c>
      <c r="B1053" s="4">
        <v>41420</v>
      </c>
      <c r="C1053" s="4">
        <v>40900</v>
      </c>
      <c r="D1053" s="4">
        <v>41480</v>
      </c>
      <c r="E1053" s="4">
        <v>40900</v>
      </c>
      <c r="F1053" s="4" t="str">
        <v>14.83K</v>
      </c>
      <c r="G1053" s="4" t="str">
        <v>1.63%</v>
      </c>
      <c r="H1053" s="3">
        <v>43879</v>
      </c>
      <c r="I1053" s="4">
        <v>41190</v>
      </c>
    </row>
    <row r="1054" spans="1:9" x14ac:dyDescent="0.25">
      <c r="A1054" s="3">
        <v>43878</v>
      </c>
      <c r="B1054" s="4">
        <v>40756</v>
      </c>
      <c r="C1054" s="4">
        <v>40889</v>
      </c>
      <c r="D1054" s="4">
        <v>40925</v>
      </c>
      <c r="E1054" s="4">
        <v>40720</v>
      </c>
      <c r="F1054" s="4" t="str">
        <v>6.98K</v>
      </c>
      <c r="G1054" s="4" t="str">
        <v>-0.54%</v>
      </c>
      <c r="H1054" s="3">
        <v>43878</v>
      </c>
      <c r="I1054" s="4">
        <v>40822.5</v>
      </c>
    </row>
    <row r="1055" spans="1:9" x14ac:dyDescent="0.25">
      <c r="A1055" s="3">
        <v>43875</v>
      </c>
      <c r="B1055" s="4">
        <v>40979</v>
      </c>
      <c r="C1055" s="4">
        <v>40601</v>
      </c>
      <c r="D1055" s="4">
        <v>41010</v>
      </c>
      <c r="E1055" s="4">
        <v>40573</v>
      </c>
      <c r="F1055" s="4" t="str">
        <v>10.12K</v>
      </c>
      <c r="G1055" s="4" t="str">
        <v>0.79%</v>
      </c>
      <c r="H1055" s="3">
        <v>43875</v>
      </c>
      <c r="I1055" s="4">
        <v>40791.5</v>
      </c>
    </row>
    <row r="1056" spans="1:9" x14ac:dyDescent="0.25">
      <c r="A1056" s="3">
        <v>43874</v>
      </c>
      <c r="B1056" s="4">
        <v>40656</v>
      </c>
      <c r="C1056" s="4">
        <v>40551</v>
      </c>
      <c r="D1056" s="4">
        <v>40700</v>
      </c>
      <c r="E1056" s="4">
        <v>40513</v>
      </c>
      <c r="F1056" s="4" t="str">
        <v>9.87K</v>
      </c>
      <c r="G1056" s="4" t="str">
        <v>0.42%</v>
      </c>
      <c r="H1056" s="3">
        <v>43874</v>
      </c>
      <c r="I1056" s="4">
        <v>40606.5</v>
      </c>
    </row>
    <row r="1057" spans="1:9" x14ac:dyDescent="0.25">
      <c r="A1057" s="3">
        <v>43873</v>
      </c>
      <c r="B1057" s="4">
        <v>40484</v>
      </c>
      <c r="C1057" s="4">
        <v>40431</v>
      </c>
      <c r="D1057" s="4">
        <v>40549</v>
      </c>
      <c r="E1057" s="4">
        <v>40306</v>
      </c>
      <c r="F1057" s="4" t="str">
        <v>9.98K</v>
      </c>
      <c r="G1057" s="4" t="str">
        <v>0.18%</v>
      </c>
      <c r="H1057" s="3">
        <v>43873</v>
      </c>
      <c r="I1057" s="4">
        <v>40427.5</v>
      </c>
    </row>
    <row r="1058" spans="1:9" x14ac:dyDescent="0.25">
      <c r="A1058" s="3">
        <v>43872</v>
      </c>
      <c r="B1058" s="4">
        <v>40410</v>
      </c>
      <c r="C1058" s="4">
        <v>40566</v>
      </c>
      <c r="D1058" s="4">
        <v>40577</v>
      </c>
      <c r="E1058" s="4">
        <v>40300</v>
      </c>
      <c r="F1058" s="4" t="str">
        <v>11.52K</v>
      </c>
      <c r="G1058" s="4" t="str">
        <v>-0.66%</v>
      </c>
      <c r="H1058" s="3">
        <v>43872</v>
      </c>
      <c r="I1058" s="4">
        <v>40438.5</v>
      </c>
    </row>
    <row r="1059" spans="1:9" x14ac:dyDescent="0.25">
      <c r="A1059" s="3">
        <v>43871</v>
      </c>
      <c r="B1059" s="4">
        <v>40679</v>
      </c>
      <c r="C1059" s="4">
        <v>40566</v>
      </c>
      <c r="D1059" s="4">
        <v>40715</v>
      </c>
      <c r="E1059" s="4">
        <v>40514</v>
      </c>
      <c r="F1059" s="4" t="str">
        <v>8.34K</v>
      </c>
      <c r="G1059" s="4" t="str">
        <v>0.09%</v>
      </c>
      <c r="H1059" s="3">
        <v>43871</v>
      </c>
      <c r="I1059" s="4">
        <v>40614.5</v>
      </c>
    </row>
    <row r="1060" spans="1:9" x14ac:dyDescent="0.25">
      <c r="A1060" s="3">
        <v>43868</v>
      </c>
      <c r="B1060" s="4">
        <v>40644</v>
      </c>
      <c r="C1060" s="4">
        <v>40393</v>
      </c>
      <c r="D1060" s="4">
        <v>40724</v>
      </c>
      <c r="E1060" s="4">
        <v>40302</v>
      </c>
      <c r="F1060" s="4" t="str">
        <v>13.03K</v>
      </c>
      <c r="G1060" s="4" t="str">
        <v>0.73%</v>
      </c>
      <c r="H1060" s="3">
        <v>43868</v>
      </c>
      <c r="I1060" s="4">
        <v>40513</v>
      </c>
    </row>
    <row r="1061" spans="1:9" x14ac:dyDescent="0.25">
      <c r="A1061" s="3">
        <v>43867</v>
      </c>
      <c r="B1061" s="4">
        <v>40351</v>
      </c>
      <c r="C1061" s="4">
        <v>40081</v>
      </c>
      <c r="D1061" s="4">
        <v>40421</v>
      </c>
      <c r="E1061" s="4">
        <v>40030</v>
      </c>
      <c r="F1061" s="4" t="str">
        <v>11.32K</v>
      </c>
      <c r="G1061" s="4" t="str">
        <v>0.44%</v>
      </c>
      <c r="H1061" s="3">
        <v>43867</v>
      </c>
      <c r="I1061" s="4">
        <v>40225.5</v>
      </c>
    </row>
    <row r="1062" spans="1:9" x14ac:dyDescent="0.25">
      <c r="A1062" s="3">
        <v>43866</v>
      </c>
      <c r="B1062" s="4">
        <v>40175</v>
      </c>
      <c r="C1062" s="4">
        <v>40201</v>
      </c>
      <c r="D1062" s="4">
        <v>40280</v>
      </c>
      <c r="E1062" s="4">
        <v>40000</v>
      </c>
      <c r="F1062" s="4" t="str">
        <v>0.01K</v>
      </c>
      <c r="G1062" s="4" t="str">
        <v>-0.32%</v>
      </c>
      <c r="H1062" s="3">
        <v>43866</v>
      </c>
      <c r="I1062" s="4">
        <v>40140</v>
      </c>
    </row>
    <row r="1063" spans="1:9" x14ac:dyDescent="0.25">
      <c r="A1063" s="3">
        <v>43865</v>
      </c>
      <c r="B1063" s="4">
        <v>40302</v>
      </c>
      <c r="C1063" s="4">
        <v>40408</v>
      </c>
      <c r="D1063" s="4">
        <v>40500</v>
      </c>
      <c r="E1063" s="4">
        <v>40112</v>
      </c>
      <c r="F1063" s="4" t="str">
        <v>0.02K</v>
      </c>
      <c r="G1063" s="4" t="str">
        <v>-0.88%</v>
      </c>
      <c r="H1063" s="3">
        <v>43865</v>
      </c>
      <c r="I1063" s="4">
        <v>40306</v>
      </c>
    </row>
    <row r="1064" spans="1:9" x14ac:dyDescent="0.25">
      <c r="A1064" s="3">
        <v>43864</v>
      </c>
      <c r="B1064" s="4">
        <v>40661</v>
      </c>
      <c r="C1064" s="4">
        <v>41011</v>
      </c>
      <c r="D1064" s="4">
        <v>41050</v>
      </c>
      <c r="E1064" s="4">
        <v>40371</v>
      </c>
      <c r="F1064" s="4" t="str">
        <v>0.09K</v>
      </c>
      <c r="G1064" s="4" t="str">
        <v>-1.32%</v>
      </c>
      <c r="H1064" s="3">
        <v>43864</v>
      </c>
      <c r="I1064" s="4">
        <v>40710.5</v>
      </c>
    </row>
    <row r="1065" spans="1:9" x14ac:dyDescent="0.25">
      <c r="A1065" s="3">
        <v>43862</v>
      </c>
      <c r="B1065" s="4">
        <v>41206</v>
      </c>
      <c r="C1065" s="4">
        <v>41035</v>
      </c>
      <c r="D1065" s="4">
        <v>41297</v>
      </c>
      <c r="E1065" s="4">
        <v>40820</v>
      </c>
      <c r="F1065" s="4" t="str">
        <v>3.49K</v>
      </c>
      <c r="G1065" s="4" t="str">
        <v>0.50%</v>
      </c>
      <c r="H1065" s="3">
        <v>43862</v>
      </c>
      <c r="I1065" s="4">
        <v>41058.5</v>
      </c>
    </row>
    <row r="1066" spans="1:9" x14ac:dyDescent="0.25">
      <c r="A1066" s="3">
        <v>43861</v>
      </c>
      <c r="B1066" s="4">
        <v>41000</v>
      </c>
      <c r="C1066" s="4">
        <v>41014</v>
      </c>
      <c r="D1066" s="4">
        <v>41145</v>
      </c>
      <c r="E1066" s="4">
        <v>40571</v>
      </c>
      <c r="F1066" s="4" t="str">
        <v>0.98K</v>
      </c>
      <c r="G1066" s="4" t="str">
        <v>0.06%</v>
      </c>
      <c r="H1066" s="3">
        <v>43861</v>
      </c>
      <c r="I1066" s="4">
        <v>40858</v>
      </c>
    </row>
    <row r="1067" spans="1:9" x14ac:dyDescent="0.25">
      <c r="A1067" s="3">
        <v>43860</v>
      </c>
      <c r="B1067" s="4">
        <v>40975</v>
      </c>
      <c r="C1067" s="4">
        <v>40486</v>
      </c>
      <c r="D1067" s="4">
        <v>41068</v>
      </c>
      <c r="E1067" s="4">
        <v>40472</v>
      </c>
      <c r="F1067" s="4" t="str">
        <v>5.91K</v>
      </c>
      <c r="G1067" s="4" t="str">
        <v>1.55%</v>
      </c>
      <c r="H1067" s="3">
        <v>43860</v>
      </c>
      <c r="I1067" s="4">
        <v>40770</v>
      </c>
    </row>
    <row r="1068" spans="1:9" x14ac:dyDescent="0.25">
      <c r="A1068" s="3">
        <v>43859</v>
      </c>
      <c r="B1068" s="4">
        <v>40350</v>
      </c>
      <c r="C1068" s="4">
        <v>40111</v>
      </c>
      <c r="D1068" s="4">
        <v>40458</v>
      </c>
      <c r="E1068" s="4">
        <v>40066</v>
      </c>
      <c r="F1068" s="4" t="str">
        <v>12.11K</v>
      </c>
      <c r="G1068" s="4" t="str">
        <v>0.27%</v>
      </c>
      <c r="H1068" s="3">
        <v>43859</v>
      </c>
      <c r="I1068" s="4">
        <v>40262</v>
      </c>
    </row>
    <row r="1069" spans="1:9" x14ac:dyDescent="0.25">
      <c r="A1069" s="3">
        <v>43858</v>
      </c>
      <c r="B1069" s="4">
        <v>40242</v>
      </c>
      <c r="C1069" s="4">
        <v>40562</v>
      </c>
      <c r="D1069" s="4">
        <v>40608</v>
      </c>
      <c r="E1069" s="4">
        <v>40156</v>
      </c>
      <c r="F1069" s="4" t="str">
        <v>13.19K</v>
      </c>
      <c r="G1069" s="4" t="str">
        <v>-0.85%</v>
      </c>
      <c r="H1069" s="3">
        <v>43858</v>
      </c>
      <c r="I1069" s="4">
        <v>40382</v>
      </c>
    </row>
    <row r="1070" spans="1:9" x14ac:dyDescent="0.25">
      <c r="A1070" s="3">
        <v>43857</v>
      </c>
      <c r="B1070" s="4">
        <v>40585</v>
      </c>
      <c r="C1070" s="4">
        <v>40500</v>
      </c>
      <c r="D1070" s="4">
        <v>40810</v>
      </c>
      <c r="E1070" s="4">
        <v>40480</v>
      </c>
      <c r="F1070" s="4" t="str">
        <v>13.93K</v>
      </c>
      <c r="G1070" s="4" t="str">
        <v>0.58%</v>
      </c>
      <c r="H1070" s="3">
        <v>43857</v>
      </c>
      <c r="I1070" s="4">
        <v>40645</v>
      </c>
    </row>
    <row r="1071" spans="1:9" x14ac:dyDescent="0.25">
      <c r="A1071" s="3">
        <v>43854</v>
      </c>
      <c r="B1071" s="4">
        <v>40352</v>
      </c>
      <c r="C1071" s="4">
        <v>40214</v>
      </c>
      <c r="D1071" s="4">
        <v>40440</v>
      </c>
      <c r="E1071" s="4">
        <v>39951</v>
      </c>
      <c r="F1071" s="4" t="str">
        <v>14.74K</v>
      </c>
      <c r="G1071" s="4" t="str">
        <v>0.17%</v>
      </c>
      <c r="H1071" s="3">
        <v>43854</v>
      </c>
      <c r="I1071" s="4">
        <v>40195.5</v>
      </c>
    </row>
    <row r="1072" spans="1:9" x14ac:dyDescent="0.25">
      <c r="A1072" s="3">
        <v>43853</v>
      </c>
      <c r="B1072" s="4">
        <v>40283</v>
      </c>
      <c r="C1072" s="4">
        <v>39904</v>
      </c>
      <c r="D1072" s="4">
        <v>40311</v>
      </c>
      <c r="E1072" s="4">
        <v>39836</v>
      </c>
      <c r="F1072" s="4" t="str">
        <v>12.42K</v>
      </c>
      <c r="G1072" s="4" t="str">
        <v>0.93%</v>
      </c>
      <c r="H1072" s="3">
        <v>43853</v>
      </c>
      <c r="I1072" s="4">
        <v>40073.5</v>
      </c>
    </row>
    <row r="1073" spans="1:9" x14ac:dyDescent="0.25">
      <c r="A1073" s="3">
        <v>43852</v>
      </c>
      <c r="B1073" s="4">
        <v>39913</v>
      </c>
      <c r="C1073" s="4">
        <v>39817</v>
      </c>
      <c r="D1073" s="4">
        <v>39974</v>
      </c>
      <c r="E1073" s="4">
        <v>39752</v>
      </c>
      <c r="F1073" s="4" t="str">
        <v>9.30K</v>
      </c>
      <c r="G1073" s="4" t="str">
        <v>0.01%</v>
      </c>
      <c r="H1073" s="3">
        <v>43852</v>
      </c>
      <c r="I1073" s="4">
        <v>39863</v>
      </c>
    </row>
    <row r="1074" spans="1:9" x14ac:dyDescent="0.25">
      <c r="A1074" s="3">
        <v>43851</v>
      </c>
      <c r="B1074" s="4">
        <v>39911</v>
      </c>
      <c r="C1074" s="4">
        <v>40090</v>
      </c>
      <c r="D1074" s="4">
        <v>40176</v>
      </c>
      <c r="E1074" s="4">
        <v>39675</v>
      </c>
      <c r="F1074" s="4" t="str">
        <v>14.86K</v>
      </c>
      <c r="G1074" s="4" t="str">
        <v>-0.09%</v>
      </c>
      <c r="H1074" s="3">
        <v>43851</v>
      </c>
      <c r="I1074" s="4">
        <v>39925.5</v>
      </c>
    </row>
    <row r="1075" spans="1:9" x14ac:dyDescent="0.25">
      <c r="A1075" s="3">
        <v>43850</v>
      </c>
      <c r="B1075" s="4">
        <v>39947</v>
      </c>
      <c r="C1075" s="4">
        <v>39900</v>
      </c>
      <c r="D1075" s="4">
        <v>40000</v>
      </c>
      <c r="E1075" s="4">
        <v>39880</v>
      </c>
      <c r="F1075" s="4" t="str">
        <v>7.12K</v>
      </c>
      <c r="G1075" s="4" t="str">
        <v>0.00%</v>
      </c>
      <c r="H1075" s="3">
        <v>43850</v>
      </c>
      <c r="I1075" s="4">
        <v>39940</v>
      </c>
    </row>
    <row r="1076" spans="1:9" x14ac:dyDescent="0.25">
      <c r="A1076" s="3">
        <v>43847</v>
      </c>
      <c r="B1076" s="4">
        <v>39946</v>
      </c>
      <c r="C1076" s="4">
        <v>39730</v>
      </c>
      <c r="D1076" s="4">
        <v>39983</v>
      </c>
      <c r="E1076" s="4">
        <v>39702</v>
      </c>
      <c r="F1076" s="4" t="str">
        <v>10.63K</v>
      </c>
      <c r="G1076" s="4" t="str">
        <v>0.66%</v>
      </c>
      <c r="H1076" s="3">
        <v>43847</v>
      </c>
      <c r="I1076" s="4">
        <v>39842.5</v>
      </c>
    </row>
    <row r="1077" spans="1:9" x14ac:dyDescent="0.25">
      <c r="A1077" s="3">
        <v>43846</v>
      </c>
      <c r="B1077" s="4">
        <v>39686</v>
      </c>
      <c r="C1077" s="4">
        <v>39655</v>
      </c>
      <c r="D1077" s="4">
        <v>39775</v>
      </c>
      <c r="E1077" s="4">
        <v>39588</v>
      </c>
      <c r="F1077" s="4" t="str">
        <v>9.42K</v>
      </c>
      <c r="G1077" s="4" t="str">
        <v>0.19%</v>
      </c>
      <c r="H1077" s="3">
        <v>43846</v>
      </c>
      <c r="I1077" s="4">
        <v>39681.5</v>
      </c>
    </row>
    <row r="1078" spans="1:9" x14ac:dyDescent="0.25">
      <c r="A1078" s="3">
        <v>43845</v>
      </c>
      <c r="B1078" s="4">
        <v>39611</v>
      </c>
      <c r="C1078" s="4">
        <v>39646</v>
      </c>
      <c r="D1078" s="4">
        <v>39708</v>
      </c>
      <c r="E1078" s="4">
        <v>39477</v>
      </c>
      <c r="F1078" s="4" t="str">
        <v>10.79K</v>
      </c>
      <c r="G1078" s="4" t="str">
        <v>0.42%</v>
      </c>
      <c r="H1078" s="3">
        <v>43845</v>
      </c>
      <c r="I1078" s="4">
        <v>39592.5</v>
      </c>
    </row>
    <row r="1079" spans="1:9" x14ac:dyDescent="0.25">
      <c r="A1079" s="3">
        <v>43844</v>
      </c>
      <c r="B1079" s="4">
        <v>39447</v>
      </c>
      <c r="C1079" s="4">
        <v>39500</v>
      </c>
      <c r="D1079" s="4">
        <v>39530</v>
      </c>
      <c r="E1079" s="4">
        <v>39262</v>
      </c>
      <c r="F1079" s="4" t="str">
        <v>12.16K</v>
      </c>
      <c r="G1079" s="4" t="str">
        <v>-0.25%</v>
      </c>
      <c r="H1079" s="3">
        <v>43844</v>
      </c>
      <c r="I1079" s="4">
        <v>39396</v>
      </c>
    </row>
    <row r="1080" spans="1:9" x14ac:dyDescent="0.25">
      <c r="A1080" s="3">
        <v>43843</v>
      </c>
      <c r="B1080" s="4">
        <v>39546</v>
      </c>
      <c r="C1080" s="4">
        <v>39722</v>
      </c>
      <c r="D1080" s="4">
        <v>39801</v>
      </c>
      <c r="E1080" s="4">
        <v>39523</v>
      </c>
      <c r="F1080" s="4" t="str">
        <v>13.48K</v>
      </c>
      <c r="G1080" s="4" t="str">
        <v>-0.82%</v>
      </c>
      <c r="H1080" s="3">
        <v>43843</v>
      </c>
      <c r="I1080" s="4">
        <v>39662</v>
      </c>
    </row>
    <row r="1081" spans="1:9" x14ac:dyDescent="0.25">
      <c r="A1081" s="3">
        <v>43840</v>
      </c>
      <c r="B1081" s="4">
        <v>39871</v>
      </c>
      <c r="C1081" s="4">
        <v>39718</v>
      </c>
      <c r="D1081" s="4">
        <v>39913</v>
      </c>
      <c r="E1081" s="4">
        <v>39568</v>
      </c>
      <c r="F1081" s="4" t="str">
        <v>15.61K</v>
      </c>
      <c r="G1081" s="4" t="str">
        <v>0.10%</v>
      </c>
      <c r="H1081" s="3">
        <v>43840</v>
      </c>
      <c r="I1081" s="4">
        <v>39740.5</v>
      </c>
    </row>
    <row r="1082" spans="1:9" x14ac:dyDescent="0.25">
      <c r="A1082" s="3">
        <v>43839</v>
      </c>
      <c r="B1082" s="4">
        <v>39830</v>
      </c>
      <c r="C1082" s="4">
        <v>40036</v>
      </c>
      <c r="D1082" s="4">
        <v>40144</v>
      </c>
      <c r="E1082" s="4">
        <v>39610</v>
      </c>
      <c r="F1082" s="4" t="str">
        <v>18.79K</v>
      </c>
      <c r="G1082" s="4" t="str">
        <v>-0.70%</v>
      </c>
      <c r="H1082" s="3">
        <v>43839</v>
      </c>
      <c r="I1082" s="4">
        <v>39877</v>
      </c>
    </row>
    <row r="1083" spans="1:9" x14ac:dyDescent="0.25">
      <c r="A1083" s="3">
        <v>43838</v>
      </c>
      <c r="B1083" s="4">
        <v>40110</v>
      </c>
      <c r="C1083" s="4">
        <v>40946</v>
      </c>
      <c r="D1083" s="4">
        <v>41293</v>
      </c>
      <c r="E1083" s="4">
        <v>39922</v>
      </c>
      <c r="F1083" s="4" t="str">
        <v>29.94K</v>
      </c>
      <c r="G1083" s="4" t="str">
        <v>-1.36%</v>
      </c>
      <c r="H1083" s="3">
        <v>43838</v>
      </c>
      <c r="I1083" s="4">
        <v>40607.5</v>
      </c>
    </row>
    <row r="1084" spans="1:9" x14ac:dyDescent="0.25">
      <c r="A1084" s="3">
        <v>43837</v>
      </c>
      <c r="B1084" s="4">
        <v>40663</v>
      </c>
      <c r="C1084" s="4">
        <v>40350</v>
      </c>
      <c r="D1084" s="4">
        <v>40693</v>
      </c>
      <c r="E1084" s="4">
        <v>40203</v>
      </c>
      <c r="F1084" s="4" t="str">
        <v>16.49K</v>
      </c>
      <c r="G1084" s="4" t="str">
        <v>0.47%</v>
      </c>
      <c r="H1084" s="3">
        <v>43837</v>
      </c>
      <c r="I1084" s="4">
        <v>40448</v>
      </c>
    </row>
    <row r="1085" spans="1:9" x14ac:dyDescent="0.25">
      <c r="A1085" s="3">
        <v>43836</v>
      </c>
      <c r="B1085" s="4">
        <v>40472</v>
      </c>
      <c r="C1085" s="4">
        <v>40250</v>
      </c>
      <c r="D1085" s="4">
        <v>41096</v>
      </c>
      <c r="E1085" s="4">
        <v>40250</v>
      </c>
      <c r="F1085" s="4" t="str">
        <v>21.49K</v>
      </c>
      <c r="G1085" s="4" t="str">
        <v>0.90%</v>
      </c>
      <c r="H1085" s="3">
        <v>43836</v>
      </c>
      <c r="I1085" s="4">
        <v>40673</v>
      </c>
    </row>
    <row r="1086" spans="1:9" x14ac:dyDescent="0.25">
      <c r="A1086" s="3">
        <v>43833</v>
      </c>
      <c r="B1086" s="4">
        <v>40112</v>
      </c>
      <c r="C1086" s="4">
        <v>39500</v>
      </c>
      <c r="D1086" s="4">
        <v>40143</v>
      </c>
      <c r="E1086" s="4">
        <v>39500</v>
      </c>
      <c r="F1086" s="4" t="str">
        <v>20.36K</v>
      </c>
      <c r="G1086" s="4" t="str">
        <v>2.13%</v>
      </c>
      <c r="H1086" s="3">
        <v>43833</v>
      </c>
      <c r="I1086" s="4">
        <v>39821.5</v>
      </c>
    </row>
    <row r="1087" spans="1:9" x14ac:dyDescent="0.25">
      <c r="A1087" s="3">
        <v>43832</v>
      </c>
      <c r="B1087" s="4">
        <v>39277</v>
      </c>
      <c r="C1087" s="4">
        <v>39051</v>
      </c>
      <c r="D1087" s="4">
        <v>39400</v>
      </c>
      <c r="E1087" s="4">
        <v>39041</v>
      </c>
      <c r="F1087" s="4" t="str">
        <v>14.13K</v>
      </c>
      <c r="G1087" s="4" t="str">
        <v>0.54%</v>
      </c>
      <c r="H1087" s="3">
        <v>43832</v>
      </c>
      <c r="I1087" s="4">
        <v>39220.5</v>
      </c>
    </row>
    <row r="1088" spans="1:9" x14ac:dyDescent="0.25">
      <c r="A1088" s="3">
        <v>43831</v>
      </c>
      <c r="B1088" s="4">
        <v>39067</v>
      </c>
      <c r="C1088" s="4">
        <v>39108</v>
      </c>
      <c r="D1088" s="4">
        <v>39113</v>
      </c>
      <c r="E1088" s="4">
        <v>38957</v>
      </c>
      <c r="F1088" s="4" t="str">
        <v>2.81K</v>
      </c>
      <c r="G1088" s="4" t="str">
        <v>-0.10%</v>
      </c>
      <c r="H1088" s="3">
        <v>43831</v>
      </c>
      <c r="I1088" s="4">
        <v>39035</v>
      </c>
    </row>
    <row r="1089" spans="1:9" x14ac:dyDescent="0.25">
      <c r="A1089" s="3">
        <v>43830</v>
      </c>
      <c r="B1089" s="4">
        <v>39108</v>
      </c>
      <c r="C1089" s="4">
        <v>39053</v>
      </c>
      <c r="D1089" s="4">
        <v>39270</v>
      </c>
      <c r="E1089" s="4">
        <v>39011</v>
      </c>
      <c r="F1089" s="4" t="str">
        <v>11.48K</v>
      </c>
      <c r="G1089" s="4" t="str">
        <v>0.35%</v>
      </c>
      <c r="H1089" s="3">
        <v>43830</v>
      </c>
      <c r="I1089" s="4">
        <v>39140.5</v>
      </c>
    </row>
    <row r="1090" spans="1:9" x14ac:dyDescent="0.25">
      <c r="A1090" s="3">
        <v>43829</v>
      </c>
      <c r="B1090" s="4">
        <v>38971</v>
      </c>
      <c r="C1090" s="4">
        <v>39067</v>
      </c>
      <c r="D1090" s="4">
        <v>39090</v>
      </c>
      <c r="E1090" s="4">
        <v>38904</v>
      </c>
      <c r="F1090" s="4" t="str">
        <v>10.61K</v>
      </c>
      <c r="G1090" s="4" t="str">
        <v>-0.28%</v>
      </c>
      <c r="H1090" s="3">
        <v>43829</v>
      </c>
      <c r="I1090" s="4">
        <v>38997</v>
      </c>
    </row>
    <row r="1091" spans="1:9" x14ac:dyDescent="0.25">
      <c r="A1091" s="3">
        <v>43826</v>
      </c>
      <c r="B1091" s="4">
        <v>39080</v>
      </c>
      <c r="C1091" s="4">
        <v>38930</v>
      </c>
      <c r="D1091" s="4">
        <v>39095</v>
      </c>
      <c r="E1091" s="4">
        <v>38787</v>
      </c>
      <c r="F1091" s="4" t="str">
        <v>11.85K</v>
      </c>
      <c r="G1091" s="4" t="str">
        <v>0.51%</v>
      </c>
      <c r="H1091" s="3">
        <v>43826</v>
      </c>
      <c r="I1091" s="4">
        <v>38941</v>
      </c>
    </row>
    <row r="1092" spans="1:9" x14ac:dyDescent="0.25">
      <c r="A1092" s="3">
        <v>43825</v>
      </c>
      <c r="B1092" s="4">
        <v>38882</v>
      </c>
      <c r="C1092" s="4">
        <v>38635</v>
      </c>
      <c r="D1092" s="4">
        <v>38948</v>
      </c>
      <c r="E1092" s="4">
        <v>38635</v>
      </c>
      <c r="F1092" s="4" t="str">
        <v>14.26K</v>
      </c>
      <c r="G1092" s="4" t="str">
        <v>0.63%</v>
      </c>
      <c r="H1092" s="3">
        <v>43825</v>
      </c>
      <c r="I1092" s="4">
        <v>38791.5</v>
      </c>
    </row>
    <row r="1093" spans="1:9" x14ac:dyDescent="0.25">
      <c r="A1093" s="3">
        <v>43823</v>
      </c>
      <c r="B1093" s="4">
        <v>38639</v>
      </c>
      <c r="C1093" s="4">
        <v>38330</v>
      </c>
      <c r="D1093" s="4">
        <v>38667</v>
      </c>
      <c r="E1093" s="4">
        <v>38292</v>
      </c>
      <c r="F1093" s="4" t="str">
        <v>10.75K</v>
      </c>
      <c r="G1093" s="4" t="str">
        <v>1.00%</v>
      </c>
      <c r="H1093" s="3">
        <v>43823</v>
      </c>
      <c r="I1093" s="4">
        <v>38479.5</v>
      </c>
    </row>
    <row r="1094" spans="1:9" x14ac:dyDescent="0.25">
      <c r="A1094" s="3">
        <v>43822</v>
      </c>
      <c r="B1094" s="4">
        <v>38257</v>
      </c>
      <c r="C1094" s="4">
        <v>38040</v>
      </c>
      <c r="D1094" s="4">
        <v>38287</v>
      </c>
      <c r="E1094" s="4">
        <v>38040</v>
      </c>
      <c r="F1094" s="4" t="str">
        <v>9.44K</v>
      </c>
      <c r="G1094" s="4" t="str">
        <v>0.70%</v>
      </c>
      <c r="H1094" s="3">
        <v>43822</v>
      </c>
      <c r="I1094" s="4">
        <v>38163.5</v>
      </c>
    </row>
    <row r="1095" spans="1:9" x14ac:dyDescent="0.25">
      <c r="A1095" s="3">
        <v>43819</v>
      </c>
      <c r="B1095" s="4">
        <v>37991</v>
      </c>
      <c r="C1095" s="4">
        <v>38040</v>
      </c>
      <c r="D1095" s="4">
        <v>38120</v>
      </c>
      <c r="E1095" s="4">
        <v>37951</v>
      </c>
      <c r="F1095" s="4" t="str">
        <v>9.20K</v>
      </c>
      <c r="G1095" s="4" t="str">
        <v>-0.31%</v>
      </c>
      <c r="H1095" s="3">
        <v>43819</v>
      </c>
      <c r="I1095" s="4">
        <v>38035.5</v>
      </c>
    </row>
    <row r="1096" spans="1:9" x14ac:dyDescent="0.25">
      <c r="A1096" s="3">
        <v>43818</v>
      </c>
      <c r="B1096" s="4">
        <v>38109</v>
      </c>
      <c r="C1096" s="4">
        <v>37959</v>
      </c>
      <c r="D1096" s="4">
        <v>38130</v>
      </c>
      <c r="E1096" s="4">
        <v>37860</v>
      </c>
      <c r="F1096" s="4" t="str">
        <v>10.52K</v>
      </c>
      <c r="G1096" s="4" t="str">
        <v>0.52%</v>
      </c>
      <c r="H1096" s="3">
        <v>43818</v>
      </c>
      <c r="I1096" s="4">
        <v>37995</v>
      </c>
    </row>
    <row r="1097" spans="1:9" x14ac:dyDescent="0.25">
      <c r="A1097" s="3">
        <v>43817</v>
      </c>
      <c r="B1097" s="4">
        <v>37912</v>
      </c>
      <c r="C1097" s="4">
        <v>37959</v>
      </c>
      <c r="D1097" s="4">
        <v>37995</v>
      </c>
      <c r="E1097" s="4">
        <v>37802</v>
      </c>
      <c r="F1097" s="4" t="str">
        <v>10.14K</v>
      </c>
      <c r="G1097" s="4" t="str">
        <v>-0.07%</v>
      </c>
      <c r="H1097" s="3">
        <v>43817</v>
      </c>
      <c r="I1097" s="4">
        <v>37898.5</v>
      </c>
    </row>
    <row r="1098" spans="1:9" x14ac:dyDescent="0.25">
      <c r="A1098" s="3">
        <v>43816</v>
      </c>
      <c r="B1098" s="4">
        <v>37940</v>
      </c>
      <c r="C1098" s="4">
        <v>37869</v>
      </c>
      <c r="D1098" s="4">
        <v>37980</v>
      </c>
      <c r="E1098" s="4">
        <v>37845</v>
      </c>
      <c r="F1098" s="4" t="str">
        <v>10.38K</v>
      </c>
      <c r="G1098" s="4" t="str">
        <v>0.18%</v>
      </c>
      <c r="H1098" s="3">
        <v>43816</v>
      </c>
      <c r="I1098" s="4">
        <v>37912.5</v>
      </c>
    </row>
    <row r="1099" spans="1:9" x14ac:dyDescent="0.25">
      <c r="A1099" s="3">
        <v>43815</v>
      </c>
      <c r="B1099" s="4">
        <v>37871</v>
      </c>
      <c r="C1099" s="4">
        <v>37725</v>
      </c>
      <c r="D1099" s="4">
        <v>37967</v>
      </c>
      <c r="E1099" s="4">
        <v>37725</v>
      </c>
      <c r="F1099" s="4" t="str">
        <v>11.17K</v>
      </c>
      <c r="G1099" s="4" t="str">
        <v>0.26%</v>
      </c>
      <c r="H1099" s="3">
        <v>43815</v>
      </c>
      <c r="I1099" s="4">
        <v>37846</v>
      </c>
    </row>
    <row r="1100" spans="1:9" x14ac:dyDescent="0.25">
      <c r="A1100" s="3">
        <v>43812</v>
      </c>
      <c r="B1100" s="4">
        <v>37773</v>
      </c>
      <c r="C1100" s="4">
        <v>37466</v>
      </c>
      <c r="D1100" s="4">
        <v>37840</v>
      </c>
      <c r="E1100" s="4">
        <v>37466</v>
      </c>
      <c r="F1100" s="4" t="str">
        <v>16.52K</v>
      </c>
      <c r="G1100" s="4" t="str">
        <v>0.61%</v>
      </c>
      <c r="H1100" s="3">
        <v>43812</v>
      </c>
      <c r="I1100" s="4">
        <v>37653</v>
      </c>
    </row>
    <row r="1101" spans="1:9" x14ac:dyDescent="0.25">
      <c r="A1101" s="3">
        <v>43811</v>
      </c>
      <c r="B1101" s="4">
        <v>37544</v>
      </c>
      <c r="C1101" s="4">
        <v>37770</v>
      </c>
      <c r="D1101" s="4">
        <v>38068</v>
      </c>
      <c r="E1101" s="4">
        <v>37470</v>
      </c>
      <c r="F1101" s="4" t="str">
        <v>19.75K</v>
      </c>
      <c r="G1101" s="4" t="str">
        <v>-0.41%</v>
      </c>
      <c r="H1101" s="3">
        <v>43811</v>
      </c>
      <c r="I1101" s="4">
        <v>37769</v>
      </c>
    </row>
    <row r="1102" spans="1:9" x14ac:dyDescent="0.25">
      <c r="A1102" s="3">
        <v>43810</v>
      </c>
      <c r="B1102" s="4">
        <v>37699</v>
      </c>
      <c r="C1102" s="4">
        <v>37580</v>
      </c>
      <c r="D1102" s="4">
        <v>37738</v>
      </c>
      <c r="E1102" s="4">
        <v>37520</v>
      </c>
      <c r="F1102" s="4" t="str">
        <v>9.23K</v>
      </c>
      <c r="G1102" s="4" t="str">
        <v>0.34%</v>
      </c>
      <c r="H1102" s="3">
        <v>43810</v>
      </c>
      <c r="I1102" s="4">
        <v>37629</v>
      </c>
    </row>
    <row r="1103" spans="1:9" x14ac:dyDescent="0.25">
      <c r="A1103" s="3">
        <v>43809</v>
      </c>
      <c r="B1103" s="4">
        <v>37571</v>
      </c>
      <c r="C1103" s="4">
        <v>37677</v>
      </c>
      <c r="D1103" s="4">
        <v>37700</v>
      </c>
      <c r="E1103" s="4">
        <v>37534</v>
      </c>
      <c r="F1103" s="4" t="str">
        <v>10.37K</v>
      </c>
      <c r="G1103" s="4" t="str">
        <v>-0.03%</v>
      </c>
      <c r="H1103" s="3">
        <v>43809</v>
      </c>
      <c r="I1103" s="4">
        <v>37617</v>
      </c>
    </row>
    <row r="1104" spans="1:9" x14ac:dyDescent="0.25">
      <c r="A1104" s="3">
        <v>43808</v>
      </c>
      <c r="B1104" s="4">
        <v>37583</v>
      </c>
      <c r="C1104" s="4">
        <v>37679</v>
      </c>
      <c r="D1104" s="4">
        <v>37698</v>
      </c>
      <c r="E1104" s="4">
        <v>37563</v>
      </c>
      <c r="F1104" s="4" t="str">
        <v>7.35K</v>
      </c>
      <c r="G1104" s="4" t="str">
        <v>-0.31%</v>
      </c>
      <c r="H1104" s="3">
        <v>43808</v>
      </c>
      <c r="I1104" s="4">
        <v>37630.5</v>
      </c>
    </row>
    <row r="1105" spans="1:9" x14ac:dyDescent="0.25">
      <c r="A1105" s="3">
        <v>43805</v>
      </c>
      <c r="B1105" s="4">
        <v>37699</v>
      </c>
      <c r="C1105" s="4">
        <v>38011</v>
      </c>
      <c r="D1105" s="4">
        <v>38119</v>
      </c>
      <c r="E1105" s="4">
        <v>37655</v>
      </c>
      <c r="F1105" s="4" t="str">
        <v>12.24K</v>
      </c>
      <c r="G1105" s="4" t="str">
        <v>-1.41%</v>
      </c>
      <c r="H1105" s="3">
        <v>43805</v>
      </c>
      <c r="I1105" s="4">
        <v>37887</v>
      </c>
    </row>
    <row r="1106" spans="1:9" x14ac:dyDescent="0.25">
      <c r="A1106" s="3">
        <v>43804</v>
      </c>
      <c r="B1106" s="4">
        <v>38237</v>
      </c>
      <c r="C1106" s="4">
        <v>38850</v>
      </c>
      <c r="D1106" s="4">
        <v>38850</v>
      </c>
      <c r="E1106" s="4">
        <v>38192</v>
      </c>
      <c r="F1106" s="4" t="str">
        <v>0.01K</v>
      </c>
      <c r="G1106" s="4" t="str">
        <v>0.16%</v>
      </c>
      <c r="H1106" s="3">
        <v>43804</v>
      </c>
      <c r="I1106" s="4">
        <v>38521</v>
      </c>
    </row>
    <row r="1107" spans="1:9" x14ac:dyDescent="0.25">
      <c r="A1107" s="3">
        <v>43803</v>
      </c>
      <c r="B1107" s="4">
        <v>38176</v>
      </c>
      <c r="C1107" s="4">
        <v>38331</v>
      </c>
      <c r="D1107" s="4">
        <v>38450</v>
      </c>
      <c r="E1107" s="4">
        <v>38140</v>
      </c>
      <c r="F1107" s="4" t="str">
        <v>0.07K</v>
      </c>
      <c r="G1107" s="4" t="str">
        <v>-0.19%</v>
      </c>
      <c r="H1107" s="3">
        <v>43803</v>
      </c>
      <c r="I1107" s="4">
        <v>38295</v>
      </c>
    </row>
    <row r="1108" spans="1:9" x14ac:dyDescent="0.25">
      <c r="A1108" s="3">
        <v>43802</v>
      </c>
      <c r="B1108" s="4">
        <v>38250</v>
      </c>
      <c r="C1108" s="4">
        <v>37930</v>
      </c>
      <c r="D1108" s="4">
        <v>38768</v>
      </c>
      <c r="E1108" s="4">
        <v>37880</v>
      </c>
      <c r="F1108" s="4" t="str">
        <v>0.05K</v>
      </c>
      <c r="G1108" s="4" t="str">
        <v>0.79%</v>
      </c>
      <c r="H1108" s="3">
        <v>43802</v>
      </c>
      <c r="I1108" s="4">
        <v>38324</v>
      </c>
    </row>
    <row r="1109" spans="1:9" x14ac:dyDescent="0.25">
      <c r="A1109" s="3">
        <v>43801</v>
      </c>
      <c r="B1109" s="4">
        <v>37952</v>
      </c>
      <c r="C1109" s="4">
        <v>37717</v>
      </c>
      <c r="D1109" s="4">
        <v>38028</v>
      </c>
      <c r="E1109" s="4">
        <v>37100</v>
      </c>
      <c r="F1109" s="4" t="str">
        <v>0.48K</v>
      </c>
      <c r="G1109" s="4" t="str">
        <v>-0.21%</v>
      </c>
      <c r="H1109" s="3">
        <v>43801</v>
      </c>
      <c r="I1109" s="4">
        <v>37564</v>
      </c>
    </row>
    <row r="1110" spans="1:9" x14ac:dyDescent="0.25">
      <c r="A1110" s="3">
        <v>43798</v>
      </c>
      <c r="B1110" s="4">
        <v>38031</v>
      </c>
      <c r="C1110" s="4">
        <v>37782</v>
      </c>
      <c r="D1110" s="4">
        <v>38114</v>
      </c>
      <c r="E1110" s="4">
        <v>37693</v>
      </c>
      <c r="F1110" s="4" t="str">
        <v>5.66K</v>
      </c>
      <c r="G1110" s="4" t="str">
        <v>0.82%</v>
      </c>
      <c r="H1110" s="3">
        <v>43798</v>
      </c>
      <c r="I1110" s="4">
        <v>37903.5</v>
      </c>
    </row>
    <row r="1111" spans="1:9" x14ac:dyDescent="0.25">
      <c r="A1111" s="3">
        <v>43797</v>
      </c>
      <c r="B1111" s="4">
        <v>37723</v>
      </c>
      <c r="C1111" s="4">
        <v>37573</v>
      </c>
      <c r="D1111" s="4">
        <v>37748</v>
      </c>
      <c r="E1111" s="4">
        <v>37540</v>
      </c>
      <c r="F1111" s="4" t="str">
        <v>8.53K</v>
      </c>
      <c r="G1111" s="4" t="str">
        <v>0.53%</v>
      </c>
      <c r="H1111" s="3">
        <v>43797</v>
      </c>
      <c r="I1111" s="4">
        <v>37644</v>
      </c>
    </row>
    <row r="1112" spans="1:9" x14ac:dyDescent="0.25">
      <c r="A1112" s="3">
        <v>43796</v>
      </c>
      <c r="B1112" s="4">
        <v>37525</v>
      </c>
      <c r="C1112" s="4">
        <v>37690</v>
      </c>
      <c r="D1112" s="4">
        <v>37690</v>
      </c>
      <c r="E1112" s="4">
        <v>37482</v>
      </c>
      <c r="F1112" s="4" t="str">
        <v>11.04K</v>
      </c>
      <c r="G1112" s="4" t="str">
        <v>-0.51%</v>
      </c>
      <c r="H1112" s="3">
        <v>43796</v>
      </c>
      <c r="I1112" s="4">
        <v>37586</v>
      </c>
    </row>
    <row r="1113" spans="1:9" x14ac:dyDescent="0.25">
      <c r="A1113" s="3">
        <v>43795</v>
      </c>
      <c r="B1113" s="4">
        <v>37718</v>
      </c>
      <c r="C1113" s="4">
        <v>37696</v>
      </c>
      <c r="D1113" s="4">
        <v>37777</v>
      </c>
      <c r="E1113" s="4">
        <v>37520</v>
      </c>
      <c r="F1113" s="4" t="str">
        <v>12.28K</v>
      </c>
      <c r="G1113" s="4" t="str">
        <v>-0.01%</v>
      </c>
      <c r="H1113" s="3">
        <v>43795</v>
      </c>
      <c r="I1113" s="4">
        <v>37648.5</v>
      </c>
    </row>
    <row r="1114" spans="1:9" x14ac:dyDescent="0.25">
      <c r="A1114" s="3">
        <v>43794</v>
      </c>
      <c r="B1114" s="4">
        <v>37723</v>
      </c>
      <c r="C1114" s="4">
        <v>37935</v>
      </c>
      <c r="D1114" s="4">
        <v>37935</v>
      </c>
      <c r="E1114" s="4">
        <v>37705</v>
      </c>
      <c r="F1114" s="4" t="str">
        <v>11.46K</v>
      </c>
      <c r="G1114" s="4" t="str">
        <v>-0.45%</v>
      </c>
      <c r="H1114" s="3">
        <v>43794</v>
      </c>
      <c r="I1114" s="4">
        <v>37820</v>
      </c>
    </row>
    <row r="1115" spans="1:9" x14ac:dyDescent="0.25">
      <c r="A1115" s="3">
        <v>43791</v>
      </c>
      <c r="B1115" s="4">
        <v>37895</v>
      </c>
      <c r="C1115" s="4">
        <v>37929</v>
      </c>
      <c r="D1115" s="4">
        <v>38135</v>
      </c>
      <c r="E1115" s="4">
        <v>37871</v>
      </c>
      <c r="F1115" s="4" t="str">
        <v>12.41K</v>
      </c>
      <c r="G1115" s="4" t="str">
        <v>-0.15%</v>
      </c>
      <c r="H1115" s="3">
        <v>43791</v>
      </c>
      <c r="I1115" s="4">
        <v>38003</v>
      </c>
    </row>
    <row r="1116" spans="1:9" x14ac:dyDescent="0.25">
      <c r="A1116" s="3">
        <v>43790</v>
      </c>
      <c r="B1116" s="4">
        <v>37953</v>
      </c>
      <c r="C1116" s="4">
        <v>38155</v>
      </c>
      <c r="D1116" s="4">
        <v>38193</v>
      </c>
      <c r="E1116" s="4">
        <v>37920</v>
      </c>
      <c r="F1116" s="4" t="str">
        <v>11.85K</v>
      </c>
      <c r="G1116" s="4" t="str">
        <v>-0.53%</v>
      </c>
      <c r="H1116" s="3">
        <v>43790</v>
      </c>
      <c r="I1116" s="4">
        <v>38056.5</v>
      </c>
    </row>
    <row r="1117" spans="1:9" x14ac:dyDescent="0.25">
      <c r="A1117" s="3">
        <v>43789</v>
      </c>
      <c r="B1117" s="4">
        <v>38155</v>
      </c>
      <c r="C1117" s="4">
        <v>38220</v>
      </c>
      <c r="D1117" s="4">
        <v>38330</v>
      </c>
      <c r="E1117" s="4">
        <v>38001</v>
      </c>
      <c r="F1117" s="4" t="str">
        <v>14.62K</v>
      </c>
      <c r="G1117" s="4" t="str">
        <v>-0.13%</v>
      </c>
      <c r="H1117" s="3">
        <v>43789</v>
      </c>
      <c r="I1117" s="4">
        <v>38165.5</v>
      </c>
    </row>
    <row r="1118" spans="1:9" x14ac:dyDescent="0.25">
      <c r="A1118" s="3">
        <v>43788</v>
      </c>
      <c r="B1118" s="4">
        <v>38205</v>
      </c>
      <c r="C1118" s="4">
        <v>38230</v>
      </c>
      <c r="D1118" s="4">
        <v>38230</v>
      </c>
      <c r="E1118" s="4">
        <v>37920</v>
      </c>
      <c r="F1118" s="4" t="str">
        <v>13.86K</v>
      </c>
      <c r="G1118" s="4" t="str">
        <v>-0.06%</v>
      </c>
      <c r="H1118" s="3">
        <v>43788</v>
      </c>
      <c r="I1118" s="4">
        <v>38075</v>
      </c>
    </row>
    <row r="1119" spans="1:9" x14ac:dyDescent="0.25">
      <c r="A1119" s="3">
        <v>43787</v>
      </c>
      <c r="B1119" s="4">
        <v>38229</v>
      </c>
      <c r="C1119" s="4">
        <v>37918</v>
      </c>
      <c r="D1119" s="4">
        <v>38247</v>
      </c>
      <c r="E1119" s="4">
        <v>37791</v>
      </c>
      <c r="F1119" s="4" t="str">
        <v>14.48K</v>
      </c>
      <c r="G1119" s="4" t="str">
        <v>0.62%</v>
      </c>
      <c r="H1119" s="3">
        <v>43787</v>
      </c>
      <c r="I1119" s="4">
        <v>38019</v>
      </c>
    </row>
    <row r="1120" spans="1:9" x14ac:dyDescent="0.25">
      <c r="A1120" s="3">
        <v>43784</v>
      </c>
      <c r="B1120" s="4">
        <v>37994</v>
      </c>
      <c r="C1120" s="4">
        <v>38236</v>
      </c>
      <c r="D1120" s="4">
        <v>38236</v>
      </c>
      <c r="E1120" s="4">
        <v>37921</v>
      </c>
      <c r="F1120" s="4" t="str">
        <v>10.43K</v>
      </c>
      <c r="G1120" s="4" t="str">
        <v>-0.71%</v>
      </c>
      <c r="H1120" s="3">
        <v>43784</v>
      </c>
      <c r="I1120" s="4">
        <v>38078.5</v>
      </c>
    </row>
    <row r="1121" spans="1:9" x14ac:dyDescent="0.25">
      <c r="A1121" s="3">
        <v>43783</v>
      </c>
      <c r="B1121" s="4">
        <v>38266</v>
      </c>
      <c r="C1121" s="4">
        <v>38060</v>
      </c>
      <c r="D1121" s="4">
        <v>38318</v>
      </c>
      <c r="E1121" s="4">
        <v>38059</v>
      </c>
      <c r="F1121" s="4" t="str">
        <v>13.32K</v>
      </c>
      <c r="G1121" s="4" t="str">
        <v>0.44%</v>
      </c>
      <c r="H1121" s="3">
        <v>43783</v>
      </c>
      <c r="I1121" s="4">
        <v>38188.5</v>
      </c>
    </row>
    <row r="1122" spans="1:9" x14ac:dyDescent="0.25">
      <c r="A1122" s="3">
        <v>43782</v>
      </c>
      <c r="B1122" s="4">
        <v>38097</v>
      </c>
      <c r="C1122" s="4">
        <v>37787</v>
      </c>
      <c r="D1122" s="4">
        <v>38148</v>
      </c>
      <c r="E1122" s="4">
        <v>37781</v>
      </c>
      <c r="F1122" s="4" t="str">
        <v>14.24K</v>
      </c>
      <c r="G1122" s="4" t="str">
        <v>1.00%</v>
      </c>
      <c r="H1122" s="3">
        <v>43782</v>
      </c>
      <c r="I1122" s="4">
        <v>37964.5</v>
      </c>
    </row>
    <row r="1123" spans="1:9" x14ac:dyDescent="0.25">
      <c r="A1123" s="3">
        <v>43781</v>
      </c>
      <c r="B1123" s="4">
        <v>37720</v>
      </c>
      <c r="C1123" s="4">
        <v>37680</v>
      </c>
      <c r="D1123" s="4">
        <v>37793</v>
      </c>
      <c r="E1123" s="4">
        <v>37522</v>
      </c>
      <c r="F1123" s="4" t="str">
        <v>7.61K</v>
      </c>
      <c r="G1123" s="4" t="str">
        <v>0.11%</v>
      </c>
      <c r="H1123" s="3">
        <v>43781</v>
      </c>
      <c r="I1123" s="4">
        <v>37657.5</v>
      </c>
    </row>
    <row r="1124" spans="1:9" x14ac:dyDescent="0.25">
      <c r="A1124" s="3">
        <v>43780</v>
      </c>
      <c r="B1124" s="4">
        <v>37680</v>
      </c>
      <c r="C1124" s="4">
        <v>37687</v>
      </c>
      <c r="D1124" s="4">
        <v>37848</v>
      </c>
      <c r="E1124" s="4">
        <v>37510</v>
      </c>
      <c r="F1124" s="4" t="str">
        <v>11.49K</v>
      </c>
      <c r="G1124" s="4" t="str">
        <v>-0.02%</v>
      </c>
      <c r="H1124" s="3">
        <v>43780</v>
      </c>
      <c r="I1124" s="4">
        <v>37679</v>
      </c>
    </row>
    <row r="1125" spans="1:9" x14ac:dyDescent="0.25">
      <c r="A1125" s="3">
        <v>43777</v>
      </c>
      <c r="B1125" s="4">
        <v>37687</v>
      </c>
      <c r="C1125" s="4">
        <v>37747</v>
      </c>
      <c r="D1125" s="4">
        <v>37869</v>
      </c>
      <c r="E1125" s="4">
        <v>37477</v>
      </c>
      <c r="F1125" s="4" t="str">
        <v>15.03K</v>
      </c>
      <c r="G1125" s="4" t="str">
        <v>0.30%</v>
      </c>
      <c r="H1125" s="3">
        <v>43777</v>
      </c>
      <c r="I1125" s="4">
        <v>37673</v>
      </c>
    </row>
    <row r="1126" spans="1:9" x14ac:dyDescent="0.25">
      <c r="A1126" s="3">
        <v>43776</v>
      </c>
      <c r="B1126" s="4">
        <v>37575</v>
      </c>
      <c r="C1126" s="4">
        <v>38245</v>
      </c>
      <c r="D1126" s="4">
        <v>38245</v>
      </c>
      <c r="E1126" s="4">
        <v>37520</v>
      </c>
      <c r="F1126" s="4" t="str">
        <v>18.90K</v>
      </c>
      <c r="G1126" s="4" t="str">
        <v>-1.76%</v>
      </c>
      <c r="H1126" s="3">
        <v>43776</v>
      </c>
      <c r="I1126" s="4">
        <v>37882.5</v>
      </c>
    </row>
    <row r="1127" spans="1:9" x14ac:dyDescent="0.25">
      <c r="A1127" s="3">
        <v>43775</v>
      </c>
      <c r="B1127" s="4">
        <v>38247</v>
      </c>
      <c r="C1127" s="4">
        <v>37906</v>
      </c>
      <c r="D1127" s="4">
        <v>38286</v>
      </c>
      <c r="E1127" s="4">
        <v>37906</v>
      </c>
      <c r="F1127" s="4" t="str">
        <v>12.14K</v>
      </c>
      <c r="G1127" s="4" t="str">
        <v>0.97%</v>
      </c>
      <c r="H1127" s="3">
        <v>43775</v>
      </c>
      <c r="I1127" s="4">
        <v>38096</v>
      </c>
    </row>
    <row r="1128" spans="1:9" x14ac:dyDescent="0.25">
      <c r="A1128" s="3">
        <v>43774</v>
      </c>
      <c r="B1128" s="4">
        <v>37881</v>
      </c>
      <c r="C1128" s="4">
        <v>38369</v>
      </c>
      <c r="D1128" s="4">
        <v>38396</v>
      </c>
      <c r="E1128" s="4">
        <v>37851</v>
      </c>
      <c r="F1128" s="4" t="str">
        <v>16.01K</v>
      </c>
      <c r="G1128" s="4" t="str">
        <v>-1.54%</v>
      </c>
      <c r="H1128" s="3">
        <v>43774</v>
      </c>
      <c r="I1128" s="4">
        <v>38123.5</v>
      </c>
    </row>
    <row r="1129" spans="1:9" x14ac:dyDescent="0.25">
      <c r="A1129" s="3">
        <v>43773</v>
      </c>
      <c r="B1129" s="4">
        <v>38472</v>
      </c>
      <c r="C1129" s="4">
        <v>38391</v>
      </c>
      <c r="D1129" s="4">
        <v>38510</v>
      </c>
      <c r="E1129" s="4">
        <v>38331</v>
      </c>
      <c r="F1129" s="4" t="str">
        <v>8.95K</v>
      </c>
      <c r="G1129" s="4" t="str">
        <v>0.42%</v>
      </c>
      <c r="H1129" s="3">
        <v>43773</v>
      </c>
      <c r="I1129" s="4">
        <v>38420.5</v>
      </c>
    </row>
    <row r="1130" spans="1:9" x14ac:dyDescent="0.25">
      <c r="A1130" s="3">
        <v>43770</v>
      </c>
      <c r="B1130" s="4">
        <v>38310</v>
      </c>
      <c r="C1130" s="4">
        <v>38500</v>
      </c>
      <c r="D1130" s="4">
        <v>38546</v>
      </c>
      <c r="E1130" s="4">
        <v>38265</v>
      </c>
      <c r="F1130" s="4" t="str">
        <v>11.75K</v>
      </c>
      <c r="G1130" s="4" t="str">
        <v>-0.69%</v>
      </c>
      <c r="H1130" s="3">
        <v>43770</v>
      </c>
      <c r="I1130" s="4">
        <v>38405.5</v>
      </c>
    </row>
    <row r="1131" spans="1:9" x14ac:dyDescent="0.25">
      <c r="A1131" s="3">
        <v>43769</v>
      </c>
      <c r="B1131" s="4">
        <v>38578</v>
      </c>
      <c r="C1131" s="4">
        <v>38105</v>
      </c>
      <c r="D1131" s="4">
        <v>38603</v>
      </c>
      <c r="E1131" s="4">
        <v>38037</v>
      </c>
      <c r="F1131" s="4" t="str">
        <v>15.13K</v>
      </c>
      <c r="G1131" s="4" t="str">
        <v>1.29%</v>
      </c>
      <c r="H1131" s="3">
        <v>43769</v>
      </c>
      <c r="I1131" s="4">
        <v>38320</v>
      </c>
    </row>
    <row r="1132" spans="1:9" x14ac:dyDescent="0.25">
      <c r="A1132" s="3">
        <v>43768</v>
      </c>
      <c r="B1132" s="4">
        <v>38088</v>
      </c>
      <c r="C1132" s="4">
        <v>37920</v>
      </c>
      <c r="D1132" s="4">
        <v>38129</v>
      </c>
      <c r="E1132" s="4">
        <v>37894</v>
      </c>
      <c r="F1132" s="4" t="str">
        <v>10.37K</v>
      </c>
      <c r="G1132" s="4" t="str">
        <v>0.45%</v>
      </c>
      <c r="H1132" s="3">
        <v>43768</v>
      </c>
      <c r="I1132" s="4">
        <v>38011.5</v>
      </c>
    </row>
    <row r="1133" spans="1:9" x14ac:dyDescent="0.25">
      <c r="A1133" s="3">
        <v>43767</v>
      </c>
      <c r="B1133" s="4">
        <v>37916</v>
      </c>
      <c r="C1133" s="4">
        <v>37939</v>
      </c>
      <c r="D1133" s="4">
        <v>38045</v>
      </c>
      <c r="E1133" s="4">
        <v>37801</v>
      </c>
      <c r="F1133" s="4" t="str">
        <v>10.85K</v>
      </c>
      <c r="G1133" s="4" t="str">
        <v>-0.02%</v>
      </c>
      <c r="H1133" s="3">
        <v>43767</v>
      </c>
      <c r="I1133" s="4">
        <v>37923</v>
      </c>
    </row>
    <row r="1134" spans="1:9" x14ac:dyDescent="0.25">
      <c r="A1134" s="3">
        <v>43766</v>
      </c>
      <c r="B1134" s="4">
        <v>37922</v>
      </c>
      <c r="C1134" s="4">
        <v>38283</v>
      </c>
      <c r="D1134" s="4">
        <v>38283</v>
      </c>
      <c r="E1134" s="4">
        <v>37895</v>
      </c>
      <c r="F1134" s="4" t="str">
        <v>6.37K</v>
      </c>
      <c r="G1134" s="4" t="str">
        <v>-0.92%</v>
      </c>
      <c r="H1134" s="3">
        <v>43766</v>
      </c>
      <c r="I1134" s="4">
        <v>38089</v>
      </c>
    </row>
    <row r="1135" spans="1:9" x14ac:dyDescent="0.25">
      <c r="A1135" s="3">
        <v>43765</v>
      </c>
      <c r="B1135" s="4">
        <v>38275</v>
      </c>
      <c r="C1135" s="4">
        <v>38319</v>
      </c>
      <c r="D1135" s="4">
        <v>38340</v>
      </c>
      <c r="E1135" s="4">
        <v>38260</v>
      </c>
      <c r="F1135" s="4" t="str">
        <v>0.97K</v>
      </c>
      <c r="G1135" s="4" t="str">
        <v>0.02%</v>
      </c>
      <c r="H1135" s="3">
        <v>43765</v>
      </c>
      <c r="I1135" s="4">
        <v>38300</v>
      </c>
    </row>
    <row r="1136" spans="1:9" x14ac:dyDescent="0.25">
      <c r="A1136" s="3">
        <v>43763</v>
      </c>
      <c r="B1136" s="4">
        <v>38269</v>
      </c>
      <c r="C1136" s="4">
        <v>38332</v>
      </c>
      <c r="D1136" s="4">
        <v>38618</v>
      </c>
      <c r="E1136" s="4">
        <v>38215</v>
      </c>
      <c r="F1136" s="4" t="str">
        <v>15.00K</v>
      </c>
      <c r="G1136" s="4" t="str">
        <v>-0.22%</v>
      </c>
      <c r="H1136" s="3">
        <v>43763</v>
      </c>
      <c r="I1136" s="4">
        <v>38416.5</v>
      </c>
    </row>
    <row r="1137" spans="1:9" x14ac:dyDescent="0.25">
      <c r="A1137" s="3">
        <v>43762</v>
      </c>
      <c r="B1137" s="4">
        <v>38352</v>
      </c>
      <c r="C1137" s="4">
        <v>38036</v>
      </c>
      <c r="D1137" s="4">
        <v>38372</v>
      </c>
      <c r="E1137" s="4">
        <v>37990</v>
      </c>
      <c r="F1137" s="4" t="str">
        <v>12.86K</v>
      </c>
      <c r="G1137" s="4" t="str">
        <v>0.92%</v>
      </c>
      <c r="H1137" s="3">
        <v>43762</v>
      </c>
      <c r="I1137" s="4">
        <v>38181</v>
      </c>
    </row>
    <row r="1138" spans="1:9" x14ac:dyDescent="0.25">
      <c r="A1138" s="3">
        <v>43761</v>
      </c>
      <c r="B1138" s="4">
        <v>38003</v>
      </c>
      <c r="C1138" s="4">
        <v>37944</v>
      </c>
      <c r="D1138" s="4">
        <v>38099</v>
      </c>
      <c r="E1138" s="4">
        <v>37944</v>
      </c>
      <c r="F1138" s="4" t="str">
        <v>10.71K</v>
      </c>
      <c r="G1138" s="4" t="str">
        <v>0.32%</v>
      </c>
      <c r="H1138" s="3">
        <v>43761</v>
      </c>
      <c r="I1138" s="4">
        <v>38021.5</v>
      </c>
    </row>
    <row r="1139" spans="1:9" x14ac:dyDescent="0.25">
      <c r="A1139" s="3">
        <v>43760</v>
      </c>
      <c r="B1139" s="4">
        <v>37881</v>
      </c>
      <c r="C1139" s="4">
        <v>37883</v>
      </c>
      <c r="D1139" s="4">
        <v>37950</v>
      </c>
      <c r="E1139" s="4">
        <v>37822</v>
      </c>
      <c r="F1139" s="4" t="str">
        <v>11.33K</v>
      </c>
      <c r="G1139" s="4" t="str">
        <v>-0.02%</v>
      </c>
      <c r="H1139" s="3">
        <v>43760</v>
      </c>
      <c r="I1139" s="4">
        <v>37886</v>
      </c>
    </row>
    <row r="1140" spans="1:9" x14ac:dyDescent="0.25">
      <c r="A1140" s="3">
        <v>43759</v>
      </c>
      <c r="B1140" s="4">
        <v>37890</v>
      </c>
      <c r="C1140" s="4">
        <v>38010</v>
      </c>
      <c r="D1140" s="4">
        <v>38090</v>
      </c>
      <c r="E1140" s="4">
        <v>37867</v>
      </c>
      <c r="F1140" s="4" t="str">
        <v>7.97K</v>
      </c>
      <c r="G1140" s="4" t="str">
        <v>-0.52%</v>
      </c>
      <c r="H1140" s="3">
        <v>43759</v>
      </c>
      <c r="I1140" s="4">
        <v>37978.5</v>
      </c>
    </row>
    <row r="1141" spans="1:9" x14ac:dyDescent="0.25">
      <c r="A1141" s="3">
        <v>43756</v>
      </c>
      <c r="B1141" s="4">
        <v>38089</v>
      </c>
      <c r="C1141" s="4">
        <v>38142</v>
      </c>
      <c r="D1141" s="4">
        <v>38194</v>
      </c>
      <c r="E1141" s="4">
        <v>37965</v>
      </c>
      <c r="F1141" s="4" t="str">
        <v>12.56K</v>
      </c>
      <c r="G1141" s="4" t="str">
        <v>-0.28%</v>
      </c>
      <c r="H1141" s="3">
        <v>43756</v>
      </c>
      <c r="I1141" s="4">
        <v>38079.5</v>
      </c>
    </row>
    <row r="1142" spans="1:9" x14ac:dyDescent="0.25">
      <c r="A1142" s="3">
        <v>43755</v>
      </c>
      <c r="B1142" s="4">
        <v>38196</v>
      </c>
      <c r="C1142" s="4">
        <v>38181</v>
      </c>
      <c r="D1142" s="4">
        <v>38233</v>
      </c>
      <c r="E1142" s="4">
        <v>37972</v>
      </c>
      <c r="F1142" s="4" t="str">
        <v>14.51K</v>
      </c>
      <c r="G1142" s="4" t="str">
        <v>-0.06%</v>
      </c>
      <c r="H1142" s="3">
        <v>43755</v>
      </c>
      <c r="I1142" s="4">
        <v>38102.5</v>
      </c>
    </row>
    <row r="1143" spans="1:9" x14ac:dyDescent="0.25">
      <c r="A1143" s="3">
        <v>43754</v>
      </c>
      <c r="B1143" s="4">
        <v>38219</v>
      </c>
      <c r="C1143" s="4">
        <v>38137</v>
      </c>
      <c r="D1143" s="4">
        <v>38240</v>
      </c>
      <c r="E1143" s="4">
        <v>37937</v>
      </c>
      <c r="F1143" s="4" t="str">
        <v>17.58K</v>
      </c>
      <c r="G1143" s="4" t="str">
        <v>0.48%</v>
      </c>
      <c r="H1143" s="3">
        <v>43754</v>
      </c>
      <c r="I1143" s="4">
        <v>38088.5</v>
      </c>
    </row>
    <row r="1144" spans="1:9" x14ac:dyDescent="0.25">
      <c r="A1144" s="3">
        <v>43753</v>
      </c>
      <c r="B1144" s="4">
        <v>38036</v>
      </c>
      <c r="C1144" s="4">
        <v>38235</v>
      </c>
      <c r="D1144" s="4">
        <v>38425</v>
      </c>
      <c r="E1144" s="4">
        <v>37972</v>
      </c>
      <c r="F1144" s="4" t="str">
        <v>16.35K</v>
      </c>
      <c r="G1144" s="4" t="str">
        <v>-0.50%</v>
      </c>
      <c r="H1144" s="3">
        <v>43753</v>
      </c>
      <c r="I1144" s="4">
        <v>38198.5</v>
      </c>
    </row>
    <row r="1145" spans="1:9" x14ac:dyDescent="0.25">
      <c r="A1145" s="3">
        <v>43752</v>
      </c>
      <c r="B1145" s="4">
        <v>38226</v>
      </c>
      <c r="C1145" s="4">
        <v>37894</v>
      </c>
      <c r="D1145" s="4">
        <v>38280</v>
      </c>
      <c r="E1145" s="4">
        <v>37771</v>
      </c>
      <c r="F1145" s="4" t="str">
        <v>14.54K</v>
      </c>
      <c r="G1145" s="4" t="str">
        <v>1.01%</v>
      </c>
      <c r="H1145" s="3">
        <v>43752</v>
      </c>
      <c r="I1145" s="4">
        <v>38025.5</v>
      </c>
    </row>
    <row r="1146" spans="1:9" x14ac:dyDescent="0.25">
      <c r="A1146" s="3">
        <v>43749</v>
      </c>
      <c r="B1146" s="4">
        <v>37845</v>
      </c>
      <c r="C1146" s="4">
        <v>38002</v>
      </c>
      <c r="D1146" s="4">
        <v>38350</v>
      </c>
      <c r="E1146" s="4">
        <v>37691</v>
      </c>
      <c r="F1146" s="4" t="str">
        <v>17.31K</v>
      </c>
      <c r="G1146" s="4" t="str">
        <v>-0.82%</v>
      </c>
      <c r="H1146" s="3">
        <v>43749</v>
      </c>
      <c r="I1146" s="4">
        <v>38020.5</v>
      </c>
    </row>
    <row r="1147" spans="1:9" x14ac:dyDescent="0.25">
      <c r="A1147" s="3">
        <v>43748</v>
      </c>
      <c r="B1147" s="4">
        <v>38159</v>
      </c>
      <c r="C1147" s="4">
        <v>38526</v>
      </c>
      <c r="D1147" s="4">
        <v>38545</v>
      </c>
      <c r="E1147" s="4">
        <v>38077</v>
      </c>
      <c r="F1147" s="4" t="str">
        <v>14.45K</v>
      </c>
      <c r="G1147" s="4" t="str">
        <v>-0.88%</v>
      </c>
      <c r="H1147" s="3">
        <v>43748</v>
      </c>
      <c r="I1147" s="4">
        <v>38311</v>
      </c>
    </row>
    <row r="1148" spans="1:9" x14ac:dyDescent="0.25">
      <c r="A1148" s="3">
        <v>43747</v>
      </c>
      <c r="B1148" s="4">
        <v>38497</v>
      </c>
      <c r="C1148" s="4">
        <v>38451</v>
      </c>
      <c r="D1148" s="4">
        <v>38574</v>
      </c>
      <c r="E1148" s="4">
        <v>38272</v>
      </c>
      <c r="F1148" s="4" t="str">
        <v>12.08K</v>
      </c>
      <c r="G1148" s="4" t="str">
        <v>0.30%</v>
      </c>
      <c r="H1148" s="3">
        <v>43747</v>
      </c>
      <c r="I1148" s="4">
        <v>38423</v>
      </c>
    </row>
    <row r="1149" spans="1:9" x14ac:dyDescent="0.25">
      <c r="A1149" s="3">
        <v>43746</v>
      </c>
      <c r="B1149" s="4">
        <v>38383</v>
      </c>
      <c r="C1149" s="4">
        <v>38320</v>
      </c>
      <c r="D1149" s="4">
        <v>38599</v>
      </c>
      <c r="E1149" s="4">
        <v>38225</v>
      </c>
      <c r="F1149" s="4" t="str">
        <v>6.95K</v>
      </c>
      <c r="G1149" s="4" t="str">
        <v>0.68%</v>
      </c>
      <c r="H1149" s="3">
        <v>43746</v>
      </c>
      <c r="I1149" s="4">
        <v>38412</v>
      </c>
    </row>
    <row r="1150" spans="1:9" x14ac:dyDescent="0.25">
      <c r="A1150" s="3">
        <v>43745</v>
      </c>
      <c r="B1150" s="4">
        <v>38123</v>
      </c>
      <c r="C1150" s="4">
        <v>38410</v>
      </c>
      <c r="D1150" s="4">
        <v>38470</v>
      </c>
      <c r="E1150" s="4">
        <v>38037</v>
      </c>
      <c r="F1150" s="4" t="str">
        <v>11.49K</v>
      </c>
      <c r="G1150" s="4" t="str">
        <v>0.18%</v>
      </c>
      <c r="H1150" s="3">
        <v>43745</v>
      </c>
      <c r="I1150" s="4">
        <v>38253.5</v>
      </c>
    </row>
    <row r="1151" spans="1:9" x14ac:dyDescent="0.25">
      <c r="A1151" s="3">
        <v>43742</v>
      </c>
      <c r="B1151" s="4">
        <v>38055</v>
      </c>
      <c r="C1151" s="4">
        <v>37925</v>
      </c>
      <c r="D1151" s="4">
        <v>38350</v>
      </c>
      <c r="E1151" s="4">
        <v>37837</v>
      </c>
      <c r="F1151" s="4" t="str">
        <v>0.05K</v>
      </c>
      <c r="G1151" s="4" t="str">
        <v>0.17%</v>
      </c>
      <c r="H1151" s="3">
        <v>43742</v>
      </c>
      <c r="I1151" s="4">
        <v>38093.5</v>
      </c>
    </row>
    <row r="1152" spans="1:9" x14ac:dyDescent="0.25">
      <c r="A1152" s="3">
        <v>43741</v>
      </c>
      <c r="B1152" s="4">
        <v>37990</v>
      </c>
      <c r="C1152" s="4">
        <v>37825</v>
      </c>
      <c r="D1152" s="4">
        <v>38099</v>
      </c>
      <c r="E1152" s="4">
        <v>37735</v>
      </c>
      <c r="F1152" s="4" t="str">
        <v>0.13K</v>
      </c>
      <c r="G1152" s="4" t="str">
        <v>1.82%</v>
      </c>
      <c r="H1152" s="3">
        <v>43741</v>
      </c>
      <c r="I1152" s="4">
        <v>37917</v>
      </c>
    </row>
    <row r="1153" spans="1:9" x14ac:dyDescent="0.25">
      <c r="A1153" s="3">
        <v>43739</v>
      </c>
      <c r="B1153" s="4">
        <v>37311</v>
      </c>
      <c r="C1153" s="4">
        <v>37003</v>
      </c>
      <c r="D1153" s="4">
        <v>37513</v>
      </c>
      <c r="E1153" s="4">
        <v>36771</v>
      </c>
      <c r="F1153" s="4" t="str">
        <v>1.47K</v>
      </c>
      <c r="G1153" s="4" t="str">
        <v>1.08%</v>
      </c>
      <c r="H1153" s="3">
        <v>43739</v>
      </c>
      <c r="I1153" s="4">
        <v>37142</v>
      </c>
    </row>
    <row r="1154" spans="1:9" x14ac:dyDescent="0.25">
      <c r="A1154" s="3">
        <v>43738</v>
      </c>
      <c r="B1154" s="4">
        <v>36913</v>
      </c>
      <c r="C1154" s="4">
        <v>37550</v>
      </c>
      <c r="D1154" s="4">
        <v>37640</v>
      </c>
      <c r="E1154" s="4">
        <v>36832</v>
      </c>
      <c r="F1154" s="4" t="str">
        <v>8.65K</v>
      </c>
      <c r="G1154" s="4" t="str">
        <v>-2.22%</v>
      </c>
      <c r="H1154" s="3">
        <v>43738</v>
      </c>
      <c r="I1154" s="4">
        <v>37236</v>
      </c>
    </row>
    <row r="1155" spans="1:9" x14ac:dyDescent="0.25">
      <c r="A1155" s="3">
        <v>43735</v>
      </c>
      <c r="B1155" s="4">
        <v>37750</v>
      </c>
      <c r="C1155" s="4">
        <v>37753</v>
      </c>
      <c r="D1155" s="4">
        <v>37836</v>
      </c>
      <c r="E1155" s="4">
        <v>37310</v>
      </c>
      <c r="F1155" s="4" t="str">
        <v>15.49K</v>
      </c>
      <c r="G1155" s="4" t="str">
        <v>-0.12%</v>
      </c>
      <c r="H1155" s="3">
        <v>43735</v>
      </c>
      <c r="I1155" s="4">
        <v>37573</v>
      </c>
    </row>
    <row r="1156" spans="1:9" x14ac:dyDescent="0.25">
      <c r="A1156" s="3">
        <v>43734</v>
      </c>
      <c r="B1156" s="4">
        <v>37794</v>
      </c>
      <c r="C1156" s="4">
        <v>37688</v>
      </c>
      <c r="D1156" s="4">
        <v>37849</v>
      </c>
      <c r="E1156" s="4">
        <v>37452</v>
      </c>
      <c r="F1156" s="4" t="str">
        <v>15.44K</v>
      </c>
      <c r="G1156" s="4" t="str">
        <v>0.51%</v>
      </c>
      <c r="H1156" s="3">
        <v>43734</v>
      </c>
      <c r="I1156" s="4">
        <v>37650.5</v>
      </c>
    </row>
    <row r="1157" spans="1:9" x14ac:dyDescent="0.25">
      <c r="A1157" s="3">
        <v>43733</v>
      </c>
      <c r="B1157" s="4">
        <v>37602</v>
      </c>
      <c r="C1157" s="4">
        <v>38072</v>
      </c>
      <c r="D1157" s="4">
        <v>38194</v>
      </c>
      <c r="E1157" s="4">
        <v>37485</v>
      </c>
      <c r="F1157" s="4" t="str">
        <v>15.54K</v>
      </c>
      <c r="G1157" s="4" t="str">
        <v>-1.33%</v>
      </c>
      <c r="H1157" s="3">
        <v>43733</v>
      </c>
      <c r="I1157" s="4">
        <v>37839.5</v>
      </c>
    </row>
    <row r="1158" spans="1:9" x14ac:dyDescent="0.25">
      <c r="A1158" s="3">
        <v>43732</v>
      </c>
      <c r="B1158" s="4">
        <v>38108</v>
      </c>
      <c r="C1158" s="4">
        <v>37825</v>
      </c>
      <c r="D1158" s="4">
        <v>38190</v>
      </c>
      <c r="E1158" s="4">
        <v>37770</v>
      </c>
      <c r="F1158" s="4" t="str">
        <v>14.29K</v>
      </c>
      <c r="G1158" s="4" t="str">
        <v>0.49%</v>
      </c>
      <c r="H1158" s="3">
        <v>43732</v>
      </c>
      <c r="I1158" s="4">
        <v>37980</v>
      </c>
    </row>
    <row r="1159" spans="1:9" x14ac:dyDescent="0.25">
      <c r="A1159" s="3">
        <v>43731</v>
      </c>
      <c r="B1159" s="4">
        <v>37924</v>
      </c>
      <c r="C1159" s="4">
        <v>37800</v>
      </c>
      <c r="D1159" s="4">
        <v>37974</v>
      </c>
      <c r="E1159" s="4">
        <v>37731</v>
      </c>
      <c r="F1159" s="4" t="str">
        <v>12.09K</v>
      </c>
      <c r="G1159" s="4" t="str">
        <v>0.60%</v>
      </c>
      <c r="H1159" s="3">
        <v>43731</v>
      </c>
      <c r="I1159" s="4">
        <v>37852.5</v>
      </c>
    </row>
    <row r="1160" spans="1:9" x14ac:dyDescent="0.25">
      <c r="A1160" s="3">
        <v>43728</v>
      </c>
      <c r="B1160" s="4">
        <v>37697</v>
      </c>
      <c r="C1160" s="4">
        <v>37714</v>
      </c>
      <c r="D1160" s="4">
        <v>37750</v>
      </c>
      <c r="E1160" s="4">
        <v>37438</v>
      </c>
      <c r="F1160" s="4" t="str">
        <v>12.82K</v>
      </c>
      <c r="G1160" s="4" t="str">
        <v>0.03%</v>
      </c>
      <c r="H1160" s="3">
        <v>43728</v>
      </c>
      <c r="I1160" s="4">
        <v>37594</v>
      </c>
    </row>
    <row r="1161" spans="1:9" x14ac:dyDescent="0.25">
      <c r="A1161" s="3">
        <v>43727</v>
      </c>
      <c r="B1161" s="4">
        <v>37686</v>
      </c>
      <c r="C1161" s="4">
        <v>37756</v>
      </c>
      <c r="D1161" s="4">
        <v>37787</v>
      </c>
      <c r="E1161" s="4">
        <v>37532</v>
      </c>
      <c r="F1161" s="4" t="str">
        <v>13.39K</v>
      </c>
      <c r="G1161" s="4" t="str">
        <v>-0.43%</v>
      </c>
      <c r="H1161" s="3">
        <v>43727</v>
      </c>
      <c r="I1161" s="4">
        <v>37659.5</v>
      </c>
    </row>
    <row r="1162" spans="1:9" x14ac:dyDescent="0.25">
      <c r="A1162" s="3">
        <v>43726</v>
      </c>
      <c r="B1162" s="4">
        <v>37849</v>
      </c>
      <c r="C1162" s="4">
        <v>37946</v>
      </c>
      <c r="D1162" s="4">
        <v>37965</v>
      </c>
      <c r="E1162" s="4">
        <v>37734</v>
      </c>
      <c r="F1162" s="4" t="str">
        <v>13.06K</v>
      </c>
      <c r="G1162" s="4" t="str">
        <v>-0.44%</v>
      </c>
      <c r="H1162" s="3">
        <v>43726</v>
      </c>
      <c r="I1162" s="4">
        <v>37849.5</v>
      </c>
    </row>
    <row r="1163" spans="1:9" x14ac:dyDescent="0.25">
      <c r="A1163" s="3">
        <v>43725</v>
      </c>
      <c r="B1163" s="4">
        <v>38016</v>
      </c>
      <c r="C1163" s="4">
        <v>38050</v>
      </c>
      <c r="D1163" s="4">
        <v>38179</v>
      </c>
      <c r="E1163" s="4">
        <v>37861</v>
      </c>
      <c r="F1163" s="4" t="str">
        <v>14.94K</v>
      </c>
      <c r="G1163" s="4" t="str">
        <v>-0.43%</v>
      </c>
      <c r="H1163" s="3">
        <v>43725</v>
      </c>
      <c r="I1163" s="4">
        <v>38020</v>
      </c>
    </row>
    <row r="1164" spans="1:9" x14ac:dyDescent="0.25">
      <c r="A1164" s="3">
        <v>43724</v>
      </c>
      <c r="B1164" s="4">
        <v>38180</v>
      </c>
      <c r="C1164" s="4">
        <v>37774</v>
      </c>
      <c r="D1164" s="4">
        <v>38215</v>
      </c>
      <c r="E1164" s="4">
        <v>37774</v>
      </c>
      <c r="F1164" s="4" t="str">
        <v>14.95K</v>
      </c>
      <c r="G1164" s="4" t="str">
        <v>1.75%</v>
      </c>
      <c r="H1164" s="3">
        <v>43724</v>
      </c>
      <c r="I1164" s="4">
        <v>37994.5</v>
      </c>
    </row>
    <row r="1165" spans="1:9" x14ac:dyDescent="0.25">
      <c r="A1165" s="3">
        <v>43721</v>
      </c>
      <c r="B1165" s="4">
        <v>37524</v>
      </c>
      <c r="C1165" s="4">
        <v>37728</v>
      </c>
      <c r="D1165" s="4">
        <v>37892</v>
      </c>
      <c r="E1165" s="4">
        <v>37449</v>
      </c>
      <c r="F1165" s="4" t="str">
        <v>15.76K</v>
      </c>
      <c r="G1165" s="4" t="str">
        <v>-0.60%</v>
      </c>
      <c r="H1165" s="3">
        <v>43721</v>
      </c>
      <c r="I1165" s="4">
        <v>37670.5</v>
      </c>
    </row>
    <row r="1166" spans="1:9" x14ac:dyDescent="0.25">
      <c r="A1166" s="3">
        <v>43720</v>
      </c>
      <c r="B1166" s="4">
        <v>37750</v>
      </c>
      <c r="C1166" s="4">
        <v>37898</v>
      </c>
      <c r="D1166" s="4">
        <v>38228</v>
      </c>
      <c r="E1166" s="4">
        <v>37662</v>
      </c>
      <c r="F1166" s="4" t="str">
        <v>22.44K</v>
      </c>
      <c r="G1166" s="4" t="str">
        <v>-0.59%</v>
      </c>
      <c r="H1166" s="3">
        <v>43720</v>
      </c>
      <c r="I1166" s="4">
        <v>37945</v>
      </c>
    </row>
    <row r="1167" spans="1:9" x14ac:dyDescent="0.25">
      <c r="A1167" s="3">
        <v>43719</v>
      </c>
      <c r="B1167" s="4">
        <v>37974</v>
      </c>
      <c r="C1167" s="4">
        <v>38207</v>
      </c>
      <c r="D1167" s="4">
        <v>38259</v>
      </c>
      <c r="E1167" s="4">
        <v>37930</v>
      </c>
      <c r="F1167" s="4" t="str">
        <v>19.75K</v>
      </c>
      <c r="G1167" s="4" t="str">
        <v>-0.73%</v>
      </c>
      <c r="H1167" s="3">
        <v>43719</v>
      </c>
      <c r="I1167" s="4">
        <v>38094.5</v>
      </c>
    </row>
    <row r="1168" spans="1:9" x14ac:dyDescent="0.25">
      <c r="A1168" s="3">
        <v>43718</v>
      </c>
      <c r="B1168" s="4">
        <v>38253</v>
      </c>
      <c r="C1168" s="4">
        <v>38355</v>
      </c>
      <c r="D1168" s="4">
        <v>38495</v>
      </c>
      <c r="E1168" s="4">
        <v>38205</v>
      </c>
      <c r="F1168" s="4" t="str">
        <v>10.77K</v>
      </c>
      <c r="G1168" s="4" t="str">
        <v>-0.57%</v>
      </c>
      <c r="H1168" s="3">
        <v>43718</v>
      </c>
      <c r="I1168" s="4">
        <v>38350</v>
      </c>
    </row>
    <row r="1169" spans="1:9" x14ac:dyDescent="0.25">
      <c r="A1169" s="3">
        <v>43717</v>
      </c>
      <c r="B1169" s="4">
        <v>38472</v>
      </c>
      <c r="C1169" s="4">
        <v>38553</v>
      </c>
      <c r="D1169" s="4">
        <v>38697</v>
      </c>
      <c r="E1169" s="4">
        <v>38272</v>
      </c>
      <c r="F1169" s="4" t="str">
        <v>17.76K</v>
      </c>
      <c r="G1169" s="4" t="str">
        <v>-0.21%</v>
      </c>
      <c r="H1169" s="3">
        <v>43717</v>
      </c>
      <c r="I1169" s="4">
        <v>38484.5</v>
      </c>
    </row>
    <row r="1170" spans="1:9" x14ac:dyDescent="0.25">
      <c r="A1170" s="3">
        <v>43714</v>
      </c>
      <c r="B1170" s="4">
        <v>38553</v>
      </c>
      <c r="C1170" s="4">
        <v>38800</v>
      </c>
      <c r="D1170" s="4">
        <v>38978</v>
      </c>
      <c r="E1170" s="4">
        <v>38376</v>
      </c>
      <c r="F1170" s="4" t="str">
        <v>22.37K</v>
      </c>
      <c r="G1170" s="4" t="str">
        <v>-0.88%</v>
      </c>
      <c r="H1170" s="3">
        <v>43714</v>
      </c>
      <c r="I1170" s="4">
        <v>38677</v>
      </c>
    </row>
    <row r="1171" spans="1:9" x14ac:dyDescent="0.25">
      <c r="A1171" s="3">
        <v>43713</v>
      </c>
      <c r="B1171" s="4">
        <v>38894</v>
      </c>
      <c r="C1171" s="4">
        <v>39582</v>
      </c>
      <c r="D1171" s="4">
        <v>39628</v>
      </c>
      <c r="E1171" s="4">
        <v>38514</v>
      </c>
      <c r="F1171" s="4" t="str">
        <v>22.37K</v>
      </c>
      <c r="G1171" s="4" t="str">
        <v>-2.33%</v>
      </c>
      <c r="H1171" s="3">
        <v>43713</v>
      </c>
      <c r="I1171" s="4">
        <v>39071</v>
      </c>
    </row>
    <row r="1172" spans="1:9" x14ac:dyDescent="0.25">
      <c r="A1172" s="3">
        <v>43712</v>
      </c>
      <c r="B1172" s="4">
        <v>39823</v>
      </c>
      <c r="C1172" s="4">
        <v>39651</v>
      </c>
      <c r="D1172" s="4">
        <v>39885</v>
      </c>
      <c r="E1172" s="4">
        <v>39358</v>
      </c>
      <c r="F1172" s="4" t="str">
        <v>18.67K</v>
      </c>
      <c r="G1172" s="4" t="str">
        <v>0.36%</v>
      </c>
      <c r="H1172" s="3">
        <v>43712</v>
      </c>
      <c r="I1172" s="4">
        <v>39621.5</v>
      </c>
    </row>
    <row r="1173" spans="1:9" x14ac:dyDescent="0.25">
      <c r="A1173" s="3">
        <v>43711</v>
      </c>
      <c r="B1173" s="4">
        <v>39680</v>
      </c>
      <c r="C1173" s="4">
        <v>38915</v>
      </c>
      <c r="D1173" s="4">
        <v>39740</v>
      </c>
      <c r="E1173" s="4">
        <v>38898</v>
      </c>
      <c r="F1173" s="4" t="str">
        <v>20.76K</v>
      </c>
      <c r="G1173" s="4" t="str">
        <v>1.52%</v>
      </c>
      <c r="H1173" s="3">
        <v>43711</v>
      </c>
      <c r="I1173" s="4">
        <v>39319</v>
      </c>
    </row>
    <row r="1174" spans="1:9" x14ac:dyDescent="0.25">
      <c r="A1174" s="3">
        <v>43710</v>
      </c>
      <c r="B1174" s="4">
        <v>39087</v>
      </c>
      <c r="C1174" s="4">
        <v>38859</v>
      </c>
      <c r="D1174" s="4">
        <v>39119</v>
      </c>
      <c r="E1174" s="4">
        <v>38846</v>
      </c>
      <c r="F1174" s="4" t="str">
        <v>5.78K</v>
      </c>
      <c r="G1174" s="4" t="str">
        <v>1.11%</v>
      </c>
      <c r="H1174" s="3">
        <v>43710</v>
      </c>
      <c r="I1174" s="4">
        <v>38982.5</v>
      </c>
    </row>
    <row r="1175" spans="1:9" x14ac:dyDescent="0.25">
      <c r="A1175" s="3">
        <v>43707</v>
      </c>
      <c r="B1175" s="4">
        <v>38656</v>
      </c>
      <c r="C1175" s="4">
        <v>38650</v>
      </c>
      <c r="D1175" s="4">
        <v>38948</v>
      </c>
      <c r="E1175" s="4">
        <v>38611</v>
      </c>
      <c r="F1175" s="4" t="str">
        <v>15.84K</v>
      </c>
      <c r="G1175" s="4" t="str">
        <v>-0.38%</v>
      </c>
      <c r="H1175" s="3">
        <v>43707</v>
      </c>
      <c r="I1175" s="4">
        <v>38779.5</v>
      </c>
    </row>
    <row r="1176" spans="1:9" x14ac:dyDescent="0.25">
      <c r="A1176" s="3">
        <v>43706</v>
      </c>
      <c r="B1176" s="4">
        <v>38803</v>
      </c>
      <c r="C1176" s="4">
        <v>39180</v>
      </c>
      <c r="D1176" s="4">
        <v>39425</v>
      </c>
      <c r="E1176" s="4">
        <v>38675</v>
      </c>
      <c r="F1176" s="4" t="str">
        <v>19.97K</v>
      </c>
      <c r="G1176" s="4" t="str">
        <v>-0.92%</v>
      </c>
      <c r="H1176" s="3">
        <v>43706</v>
      </c>
      <c r="I1176" s="4">
        <v>39050</v>
      </c>
    </row>
    <row r="1177" spans="1:9" x14ac:dyDescent="0.25">
      <c r="A1177" s="3">
        <v>43705</v>
      </c>
      <c r="B1177" s="4">
        <v>39165</v>
      </c>
      <c r="C1177" s="4">
        <v>38947</v>
      </c>
      <c r="D1177" s="4">
        <v>39290</v>
      </c>
      <c r="E1177" s="4">
        <v>38861</v>
      </c>
      <c r="F1177" s="4" t="str">
        <v>15.77K</v>
      </c>
      <c r="G1177" s="4" t="str">
        <v>0.31%</v>
      </c>
      <c r="H1177" s="3">
        <v>43705</v>
      </c>
      <c r="I1177" s="4">
        <v>39075.5</v>
      </c>
    </row>
    <row r="1178" spans="1:9" x14ac:dyDescent="0.25">
      <c r="A1178" s="3">
        <v>43704</v>
      </c>
      <c r="B1178" s="4">
        <v>39044</v>
      </c>
      <c r="C1178" s="4">
        <v>38797</v>
      </c>
      <c r="D1178" s="4">
        <v>39084</v>
      </c>
      <c r="E1178" s="4">
        <v>38713</v>
      </c>
      <c r="F1178" s="4" t="str">
        <v>16.11K</v>
      </c>
      <c r="G1178" s="4" t="str">
        <v>0.56%</v>
      </c>
      <c r="H1178" s="3">
        <v>43704</v>
      </c>
      <c r="I1178" s="4">
        <v>38898.5</v>
      </c>
    </row>
    <row r="1179" spans="1:9" x14ac:dyDescent="0.25">
      <c r="A1179" s="3">
        <v>43703</v>
      </c>
      <c r="B1179" s="4">
        <v>38828</v>
      </c>
      <c r="C1179" s="4">
        <v>39134</v>
      </c>
      <c r="D1179" s="4">
        <v>39340</v>
      </c>
      <c r="E1179" s="4">
        <v>38800</v>
      </c>
      <c r="F1179" s="4" t="str">
        <v>19.72K</v>
      </c>
      <c r="G1179" s="4" t="str">
        <v>0.16%</v>
      </c>
      <c r="H1179" s="3">
        <v>43703</v>
      </c>
      <c r="I1179" s="4">
        <v>39070</v>
      </c>
    </row>
    <row r="1180" spans="1:9" x14ac:dyDescent="0.25">
      <c r="A1180" s="3">
        <v>43700</v>
      </c>
      <c r="B1180" s="4">
        <v>38765</v>
      </c>
      <c r="C1180" s="4">
        <v>38052</v>
      </c>
      <c r="D1180" s="4">
        <v>38821</v>
      </c>
      <c r="E1180" s="4">
        <v>37960</v>
      </c>
      <c r="F1180" s="4" t="str">
        <v>19.26K</v>
      </c>
      <c r="G1180" s="4" t="str">
        <v>1.57%</v>
      </c>
      <c r="H1180" s="3">
        <v>43700</v>
      </c>
      <c r="I1180" s="4">
        <v>38390.5</v>
      </c>
    </row>
    <row r="1181" spans="1:9" x14ac:dyDescent="0.25">
      <c r="A1181" s="3">
        <v>43699</v>
      </c>
      <c r="B1181" s="4">
        <v>38165</v>
      </c>
      <c r="C1181" s="4">
        <v>37950</v>
      </c>
      <c r="D1181" s="4">
        <v>38220</v>
      </c>
      <c r="E1181" s="4">
        <v>37916</v>
      </c>
      <c r="F1181" s="4" t="str">
        <v>14.09K</v>
      </c>
      <c r="G1181" s="4" t="str">
        <v>0.45%</v>
      </c>
      <c r="H1181" s="3">
        <v>43699</v>
      </c>
      <c r="I1181" s="4">
        <v>38068</v>
      </c>
    </row>
    <row r="1182" spans="1:9" x14ac:dyDescent="0.25">
      <c r="A1182" s="3">
        <v>43698</v>
      </c>
      <c r="B1182" s="4">
        <v>37993</v>
      </c>
      <c r="C1182" s="4">
        <v>37903</v>
      </c>
      <c r="D1182" s="4">
        <v>38041</v>
      </c>
      <c r="E1182" s="4">
        <v>37814</v>
      </c>
      <c r="F1182" s="4" t="str">
        <v>12.26K</v>
      </c>
      <c r="G1182" s="4" t="str">
        <v>-0.03%</v>
      </c>
      <c r="H1182" s="3">
        <v>43698</v>
      </c>
      <c r="I1182" s="4">
        <v>37927.5</v>
      </c>
    </row>
    <row r="1183" spans="1:9" x14ac:dyDescent="0.25">
      <c r="A1183" s="3">
        <v>43697</v>
      </c>
      <c r="B1183" s="4">
        <v>38004</v>
      </c>
      <c r="C1183" s="4">
        <v>37750</v>
      </c>
      <c r="D1183" s="4">
        <v>38077</v>
      </c>
      <c r="E1183" s="4">
        <v>37678</v>
      </c>
      <c r="F1183" s="4" t="str">
        <v>15.15K</v>
      </c>
      <c r="G1183" s="4" t="str">
        <v>0.48%</v>
      </c>
      <c r="H1183" s="3">
        <v>43697</v>
      </c>
      <c r="I1183" s="4">
        <v>37877.5</v>
      </c>
    </row>
    <row r="1184" spans="1:9" x14ac:dyDescent="0.25">
      <c r="A1184" s="3">
        <v>43696</v>
      </c>
      <c r="B1184" s="4">
        <v>37823</v>
      </c>
      <c r="C1184" s="4">
        <v>37737</v>
      </c>
      <c r="D1184" s="4">
        <v>37888</v>
      </c>
      <c r="E1184" s="4">
        <v>37605</v>
      </c>
      <c r="F1184" s="4" t="str">
        <v>15.66K</v>
      </c>
      <c r="G1184" s="4" t="str">
        <v>-0.30%</v>
      </c>
      <c r="H1184" s="3">
        <v>43696</v>
      </c>
      <c r="I1184" s="4">
        <v>37746.5</v>
      </c>
    </row>
    <row r="1185" spans="1:9" x14ac:dyDescent="0.25">
      <c r="A1185" s="3">
        <v>43693</v>
      </c>
      <c r="B1185" s="4">
        <v>37938</v>
      </c>
      <c r="C1185" s="4">
        <v>38143</v>
      </c>
      <c r="D1185" s="4">
        <v>38220</v>
      </c>
      <c r="E1185" s="4">
        <v>37705</v>
      </c>
      <c r="F1185" s="4" t="str">
        <v>14.76K</v>
      </c>
      <c r="G1185" s="4" t="str">
        <v>-0.59%</v>
      </c>
      <c r="H1185" s="3">
        <v>43693</v>
      </c>
      <c r="I1185" s="4">
        <v>37962.5</v>
      </c>
    </row>
    <row r="1186" spans="1:9" x14ac:dyDescent="0.25">
      <c r="A1186" s="3">
        <v>43691</v>
      </c>
      <c r="B1186" s="4">
        <v>38163</v>
      </c>
      <c r="C1186" s="4">
        <v>37788</v>
      </c>
      <c r="D1186" s="4">
        <v>38340</v>
      </c>
      <c r="E1186" s="4">
        <v>37693</v>
      </c>
      <c r="F1186" s="4" t="str">
        <v>18.59K</v>
      </c>
      <c r="G1186" s="4" t="str">
        <v>1.03%</v>
      </c>
      <c r="H1186" s="3">
        <v>43691</v>
      </c>
      <c r="I1186" s="4">
        <v>38016.5</v>
      </c>
    </row>
    <row r="1187" spans="1:9" x14ac:dyDescent="0.25">
      <c r="A1187" s="3">
        <v>43690</v>
      </c>
      <c r="B1187" s="4">
        <v>37775</v>
      </c>
      <c r="C1187" s="4">
        <v>38449</v>
      </c>
      <c r="D1187" s="4">
        <v>38666</v>
      </c>
      <c r="E1187" s="4">
        <v>37344</v>
      </c>
      <c r="F1187" s="4" t="str">
        <v>23.67K</v>
      </c>
      <c r="G1187" s="4" t="str">
        <v>-1.22%</v>
      </c>
      <c r="H1187" s="3">
        <v>43690</v>
      </c>
      <c r="I1187" s="4">
        <v>38005</v>
      </c>
    </row>
    <row r="1188" spans="1:9" x14ac:dyDescent="0.25">
      <c r="A1188" s="3">
        <v>43689</v>
      </c>
      <c r="B1188" s="4">
        <v>38241</v>
      </c>
      <c r="C1188" s="4">
        <v>38257</v>
      </c>
      <c r="D1188" s="4">
        <v>38349</v>
      </c>
      <c r="E1188" s="4">
        <v>38152</v>
      </c>
      <c r="F1188" s="4" t="str">
        <v>5.25K</v>
      </c>
      <c r="G1188" s="4" t="str">
        <v>0.66%</v>
      </c>
      <c r="H1188" s="3">
        <v>43689</v>
      </c>
      <c r="I1188" s="4">
        <v>38250.5</v>
      </c>
    </row>
    <row r="1189" spans="1:9" x14ac:dyDescent="0.25">
      <c r="A1189" s="3">
        <v>43686</v>
      </c>
      <c r="B1189" s="4">
        <v>37992</v>
      </c>
      <c r="C1189" s="4">
        <v>37976</v>
      </c>
      <c r="D1189" s="4">
        <v>38148</v>
      </c>
      <c r="E1189" s="4">
        <v>37815</v>
      </c>
      <c r="F1189" s="4" t="str">
        <v>13.01K</v>
      </c>
      <c r="G1189" s="4" t="str">
        <v>0.62%</v>
      </c>
      <c r="H1189" s="3">
        <v>43686</v>
      </c>
      <c r="I1189" s="4">
        <v>37981.5</v>
      </c>
    </row>
    <row r="1190" spans="1:9" x14ac:dyDescent="0.25">
      <c r="A1190" s="3">
        <v>43685</v>
      </c>
      <c r="B1190" s="4">
        <v>37757</v>
      </c>
      <c r="C1190" s="4">
        <v>37994</v>
      </c>
      <c r="D1190" s="4">
        <v>38090</v>
      </c>
      <c r="E1190" s="4">
        <v>37624</v>
      </c>
      <c r="F1190" s="4" t="str">
        <v>15.11K</v>
      </c>
      <c r="G1190" s="4" t="str">
        <v>-1.21%</v>
      </c>
      <c r="H1190" s="3">
        <v>43685</v>
      </c>
      <c r="I1190" s="4">
        <v>37857</v>
      </c>
    </row>
    <row r="1191" spans="1:9" x14ac:dyDescent="0.25">
      <c r="A1191" s="3">
        <v>43684</v>
      </c>
      <c r="B1191" s="4">
        <v>38218</v>
      </c>
      <c r="C1191" s="4">
        <v>37830</v>
      </c>
      <c r="D1191" s="4">
        <v>38488</v>
      </c>
      <c r="E1191" s="4">
        <v>37613</v>
      </c>
      <c r="F1191" s="4" t="str">
        <v>25.09K</v>
      </c>
      <c r="G1191" s="4" t="str">
        <v>1.92%</v>
      </c>
      <c r="H1191" s="3">
        <v>43684</v>
      </c>
      <c r="I1191" s="4">
        <v>38050.5</v>
      </c>
    </row>
    <row r="1192" spans="1:9" x14ac:dyDescent="0.25">
      <c r="A1192" s="3">
        <v>43683</v>
      </c>
      <c r="B1192" s="4">
        <v>37497</v>
      </c>
      <c r="C1192" s="4">
        <v>37327</v>
      </c>
      <c r="D1192" s="4">
        <v>37530</v>
      </c>
      <c r="E1192" s="4">
        <v>36921</v>
      </c>
      <c r="F1192" s="4" t="str">
        <v>17.11K</v>
      </c>
      <c r="G1192" s="4" t="str">
        <v>2.70%</v>
      </c>
      <c r="H1192" s="3">
        <v>43683</v>
      </c>
      <c r="I1192" s="4">
        <v>37225.5</v>
      </c>
    </row>
    <row r="1193" spans="1:9" x14ac:dyDescent="0.25">
      <c r="A1193" s="3">
        <v>43682</v>
      </c>
      <c r="B1193" s="4">
        <v>36511</v>
      </c>
      <c r="C1193" s="4">
        <v>36192</v>
      </c>
      <c r="D1193" s="4">
        <v>36540</v>
      </c>
      <c r="E1193" s="4">
        <v>36020</v>
      </c>
      <c r="F1193" s="4" t="str">
        <v>0.57K</v>
      </c>
      <c r="G1193" s="4" t="str">
        <v>2.63%</v>
      </c>
      <c r="H1193" s="3">
        <v>43682</v>
      </c>
      <c r="I1193" s="4">
        <v>36280</v>
      </c>
    </row>
    <row r="1194" spans="1:9" x14ac:dyDescent="0.25">
      <c r="A1194" s="3">
        <v>43679</v>
      </c>
      <c r="B1194" s="4">
        <v>35577</v>
      </c>
      <c r="C1194" s="4">
        <v>34997</v>
      </c>
      <c r="D1194" s="4">
        <v>35644</v>
      </c>
      <c r="E1194" s="4">
        <v>34947</v>
      </c>
      <c r="F1194" s="4" t="str">
        <v>0.48K</v>
      </c>
      <c r="G1194" s="4" t="str">
        <v>1.89%</v>
      </c>
      <c r="H1194" s="3">
        <v>43679</v>
      </c>
      <c r="I1194" s="4">
        <v>35295.5</v>
      </c>
    </row>
    <row r="1195" spans="1:9" x14ac:dyDescent="0.25">
      <c r="A1195" s="3">
        <v>43678</v>
      </c>
      <c r="B1195" s="4">
        <v>34916</v>
      </c>
      <c r="C1195" s="4">
        <v>34297</v>
      </c>
      <c r="D1195" s="4">
        <v>35141</v>
      </c>
      <c r="E1195" s="4">
        <v>34265</v>
      </c>
      <c r="F1195" s="4" t="str">
        <v>2.28K</v>
      </c>
      <c r="G1195" s="4" t="str">
        <v>1.16%</v>
      </c>
      <c r="H1195" s="3">
        <v>43678</v>
      </c>
      <c r="I1195" s="4">
        <v>34703</v>
      </c>
    </row>
    <row r="1196" spans="1:9" x14ac:dyDescent="0.25">
      <c r="A1196" s="3">
        <v>43677</v>
      </c>
      <c r="B1196" s="4">
        <v>34517</v>
      </c>
      <c r="C1196" s="4">
        <v>34543</v>
      </c>
      <c r="D1196" s="4">
        <v>34666</v>
      </c>
      <c r="E1196" s="4">
        <v>34415</v>
      </c>
      <c r="F1196" s="4" t="str">
        <v>8.94K</v>
      </c>
      <c r="G1196" s="4" t="str">
        <v>-0.03%</v>
      </c>
      <c r="H1196" s="3">
        <v>43677</v>
      </c>
      <c r="I1196" s="4">
        <v>34540.5</v>
      </c>
    </row>
    <row r="1197" spans="1:9" x14ac:dyDescent="0.25">
      <c r="A1197" s="3">
        <v>43676</v>
      </c>
      <c r="B1197" s="4">
        <v>34529</v>
      </c>
      <c r="C1197" s="4">
        <v>34704</v>
      </c>
      <c r="D1197" s="4">
        <v>34773</v>
      </c>
      <c r="E1197" s="4">
        <v>34291</v>
      </c>
      <c r="F1197" s="4" t="str">
        <v>15.64K</v>
      </c>
      <c r="G1197" s="4" t="str">
        <v>-0.52%</v>
      </c>
      <c r="H1197" s="3">
        <v>43676</v>
      </c>
      <c r="I1197" s="4">
        <v>34532</v>
      </c>
    </row>
    <row r="1198" spans="1:9" x14ac:dyDescent="0.25">
      <c r="A1198" s="3">
        <v>43675</v>
      </c>
      <c r="B1198" s="4">
        <v>34709</v>
      </c>
      <c r="C1198" s="4">
        <v>34750</v>
      </c>
      <c r="D1198" s="4">
        <v>34830</v>
      </c>
      <c r="E1198" s="4">
        <v>34670</v>
      </c>
      <c r="F1198" s="4" t="str">
        <v>9.33K</v>
      </c>
      <c r="G1198" s="4" t="str">
        <v>-0.18%</v>
      </c>
      <c r="H1198" s="3">
        <v>43675</v>
      </c>
      <c r="I1198" s="4">
        <v>34750</v>
      </c>
    </row>
    <row r="1199" spans="1:9" x14ac:dyDescent="0.25">
      <c r="A1199" s="3">
        <v>43672</v>
      </c>
      <c r="B1199" s="4">
        <v>34773</v>
      </c>
      <c r="C1199" s="4">
        <v>34819</v>
      </c>
      <c r="D1199" s="4">
        <v>34976</v>
      </c>
      <c r="E1199" s="4">
        <v>34723</v>
      </c>
      <c r="F1199" s="4" t="str">
        <v>10.05K</v>
      </c>
      <c r="G1199" s="4" t="str">
        <v>-0.13%</v>
      </c>
      <c r="H1199" s="3">
        <v>43672</v>
      </c>
      <c r="I1199" s="4">
        <v>34849.5</v>
      </c>
    </row>
    <row r="1200" spans="1:9" x14ac:dyDescent="0.25">
      <c r="A1200" s="3">
        <v>43671</v>
      </c>
      <c r="B1200" s="4">
        <v>34817</v>
      </c>
      <c r="C1200" s="4">
        <v>35000</v>
      </c>
      <c r="D1200" s="4">
        <v>35117</v>
      </c>
      <c r="E1200" s="4">
        <v>34780</v>
      </c>
      <c r="F1200" s="4" t="str">
        <v>13.43K</v>
      </c>
      <c r="G1200" s="4" t="str">
        <v>-0.60%</v>
      </c>
      <c r="H1200" s="3">
        <v>43671</v>
      </c>
      <c r="I1200" s="4">
        <v>34948.5</v>
      </c>
    </row>
    <row r="1201" spans="1:9" x14ac:dyDescent="0.25">
      <c r="A1201" s="3">
        <v>43670</v>
      </c>
      <c r="B1201" s="4">
        <v>35027</v>
      </c>
      <c r="C1201" s="4">
        <v>35049</v>
      </c>
      <c r="D1201" s="4">
        <v>35094</v>
      </c>
      <c r="E1201" s="4">
        <v>34925</v>
      </c>
      <c r="F1201" s="4" t="str">
        <v>10.48K</v>
      </c>
      <c r="G1201" s="4" t="str">
        <v>0.02%</v>
      </c>
      <c r="H1201" s="3">
        <v>43670</v>
      </c>
      <c r="I1201" s="4">
        <v>35009.5</v>
      </c>
    </row>
    <row r="1202" spans="1:9" x14ac:dyDescent="0.25">
      <c r="A1202" s="3">
        <v>43669</v>
      </c>
      <c r="B1202" s="4">
        <v>35021</v>
      </c>
      <c r="C1202" s="4">
        <v>35000</v>
      </c>
      <c r="D1202" s="4">
        <v>35150</v>
      </c>
      <c r="E1202" s="4">
        <v>34886</v>
      </c>
      <c r="F1202" s="4" t="str">
        <v>12.59K</v>
      </c>
      <c r="G1202" s="4" t="str">
        <v>-0.32%</v>
      </c>
      <c r="H1202" s="3">
        <v>43669</v>
      </c>
      <c r="I1202" s="4">
        <v>35018</v>
      </c>
    </row>
    <row r="1203" spans="1:9" x14ac:dyDescent="0.25">
      <c r="A1203" s="3">
        <v>43668</v>
      </c>
      <c r="B1203" s="4">
        <v>35132</v>
      </c>
      <c r="C1203" s="4">
        <v>35109</v>
      </c>
      <c r="D1203" s="4">
        <v>35206</v>
      </c>
      <c r="E1203" s="4">
        <v>35050</v>
      </c>
      <c r="F1203" s="4" t="str">
        <v>8.96K</v>
      </c>
      <c r="G1203" s="4" t="str">
        <v>0.27%</v>
      </c>
      <c r="H1203" s="3">
        <v>43668</v>
      </c>
      <c r="I1203" s="4">
        <v>35128</v>
      </c>
    </row>
    <row r="1204" spans="1:9" x14ac:dyDescent="0.25">
      <c r="A1204" s="3">
        <v>43665</v>
      </c>
      <c r="B1204" s="4">
        <v>35036</v>
      </c>
      <c r="C1204" s="4">
        <v>35321</v>
      </c>
      <c r="D1204" s="4">
        <v>35409</v>
      </c>
      <c r="E1204" s="4">
        <v>35000</v>
      </c>
      <c r="F1204" s="4" t="str">
        <v>17.76K</v>
      </c>
      <c r="G1204" s="4" t="str">
        <v>-0.34%</v>
      </c>
      <c r="H1204" s="3">
        <v>43665</v>
      </c>
      <c r="I1204" s="4">
        <v>35204.5</v>
      </c>
    </row>
    <row r="1205" spans="1:9" x14ac:dyDescent="0.25">
      <c r="A1205" s="3">
        <v>43664</v>
      </c>
      <c r="B1205" s="4">
        <v>35156</v>
      </c>
      <c r="C1205" s="4">
        <v>35050</v>
      </c>
      <c r="D1205" s="4">
        <v>35191</v>
      </c>
      <c r="E1205" s="4">
        <v>34880</v>
      </c>
      <c r="F1205" s="4" t="str">
        <v>17.46K</v>
      </c>
      <c r="G1205" s="4" t="str">
        <v>0.19%</v>
      </c>
      <c r="H1205" s="3">
        <v>43664</v>
      </c>
      <c r="I1205" s="4">
        <v>35035.5</v>
      </c>
    </row>
    <row r="1206" spans="1:9" x14ac:dyDescent="0.25">
      <c r="A1206" s="3">
        <v>43663</v>
      </c>
      <c r="B1206" s="4">
        <v>35090</v>
      </c>
      <c r="C1206" s="4">
        <v>34787</v>
      </c>
      <c r="D1206" s="4">
        <v>35139</v>
      </c>
      <c r="E1206" s="4">
        <v>34682</v>
      </c>
      <c r="F1206" s="4" t="str">
        <v>17.50K</v>
      </c>
      <c r="G1206" s="4" t="str">
        <v>0.80%</v>
      </c>
      <c r="H1206" s="3">
        <v>43663</v>
      </c>
      <c r="I1206" s="4">
        <v>34910.5</v>
      </c>
    </row>
    <row r="1207" spans="1:9" x14ac:dyDescent="0.25">
      <c r="A1207" s="3">
        <v>43662</v>
      </c>
      <c r="B1207" s="4">
        <v>34812</v>
      </c>
      <c r="C1207" s="4">
        <v>34883</v>
      </c>
      <c r="D1207" s="4">
        <v>34946</v>
      </c>
      <c r="E1207" s="4">
        <v>34710</v>
      </c>
      <c r="F1207" s="4" t="str">
        <v>20.54K</v>
      </c>
      <c r="G1207" s="4" t="str">
        <v>-0.20%</v>
      </c>
      <c r="H1207" s="3">
        <v>43662</v>
      </c>
      <c r="I1207" s="4">
        <v>34828</v>
      </c>
    </row>
    <row r="1208" spans="1:9" x14ac:dyDescent="0.25">
      <c r="A1208" s="3">
        <v>43661</v>
      </c>
      <c r="B1208" s="4">
        <v>34882</v>
      </c>
      <c r="C1208" s="4">
        <v>34897</v>
      </c>
      <c r="D1208" s="4">
        <v>34969</v>
      </c>
      <c r="E1208" s="4">
        <v>34768</v>
      </c>
      <c r="F1208" s="4" t="str">
        <v>13.91K</v>
      </c>
      <c r="G1208" s="4" t="str">
        <v>-0.07%</v>
      </c>
      <c r="H1208" s="3">
        <v>43661</v>
      </c>
      <c r="I1208" s="4">
        <v>34868.5</v>
      </c>
    </row>
    <row r="1209" spans="1:9" x14ac:dyDescent="0.25">
      <c r="A1209" s="3">
        <v>43658</v>
      </c>
      <c r="B1209" s="4">
        <v>34905</v>
      </c>
      <c r="C1209" s="4">
        <v>34742</v>
      </c>
      <c r="D1209" s="4">
        <v>34950</v>
      </c>
      <c r="E1209" s="4">
        <v>34708</v>
      </c>
      <c r="F1209" s="4" t="str">
        <v>16.23K</v>
      </c>
      <c r="G1209" s="4" t="str">
        <v>0.59%</v>
      </c>
      <c r="H1209" s="3">
        <v>43658</v>
      </c>
      <c r="I1209" s="4">
        <v>34829</v>
      </c>
    </row>
    <row r="1210" spans="1:9" x14ac:dyDescent="0.25">
      <c r="A1210" s="3">
        <v>43657</v>
      </c>
      <c r="B1210" s="4">
        <v>34701</v>
      </c>
      <c r="C1210" s="4">
        <v>34939</v>
      </c>
      <c r="D1210" s="4">
        <v>35145</v>
      </c>
      <c r="E1210" s="4">
        <v>34675</v>
      </c>
      <c r="F1210" s="4" t="str">
        <v>20.84K</v>
      </c>
      <c r="G1210" s="4" t="str">
        <v>-0.40%</v>
      </c>
      <c r="H1210" s="3">
        <v>43657</v>
      </c>
      <c r="I1210" s="4">
        <v>34910</v>
      </c>
    </row>
    <row r="1211" spans="1:9" x14ac:dyDescent="0.25">
      <c r="A1211" s="3">
        <v>43656</v>
      </c>
      <c r="B1211" s="4">
        <v>34839</v>
      </c>
      <c r="C1211" s="4">
        <v>34532</v>
      </c>
      <c r="D1211" s="4">
        <v>34885</v>
      </c>
      <c r="E1211" s="4">
        <v>34370</v>
      </c>
      <c r="F1211" s="4" t="str">
        <v>20.29K</v>
      </c>
      <c r="G1211" s="4" t="str">
        <v>0.74%</v>
      </c>
      <c r="H1211" s="3">
        <v>43656</v>
      </c>
      <c r="I1211" s="4">
        <v>34627.5</v>
      </c>
    </row>
    <row r="1212" spans="1:9" x14ac:dyDescent="0.25">
      <c r="A1212" s="3">
        <v>43655</v>
      </c>
      <c r="B1212" s="4">
        <v>34582</v>
      </c>
      <c r="C1212" s="4">
        <v>34525</v>
      </c>
      <c r="D1212" s="4">
        <v>34626</v>
      </c>
      <c r="E1212" s="4">
        <v>34340</v>
      </c>
      <c r="F1212" s="4" t="str">
        <v>17.01K</v>
      </c>
      <c r="G1212" s="4" t="str">
        <v>0.01%</v>
      </c>
      <c r="H1212" s="3">
        <v>43655</v>
      </c>
      <c r="I1212" s="4">
        <v>34483</v>
      </c>
    </row>
    <row r="1213" spans="1:9" x14ac:dyDescent="0.25">
      <c r="A1213" s="3">
        <v>43654</v>
      </c>
      <c r="B1213" s="4">
        <v>34579</v>
      </c>
      <c r="C1213" s="4">
        <v>34550</v>
      </c>
      <c r="D1213" s="4">
        <v>34828</v>
      </c>
      <c r="E1213" s="4">
        <v>34510</v>
      </c>
      <c r="F1213" s="4" t="str">
        <v>15.27K</v>
      </c>
      <c r="G1213" s="4" t="str">
        <v>-0.01%</v>
      </c>
      <c r="H1213" s="3">
        <v>43654</v>
      </c>
      <c r="I1213" s="4">
        <v>34669</v>
      </c>
    </row>
    <row r="1214" spans="1:9" x14ac:dyDescent="0.25">
      <c r="A1214" s="3">
        <v>43651</v>
      </c>
      <c r="B1214" s="4">
        <v>34583</v>
      </c>
      <c r="C1214" s="4">
        <v>34250</v>
      </c>
      <c r="D1214" s="4">
        <v>35100</v>
      </c>
      <c r="E1214" s="4">
        <v>34205</v>
      </c>
      <c r="F1214" s="4" t="str">
        <v>42.52K</v>
      </c>
      <c r="G1214" s="4" t="str">
        <v>1.07%</v>
      </c>
      <c r="H1214" s="3">
        <v>43651</v>
      </c>
      <c r="I1214" s="4">
        <v>34652.5</v>
      </c>
    </row>
    <row r="1215" spans="1:9" x14ac:dyDescent="0.25">
      <c r="A1215" s="3">
        <v>43650</v>
      </c>
      <c r="B1215" s="4">
        <v>34217</v>
      </c>
      <c r="C1215" s="4">
        <v>34300</v>
      </c>
      <c r="D1215" s="4">
        <v>34315</v>
      </c>
      <c r="E1215" s="4">
        <v>34125</v>
      </c>
      <c r="F1215" s="4" t="str">
        <v>12.11K</v>
      </c>
      <c r="G1215" s="4" t="str">
        <v>-0.08%</v>
      </c>
      <c r="H1215" s="3">
        <v>43650</v>
      </c>
      <c r="I1215" s="4">
        <v>34220</v>
      </c>
    </row>
    <row r="1216" spans="1:9" x14ac:dyDescent="0.25">
      <c r="A1216" s="3">
        <v>43649</v>
      </c>
      <c r="B1216" s="4">
        <v>34246</v>
      </c>
      <c r="C1216" s="4">
        <v>34280</v>
      </c>
      <c r="D1216" s="4">
        <v>34499</v>
      </c>
      <c r="E1216" s="4">
        <v>34188</v>
      </c>
      <c r="F1216" s="4" t="str">
        <v>18.30K</v>
      </c>
      <c r="G1216" s="4" t="str">
        <v>0.60%</v>
      </c>
      <c r="H1216" s="3">
        <v>43649</v>
      </c>
      <c r="I1216" s="4">
        <v>34343.5</v>
      </c>
    </row>
    <row r="1217" spans="1:9" x14ac:dyDescent="0.25">
      <c r="A1217" s="3">
        <v>43648</v>
      </c>
      <c r="B1217" s="4">
        <v>34042</v>
      </c>
      <c r="C1217" s="4">
        <v>33691</v>
      </c>
      <c r="D1217" s="4">
        <v>34070</v>
      </c>
      <c r="E1217" s="4">
        <v>33691</v>
      </c>
      <c r="F1217" s="4" t="str">
        <v>13.97K</v>
      </c>
      <c r="G1217" s="4" t="str">
        <v>1.19%</v>
      </c>
      <c r="H1217" s="3">
        <v>43648</v>
      </c>
      <c r="I1217" s="4">
        <v>33880.5</v>
      </c>
    </row>
    <row r="1218" spans="1:9" x14ac:dyDescent="0.25">
      <c r="A1218" s="3">
        <v>43647</v>
      </c>
      <c r="B1218" s="4">
        <v>33643</v>
      </c>
      <c r="C1218" s="4">
        <v>34138</v>
      </c>
      <c r="D1218" s="4">
        <v>34138</v>
      </c>
      <c r="E1218" s="4">
        <v>33620</v>
      </c>
      <c r="F1218" s="4" t="str">
        <v>18.75K</v>
      </c>
      <c r="G1218" s="4" t="str">
        <v>-1.65%</v>
      </c>
      <c r="H1218" s="3">
        <v>43647</v>
      </c>
      <c r="I1218" s="4">
        <v>33879</v>
      </c>
    </row>
    <row r="1219" spans="1:9" x14ac:dyDescent="0.25">
      <c r="A1219" s="3">
        <v>43644</v>
      </c>
      <c r="B1219" s="4">
        <v>34206</v>
      </c>
      <c r="C1219" s="4">
        <v>34484</v>
      </c>
      <c r="D1219" s="4">
        <v>34484</v>
      </c>
      <c r="E1219" s="4">
        <v>34152</v>
      </c>
      <c r="F1219" s="4" t="str">
        <v>15.20K</v>
      </c>
      <c r="G1219" s="4" t="str">
        <v>0.09%</v>
      </c>
      <c r="H1219" s="3">
        <v>43644</v>
      </c>
      <c r="I1219" s="4">
        <v>34318</v>
      </c>
    </row>
    <row r="1220" spans="1:9" x14ac:dyDescent="0.25">
      <c r="A1220" s="3">
        <v>43643</v>
      </c>
      <c r="B1220" s="4">
        <v>34175</v>
      </c>
      <c r="C1220" s="4">
        <v>34333</v>
      </c>
      <c r="D1220" s="4">
        <v>34333</v>
      </c>
      <c r="E1220" s="4">
        <v>34030</v>
      </c>
      <c r="F1220" s="4" t="str">
        <v>12.76K</v>
      </c>
      <c r="G1220" s="4" t="str">
        <v>-0.62%</v>
      </c>
      <c r="H1220" s="3">
        <v>43643</v>
      </c>
      <c r="I1220" s="4">
        <v>34181.5</v>
      </c>
    </row>
    <row r="1221" spans="1:9" x14ac:dyDescent="0.25">
      <c r="A1221" s="3">
        <v>43642</v>
      </c>
      <c r="B1221" s="4">
        <v>34387</v>
      </c>
      <c r="C1221" s="4">
        <v>34465</v>
      </c>
      <c r="D1221" s="4">
        <v>34465</v>
      </c>
      <c r="E1221" s="4">
        <v>34176</v>
      </c>
      <c r="F1221" s="4" t="str">
        <v>18.94K</v>
      </c>
      <c r="G1221" s="4" t="str">
        <v>-0.49%</v>
      </c>
      <c r="H1221" s="3">
        <v>43642</v>
      </c>
      <c r="I1221" s="4">
        <v>34320.5</v>
      </c>
    </row>
    <row r="1222" spans="1:9" x14ac:dyDescent="0.25">
      <c r="A1222" s="3">
        <v>43641</v>
      </c>
      <c r="B1222" s="4">
        <v>34556</v>
      </c>
      <c r="C1222" s="4">
        <v>34490</v>
      </c>
      <c r="D1222" s="4">
        <v>34893</v>
      </c>
      <c r="E1222" s="4">
        <v>34396</v>
      </c>
      <c r="F1222" s="4" t="str">
        <v>26.63K</v>
      </c>
      <c r="G1222" s="4" t="str">
        <v>0.33%</v>
      </c>
      <c r="H1222" s="3">
        <v>43641</v>
      </c>
      <c r="I1222" s="4">
        <v>34644.5</v>
      </c>
    </row>
    <row r="1223" spans="1:9" x14ac:dyDescent="0.25">
      <c r="A1223" s="3">
        <v>43640</v>
      </c>
      <c r="B1223" s="4">
        <v>34441</v>
      </c>
      <c r="C1223" s="4">
        <v>34290</v>
      </c>
      <c r="D1223" s="4">
        <v>34475</v>
      </c>
      <c r="E1223" s="4">
        <v>34254</v>
      </c>
      <c r="F1223" s="4" t="str">
        <v>14.78K</v>
      </c>
      <c r="G1223" s="4" t="str">
        <v>0.80%</v>
      </c>
      <c r="H1223" s="3">
        <v>43640</v>
      </c>
      <c r="I1223" s="4">
        <v>34364.5</v>
      </c>
    </row>
    <row r="1224" spans="1:9" x14ac:dyDescent="0.25">
      <c r="A1224" s="3">
        <v>43637</v>
      </c>
      <c r="B1224" s="4">
        <v>34167</v>
      </c>
      <c r="C1224" s="4">
        <v>34070</v>
      </c>
      <c r="D1224" s="4">
        <v>34468</v>
      </c>
      <c r="E1224" s="4">
        <v>33900</v>
      </c>
      <c r="F1224" s="4" t="str">
        <v>22.92K</v>
      </c>
      <c r="G1224" s="4" t="str">
        <v>0.41%</v>
      </c>
      <c r="H1224" s="3">
        <v>43637</v>
      </c>
      <c r="I1224" s="4">
        <v>34184</v>
      </c>
    </row>
    <row r="1225" spans="1:9" x14ac:dyDescent="0.25">
      <c r="A1225" s="3">
        <v>43636</v>
      </c>
      <c r="B1225" s="4">
        <v>34026</v>
      </c>
      <c r="C1225" s="4">
        <v>33340</v>
      </c>
      <c r="D1225" s="4">
        <v>34068</v>
      </c>
      <c r="E1225" s="4">
        <v>33340</v>
      </c>
      <c r="F1225" s="4" t="str">
        <v>22.73K</v>
      </c>
      <c r="G1225" s="4" t="str">
        <v>2.86%</v>
      </c>
      <c r="H1225" s="3">
        <v>43636</v>
      </c>
      <c r="I1225" s="4">
        <v>33704</v>
      </c>
    </row>
    <row r="1226" spans="1:9" x14ac:dyDescent="0.25">
      <c r="A1226" s="3">
        <v>43635</v>
      </c>
      <c r="B1226" s="4">
        <v>33079</v>
      </c>
      <c r="C1226" s="4">
        <v>32985</v>
      </c>
      <c r="D1226" s="4">
        <v>33115</v>
      </c>
      <c r="E1226" s="4">
        <v>32971</v>
      </c>
      <c r="F1226" s="4" t="str">
        <v>11.19K</v>
      </c>
      <c r="G1226" s="4" t="str">
        <v>0.17%</v>
      </c>
      <c r="H1226" s="3">
        <v>43635</v>
      </c>
      <c r="I1226" s="4">
        <v>33043</v>
      </c>
    </row>
    <row r="1227" spans="1:9" x14ac:dyDescent="0.25">
      <c r="A1227" s="3">
        <v>43634</v>
      </c>
      <c r="B1227" s="4">
        <v>33024</v>
      </c>
      <c r="C1227" s="4">
        <v>33045</v>
      </c>
      <c r="D1227" s="4">
        <v>33258</v>
      </c>
      <c r="E1227" s="4">
        <v>32915</v>
      </c>
      <c r="F1227" s="4" t="str">
        <v>18.14K</v>
      </c>
      <c r="G1227" s="4" t="str">
        <v>0.01%</v>
      </c>
      <c r="H1227" s="3">
        <v>43634</v>
      </c>
      <c r="I1227" s="4">
        <v>33086.5</v>
      </c>
    </row>
    <row r="1228" spans="1:9" x14ac:dyDescent="0.25">
      <c r="A1228" s="3">
        <v>43633</v>
      </c>
      <c r="B1228" s="4">
        <v>33021</v>
      </c>
      <c r="C1228" s="4">
        <v>33059</v>
      </c>
      <c r="D1228" s="4">
        <v>33140</v>
      </c>
      <c r="E1228" s="4">
        <v>32886</v>
      </c>
      <c r="F1228" s="4" t="str">
        <v>12.25K</v>
      </c>
      <c r="G1228" s="4" t="str">
        <v>-0.07%</v>
      </c>
      <c r="H1228" s="3">
        <v>43633</v>
      </c>
      <c r="I1228" s="4">
        <v>33013</v>
      </c>
    </row>
    <row r="1229" spans="1:9" x14ac:dyDescent="0.25">
      <c r="A1229" s="3">
        <v>43630</v>
      </c>
      <c r="B1229" s="4">
        <v>33045</v>
      </c>
      <c r="C1229" s="4">
        <v>32980</v>
      </c>
      <c r="D1229" s="4">
        <v>33344</v>
      </c>
      <c r="E1229" s="4">
        <v>32980</v>
      </c>
      <c r="F1229" s="4" t="str">
        <v>16.80K</v>
      </c>
      <c r="G1229" s="4" t="str">
        <v>0.26%</v>
      </c>
      <c r="H1229" s="3">
        <v>43630</v>
      </c>
      <c r="I1229" s="4">
        <v>33162</v>
      </c>
    </row>
    <row r="1230" spans="1:9" x14ac:dyDescent="0.25">
      <c r="A1230" s="3">
        <v>43629</v>
      </c>
      <c r="B1230" s="4">
        <v>32959</v>
      </c>
      <c r="C1230" s="4">
        <v>32758</v>
      </c>
      <c r="D1230" s="4">
        <v>32980</v>
      </c>
      <c r="E1230" s="4">
        <v>32726</v>
      </c>
      <c r="F1230" s="4" t="str">
        <v>11.16K</v>
      </c>
      <c r="G1230" s="4" t="str">
        <v>0.65%</v>
      </c>
      <c r="H1230" s="3">
        <v>43629</v>
      </c>
      <c r="I1230" s="4">
        <v>32853</v>
      </c>
    </row>
    <row r="1231" spans="1:9" x14ac:dyDescent="0.25">
      <c r="A1231" s="3">
        <v>43628</v>
      </c>
      <c r="B1231" s="4">
        <v>32745</v>
      </c>
      <c r="C1231" s="4">
        <v>32674</v>
      </c>
      <c r="D1231" s="4">
        <v>32848</v>
      </c>
      <c r="E1231" s="4">
        <v>32674</v>
      </c>
      <c r="F1231" s="4" t="str">
        <v>10.41K</v>
      </c>
      <c r="G1231" s="4" t="str">
        <v>0.35%</v>
      </c>
      <c r="H1231" s="3">
        <v>43628</v>
      </c>
      <c r="I1231" s="4">
        <v>32761</v>
      </c>
    </row>
    <row r="1232" spans="1:9" x14ac:dyDescent="0.25">
      <c r="A1232" s="3">
        <v>43627</v>
      </c>
      <c r="B1232" s="4">
        <v>32632</v>
      </c>
      <c r="C1232" s="4">
        <v>32692</v>
      </c>
      <c r="D1232" s="4">
        <v>32705</v>
      </c>
      <c r="E1232" s="4">
        <v>32486</v>
      </c>
      <c r="F1232" s="4" t="str">
        <v>9.40K</v>
      </c>
      <c r="G1232" s="4" t="str">
        <v>-0.09%</v>
      </c>
      <c r="H1232" s="3">
        <v>43627</v>
      </c>
      <c r="I1232" s="4">
        <v>32595.5</v>
      </c>
    </row>
    <row r="1233" spans="1:9" x14ac:dyDescent="0.25">
      <c r="A1233" s="3">
        <v>43626</v>
      </c>
      <c r="B1233" s="4">
        <v>32660</v>
      </c>
      <c r="C1233" s="4">
        <v>32850</v>
      </c>
      <c r="D1233" s="4">
        <v>32850</v>
      </c>
      <c r="E1233" s="4">
        <v>32630</v>
      </c>
      <c r="F1233" s="4" t="str">
        <v>7.92K</v>
      </c>
      <c r="G1233" s="4" t="str">
        <v>-0.84%</v>
      </c>
      <c r="H1233" s="3">
        <v>43626</v>
      </c>
      <c r="I1233" s="4">
        <v>32740</v>
      </c>
    </row>
    <row r="1234" spans="1:9" x14ac:dyDescent="0.25">
      <c r="A1234" s="3">
        <v>43623</v>
      </c>
      <c r="B1234" s="4">
        <v>32936</v>
      </c>
      <c r="C1234" s="4">
        <v>32721</v>
      </c>
      <c r="D1234" s="4">
        <v>33040</v>
      </c>
      <c r="E1234" s="4">
        <v>32672</v>
      </c>
      <c r="F1234" s="4" t="str">
        <v>13.81K</v>
      </c>
      <c r="G1234" s="4" t="str">
        <v>0.41%</v>
      </c>
      <c r="H1234" s="3">
        <v>43623</v>
      </c>
      <c r="I1234" s="4">
        <v>32856</v>
      </c>
    </row>
    <row r="1235" spans="1:9" x14ac:dyDescent="0.25">
      <c r="A1235" s="3">
        <v>43622</v>
      </c>
      <c r="B1235" s="4">
        <v>32800</v>
      </c>
      <c r="C1235" s="4">
        <v>32688</v>
      </c>
      <c r="D1235" s="4">
        <v>32834</v>
      </c>
      <c r="E1235" s="4">
        <v>32688</v>
      </c>
      <c r="F1235" s="4" t="str">
        <v>8.06K</v>
      </c>
      <c r="G1235" s="4" t="str">
        <v>0.31%</v>
      </c>
      <c r="H1235" s="3">
        <v>43622</v>
      </c>
      <c r="I1235" s="4">
        <v>32761</v>
      </c>
    </row>
    <row r="1236" spans="1:9" x14ac:dyDescent="0.25">
      <c r="A1236" s="3">
        <v>43621</v>
      </c>
      <c r="B1236" s="4">
        <v>32700</v>
      </c>
      <c r="C1236" s="4">
        <v>32700</v>
      </c>
      <c r="D1236" s="4">
        <v>32700</v>
      </c>
      <c r="E1236" s="4">
        <v>32700</v>
      </c>
      <c r="F1236" s="4" t="str">
        <v>0</v>
      </c>
      <c r="G1236" s="4" t="str">
        <v>0.67%</v>
      </c>
      <c r="H1236" s="3">
        <v>43621</v>
      </c>
      <c r="I1236" s="4">
        <v>32700</v>
      </c>
    </row>
    <row r="1237" spans="1:9" x14ac:dyDescent="0.25">
      <c r="A1237" s="3">
        <v>43620</v>
      </c>
      <c r="B1237" s="4">
        <v>32482</v>
      </c>
      <c r="C1237" s="4">
        <v>32374</v>
      </c>
      <c r="D1237" s="4">
        <v>32596</v>
      </c>
      <c r="E1237" s="4">
        <v>32299</v>
      </c>
      <c r="F1237" s="4" t="str">
        <v>0.03K</v>
      </c>
      <c r="G1237" s="4" t="str">
        <v>0.24%</v>
      </c>
      <c r="H1237" s="3">
        <v>43620</v>
      </c>
      <c r="I1237" s="4">
        <v>32447.5</v>
      </c>
    </row>
    <row r="1238" spans="1:9" x14ac:dyDescent="0.25">
      <c r="A1238" s="3">
        <v>43619</v>
      </c>
      <c r="B1238" s="4">
        <v>32404</v>
      </c>
      <c r="C1238" s="4">
        <v>32207</v>
      </c>
      <c r="D1238" s="4">
        <v>32450</v>
      </c>
      <c r="E1238" s="4">
        <v>32162</v>
      </c>
      <c r="F1238" s="4" t="str">
        <v>0.40K</v>
      </c>
      <c r="G1238" s="4" t="str">
        <v>0.95%</v>
      </c>
      <c r="H1238" s="3">
        <v>43619</v>
      </c>
      <c r="I1238" s="4">
        <v>32306</v>
      </c>
    </row>
    <row r="1239" spans="1:9" x14ac:dyDescent="0.25">
      <c r="A1239" s="3">
        <v>43616</v>
      </c>
      <c r="B1239" s="4">
        <v>32098</v>
      </c>
      <c r="C1239" s="4">
        <v>31821</v>
      </c>
      <c r="D1239" s="4">
        <v>32124</v>
      </c>
      <c r="E1239" s="4">
        <v>31821</v>
      </c>
      <c r="F1239" s="4" t="str">
        <v>5.50K</v>
      </c>
      <c r="G1239" s="4" t="str">
        <v>0.91%</v>
      </c>
      <c r="H1239" s="3">
        <v>43616</v>
      </c>
      <c r="I1239" s="4">
        <v>31972.5</v>
      </c>
    </row>
    <row r="1240" spans="1:9" x14ac:dyDescent="0.25">
      <c r="A1240" s="3">
        <v>43615</v>
      </c>
      <c r="B1240" s="4">
        <v>31809</v>
      </c>
      <c r="C1240" s="4">
        <v>31560</v>
      </c>
      <c r="D1240" s="4">
        <v>31884</v>
      </c>
      <c r="E1240" s="4">
        <v>31534</v>
      </c>
      <c r="F1240" s="4" t="str">
        <v>9.55K</v>
      </c>
      <c r="G1240" s="4" t="str">
        <v>0.24%</v>
      </c>
      <c r="H1240" s="3">
        <v>43615</v>
      </c>
      <c r="I1240" s="4">
        <v>31709</v>
      </c>
    </row>
    <row r="1241" spans="1:9" x14ac:dyDescent="0.25">
      <c r="A1241" s="3">
        <v>43614</v>
      </c>
      <c r="B1241" s="4">
        <v>31733</v>
      </c>
      <c r="C1241" s="4">
        <v>31634</v>
      </c>
      <c r="D1241" s="4">
        <v>31845</v>
      </c>
      <c r="E1241" s="4">
        <v>31622</v>
      </c>
      <c r="F1241" s="4" t="str">
        <v>10.13K</v>
      </c>
      <c r="G1241" s="4" t="str">
        <v>0.61%</v>
      </c>
      <c r="H1241" s="3">
        <v>43614</v>
      </c>
      <c r="I1241" s="4">
        <v>31733.5</v>
      </c>
    </row>
    <row r="1242" spans="1:9" x14ac:dyDescent="0.25">
      <c r="A1242" s="3">
        <v>43613</v>
      </c>
      <c r="B1242" s="4">
        <v>31540</v>
      </c>
      <c r="C1242" s="4">
        <v>31621</v>
      </c>
      <c r="D1242" s="4">
        <v>31693</v>
      </c>
      <c r="E1242" s="4">
        <v>31485</v>
      </c>
      <c r="F1242" s="4" t="str">
        <v>9.24K</v>
      </c>
      <c r="G1242" s="4" t="str">
        <v>-0.23%</v>
      </c>
      <c r="H1242" s="3">
        <v>43613</v>
      </c>
      <c r="I1242" s="4">
        <v>31589</v>
      </c>
    </row>
    <row r="1243" spans="1:9" x14ac:dyDescent="0.25">
      <c r="A1243" s="3">
        <v>43612</v>
      </c>
      <c r="B1243" s="4">
        <v>31613</v>
      </c>
      <c r="C1243" s="4">
        <v>31555</v>
      </c>
      <c r="D1243" s="4">
        <v>31695</v>
      </c>
      <c r="E1243" s="4">
        <v>31555</v>
      </c>
      <c r="F1243" s="4" t="str">
        <v>7.07K</v>
      </c>
      <c r="G1243" s="4" t="str">
        <v>0.26%</v>
      </c>
      <c r="H1243" s="3">
        <v>43612</v>
      </c>
      <c r="I1243" s="4">
        <v>31625</v>
      </c>
    </row>
    <row r="1244" spans="1:9" x14ac:dyDescent="0.25">
      <c r="A1244" s="3">
        <v>43609</v>
      </c>
      <c r="B1244" s="4">
        <v>31530</v>
      </c>
      <c r="C1244" s="4">
        <v>31646</v>
      </c>
      <c r="D1244" s="4">
        <v>31680</v>
      </c>
      <c r="E1244" s="4">
        <v>31483</v>
      </c>
      <c r="F1244" s="4" t="str">
        <v>7.19K</v>
      </c>
      <c r="G1244" s="4" t="str">
        <v>-0.43%</v>
      </c>
      <c r="H1244" s="3">
        <v>43609</v>
      </c>
      <c r="I1244" s="4">
        <v>31581.5</v>
      </c>
    </row>
    <row r="1245" spans="1:9" x14ac:dyDescent="0.25">
      <c r="A1245" s="3">
        <v>43608</v>
      </c>
      <c r="B1245" s="4">
        <v>31667</v>
      </c>
      <c r="C1245" s="4">
        <v>31347</v>
      </c>
      <c r="D1245" s="4">
        <v>31735</v>
      </c>
      <c r="E1245" s="4">
        <v>31232</v>
      </c>
      <c r="F1245" s="4" t="str">
        <v>10.28K</v>
      </c>
      <c r="G1245" s="4" t="str">
        <v>0.78%</v>
      </c>
      <c r="H1245" s="3">
        <v>43608</v>
      </c>
      <c r="I1245" s="4">
        <v>31483.5</v>
      </c>
    </row>
    <row r="1246" spans="1:9" x14ac:dyDescent="0.25">
      <c r="A1246" s="3">
        <v>43607</v>
      </c>
      <c r="B1246" s="4">
        <v>31422</v>
      </c>
      <c r="C1246" s="4">
        <v>31440</v>
      </c>
      <c r="D1246" s="4">
        <v>31538</v>
      </c>
      <c r="E1246" s="4">
        <v>31391</v>
      </c>
      <c r="F1246" s="4" t="str">
        <v>7.56K</v>
      </c>
      <c r="G1246" s="4" t="str">
        <v>0.02%</v>
      </c>
      <c r="H1246" s="3">
        <v>43607</v>
      </c>
      <c r="I1246" s="4">
        <v>31464.5</v>
      </c>
    </row>
    <row r="1247" spans="1:9" x14ac:dyDescent="0.25">
      <c r="A1247" s="3">
        <v>43606</v>
      </c>
      <c r="B1247" s="4">
        <v>31416</v>
      </c>
      <c r="C1247" s="4">
        <v>31480</v>
      </c>
      <c r="D1247" s="4">
        <v>31524</v>
      </c>
      <c r="E1247" s="4">
        <v>31376</v>
      </c>
      <c r="F1247" s="4" t="str">
        <v>9.62K</v>
      </c>
      <c r="G1247" s="4" t="str">
        <v>-0.38%</v>
      </c>
      <c r="H1247" s="3">
        <v>43606</v>
      </c>
      <c r="I1247" s="4">
        <v>31450</v>
      </c>
    </row>
    <row r="1248" spans="1:9" x14ac:dyDescent="0.25">
      <c r="A1248" s="3">
        <v>43605</v>
      </c>
      <c r="B1248" s="4">
        <v>31537</v>
      </c>
      <c r="C1248" s="4">
        <v>31679</v>
      </c>
      <c r="D1248" s="4">
        <v>31679</v>
      </c>
      <c r="E1248" s="4">
        <v>31376</v>
      </c>
      <c r="F1248" s="4" t="str">
        <v>11.14K</v>
      </c>
      <c r="G1248" s="4" t="str">
        <v>-0.80%</v>
      </c>
      <c r="H1248" s="3">
        <v>43605</v>
      </c>
      <c r="I1248" s="4">
        <v>31527.5</v>
      </c>
    </row>
    <row r="1249" spans="1:9" x14ac:dyDescent="0.25">
      <c r="A1249" s="3">
        <v>43602</v>
      </c>
      <c r="B1249" s="4">
        <v>31791</v>
      </c>
      <c r="C1249" s="4">
        <v>31981</v>
      </c>
      <c r="D1249" s="4">
        <v>32021</v>
      </c>
      <c r="E1249" s="4">
        <v>31755</v>
      </c>
      <c r="F1249" s="4" t="str">
        <v>12.11K</v>
      </c>
      <c r="G1249" s="4" t="str">
        <v>-0.58%</v>
      </c>
      <c r="H1249" s="3">
        <v>43602</v>
      </c>
      <c r="I1249" s="4">
        <v>31888</v>
      </c>
    </row>
    <row r="1250" spans="1:9" x14ac:dyDescent="0.25">
      <c r="A1250" s="3">
        <v>43601</v>
      </c>
      <c r="B1250" s="4">
        <v>31976</v>
      </c>
      <c r="C1250" s="4">
        <v>32162</v>
      </c>
      <c r="D1250" s="4">
        <v>32309</v>
      </c>
      <c r="E1250" s="4">
        <v>31911</v>
      </c>
      <c r="F1250" s="4" t="str">
        <v>12.03K</v>
      </c>
      <c r="G1250" s="4" t="str">
        <v>-0.88%</v>
      </c>
      <c r="H1250" s="3">
        <v>43601</v>
      </c>
      <c r="I1250" s="4">
        <v>32110</v>
      </c>
    </row>
    <row r="1251" spans="1:9" x14ac:dyDescent="0.25">
      <c r="A1251" s="3">
        <v>43600</v>
      </c>
      <c r="B1251" s="4">
        <v>32259</v>
      </c>
      <c r="C1251" s="4">
        <v>32320</v>
      </c>
      <c r="D1251" s="4">
        <v>32419</v>
      </c>
      <c r="E1251" s="4">
        <v>32150</v>
      </c>
      <c r="F1251" s="4" t="str">
        <v>11.67K</v>
      </c>
      <c r="G1251" s="4" t="str">
        <v>0.06%</v>
      </c>
      <c r="H1251" s="3">
        <v>43600</v>
      </c>
      <c r="I1251" s="4">
        <v>32284.5</v>
      </c>
    </row>
    <row r="1252" spans="1:9" x14ac:dyDescent="0.25">
      <c r="A1252" s="3">
        <v>43599</v>
      </c>
      <c r="B1252" s="4">
        <v>32241</v>
      </c>
      <c r="C1252" s="4">
        <v>32450</v>
      </c>
      <c r="D1252" s="4">
        <v>32454</v>
      </c>
      <c r="E1252" s="4">
        <v>32231</v>
      </c>
      <c r="F1252" s="4" t="str">
        <v>11.40K</v>
      </c>
      <c r="G1252" s="4" t="str">
        <v>-0.79%</v>
      </c>
      <c r="H1252" s="3">
        <v>43599</v>
      </c>
      <c r="I1252" s="4">
        <v>32342.5</v>
      </c>
    </row>
    <row r="1253" spans="1:9" x14ac:dyDescent="0.25">
      <c r="A1253" s="3">
        <v>43598</v>
      </c>
      <c r="B1253" s="4">
        <v>32498</v>
      </c>
      <c r="C1253" s="4">
        <v>31987</v>
      </c>
      <c r="D1253" s="4">
        <v>32538</v>
      </c>
      <c r="E1253" s="4">
        <v>31862</v>
      </c>
      <c r="F1253" s="4" t="str">
        <v>16.39K</v>
      </c>
      <c r="G1253" s="4" t="str">
        <v>1.86%</v>
      </c>
      <c r="H1253" s="3">
        <v>43598</v>
      </c>
      <c r="I1253" s="4">
        <v>32200</v>
      </c>
    </row>
    <row r="1254" spans="1:9" x14ac:dyDescent="0.25">
      <c r="A1254" s="3">
        <v>43595</v>
      </c>
      <c r="B1254" s="4">
        <v>31904</v>
      </c>
      <c r="C1254" s="4">
        <v>31906</v>
      </c>
      <c r="D1254" s="4">
        <v>32003</v>
      </c>
      <c r="E1254" s="4">
        <v>31782</v>
      </c>
      <c r="F1254" s="4" t="str">
        <v>10.52K</v>
      </c>
      <c r="G1254" s="4" t="str">
        <v>-0.04%</v>
      </c>
      <c r="H1254" s="3">
        <v>43595</v>
      </c>
      <c r="I1254" s="4">
        <v>31892.5</v>
      </c>
    </row>
    <row r="1255" spans="1:9" x14ac:dyDescent="0.25">
      <c r="A1255" s="3">
        <v>43594</v>
      </c>
      <c r="B1255" s="4">
        <v>31916</v>
      </c>
      <c r="C1255" s="4">
        <v>31713</v>
      </c>
      <c r="D1255" s="4">
        <v>32050</v>
      </c>
      <c r="E1255" s="4">
        <v>31708</v>
      </c>
      <c r="F1255" s="4" t="str">
        <v>13.55K</v>
      </c>
      <c r="G1255" s="4" t="str">
        <v>0.73%</v>
      </c>
      <c r="H1255" s="3">
        <v>43594</v>
      </c>
      <c r="I1255" s="4">
        <v>31879</v>
      </c>
    </row>
    <row r="1256" spans="1:9" x14ac:dyDescent="0.25">
      <c r="A1256" s="3">
        <v>43593</v>
      </c>
      <c r="B1256" s="4">
        <v>31685</v>
      </c>
      <c r="C1256" s="4">
        <v>31750</v>
      </c>
      <c r="D1256" s="4">
        <v>31925</v>
      </c>
      <c r="E1256" s="4">
        <v>31660</v>
      </c>
      <c r="F1256" s="4" t="str">
        <v>11.16K</v>
      </c>
      <c r="G1256" s="4" t="str">
        <v>-0.14%</v>
      </c>
      <c r="H1256" s="3">
        <v>43593</v>
      </c>
      <c r="I1256" s="4">
        <v>31792.5</v>
      </c>
    </row>
    <row r="1257" spans="1:9" x14ac:dyDescent="0.25">
      <c r="A1257" s="3">
        <v>43592</v>
      </c>
      <c r="B1257" s="4">
        <v>31729</v>
      </c>
      <c r="C1257" s="4">
        <v>31585</v>
      </c>
      <c r="D1257" s="4">
        <v>31745</v>
      </c>
      <c r="E1257" s="4">
        <v>31517</v>
      </c>
      <c r="F1257" s="4" t="str">
        <v>9.36K</v>
      </c>
      <c r="G1257" s="4" t="str">
        <v>0.53%</v>
      </c>
      <c r="H1257" s="3">
        <v>43592</v>
      </c>
      <c r="I1257" s="4">
        <v>31631</v>
      </c>
    </row>
    <row r="1258" spans="1:9" x14ac:dyDescent="0.25">
      <c r="A1258" s="3">
        <v>43591</v>
      </c>
      <c r="B1258" s="4">
        <v>31563</v>
      </c>
      <c r="C1258" s="4">
        <v>31500</v>
      </c>
      <c r="D1258" s="4">
        <v>31650</v>
      </c>
      <c r="E1258" s="4">
        <v>31471</v>
      </c>
      <c r="F1258" s="4" t="str">
        <v>10.05K</v>
      </c>
      <c r="G1258" s="4" t="str">
        <v>0.37%</v>
      </c>
      <c r="H1258" s="3">
        <v>43591</v>
      </c>
      <c r="I1258" s="4">
        <v>31560.5</v>
      </c>
    </row>
    <row r="1259" spans="1:9" x14ac:dyDescent="0.25">
      <c r="A1259" s="3">
        <v>43588</v>
      </c>
      <c r="B1259" s="4">
        <v>31447</v>
      </c>
      <c r="C1259" s="4">
        <v>31331</v>
      </c>
      <c r="D1259" s="4">
        <v>31475</v>
      </c>
      <c r="E1259" s="4">
        <v>31240</v>
      </c>
      <c r="F1259" s="4" t="str">
        <v>10.87K</v>
      </c>
      <c r="G1259" s="4" t="str">
        <v>0.33%</v>
      </c>
      <c r="H1259" s="3">
        <v>43588</v>
      </c>
      <c r="I1259" s="4">
        <v>31357.5</v>
      </c>
    </row>
    <row r="1260" spans="1:9" x14ac:dyDescent="0.25">
      <c r="A1260" s="3">
        <v>43587</v>
      </c>
      <c r="B1260" s="4">
        <v>31345</v>
      </c>
      <c r="C1260" s="4">
        <v>31681</v>
      </c>
      <c r="D1260" s="4">
        <v>31681</v>
      </c>
      <c r="E1260" s="4">
        <v>31250</v>
      </c>
      <c r="F1260" s="4" t="str">
        <v>12.94K</v>
      </c>
      <c r="G1260" s="4" t="str">
        <v>-1.24%</v>
      </c>
      <c r="H1260" s="3">
        <v>43587</v>
      </c>
      <c r="I1260" s="4">
        <v>31465.5</v>
      </c>
    </row>
    <row r="1261" spans="1:9" x14ac:dyDescent="0.25">
      <c r="A1261" s="3">
        <v>43586</v>
      </c>
      <c r="B1261" s="4">
        <v>31740</v>
      </c>
      <c r="C1261" s="4">
        <v>31713</v>
      </c>
      <c r="D1261" s="4">
        <v>31764</v>
      </c>
      <c r="E1261" s="4">
        <v>31655</v>
      </c>
      <c r="F1261" s="4" t="str">
        <v>5.40K</v>
      </c>
      <c r="G1261" s="4" t="str">
        <v>-0.05%</v>
      </c>
      <c r="H1261" s="3">
        <v>43586</v>
      </c>
      <c r="I1261" s="4">
        <v>31709.5</v>
      </c>
    </row>
    <row r="1262" spans="1:9" x14ac:dyDescent="0.25">
      <c r="A1262" s="3">
        <v>43585</v>
      </c>
      <c r="B1262" s="4">
        <v>31756</v>
      </c>
      <c r="C1262" s="4">
        <v>31909</v>
      </c>
      <c r="D1262" s="4">
        <v>31909</v>
      </c>
      <c r="E1262" s="4">
        <v>31706</v>
      </c>
      <c r="F1262" s="4" t="str">
        <v>11.06K</v>
      </c>
      <c r="G1262" s="4" t="str">
        <v>-0.57%</v>
      </c>
      <c r="H1262" s="3">
        <v>43585</v>
      </c>
      <c r="I1262" s="4">
        <v>31807.5</v>
      </c>
    </row>
    <row r="1263" spans="1:9" x14ac:dyDescent="0.25">
      <c r="A1263" s="3">
        <v>43581</v>
      </c>
      <c r="B1263" s="4">
        <v>31939</v>
      </c>
      <c r="C1263" s="4">
        <v>31980</v>
      </c>
      <c r="D1263" s="4">
        <v>31996</v>
      </c>
      <c r="E1263" s="4">
        <v>31758</v>
      </c>
      <c r="F1263" s="4" t="str">
        <v>10.41K</v>
      </c>
      <c r="G1263" s="4" t="str">
        <v>0.09%</v>
      </c>
      <c r="H1263" s="3">
        <v>43581</v>
      </c>
      <c r="I1263" s="4">
        <v>31877</v>
      </c>
    </row>
    <row r="1264" spans="1:9" x14ac:dyDescent="0.25">
      <c r="A1264" s="3">
        <v>43580</v>
      </c>
      <c r="B1264" s="4">
        <v>31911</v>
      </c>
      <c r="C1264" s="4">
        <v>31786</v>
      </c>
      <c r="D1264" s="4">
        <v>32025</v>
      </c>
      <c r="E1264" s="4">
        <v>31704</v>
      </c>
      <c r="F1264" s="4" t="str">
        <v>10.58K</v>
      </c>
      <c r="G1264" s="4" t="str">
        <v>0.29%</v>
      </c>
      <c r="H1264" s="3">
        <v>43580</v>
      </c>
      <c r="I1264" s="4">
        <v>31864.5</v>
      </c>
    </row>
    <row r="1265" spans="1:9" x14ac:dyDescent="0.25">
      <c r="A1265" s="3">
        <v>43579</v>
      </c>
      <c r="B1265" s="4">
        <v>31818</v>
      </c>
      <c r="C1265" s="4">
        <v>31500</v>
      </c>
      <c r="D1265" s="4">
        <v>31838</v>
      </c>
      <c r="E1265" s="4">
        <v>31499</v>
      </c>
      <c r="F1265" s="4" t="str">
        <v>9.21K</v>
      </c>
      <c r="G1265" s="4" t="str">
        <v>0.81%</v>
      </c>
      <c r="H1265" s="3">
        <v>43579</v>
      </c>
      <c r="I1265" s="4">
        <v>31668.5</v>
      </c>
    </row>
    <row r="1266" spans="1:9" x14ac:dyDescent="0.25">
      <c r="A1266" s="3">
        <v>43578</v>
      </c>
      <c r="B1266" s="4">
        <v>31562</v>
      </c>
      <c r="C1266" s="4">
        <v>31606</v>
      </c>
      <c r="D1266" s="4">
        <v>31640</v>
      </c>
      <c r="E1266" s="4">
        <v>31450</v>
      </c>
      <c r="F1266" s="4" t="str">
        <v>10.93K</v>
      </c>
      <c r="G1266" s="4" t="str">
        <v>-0.11%</v>
      </c>
      <c r="H1266" s="3">
        <v>43578</v>
      </c>
      <c r="I1266" s="4">
        <v>31545</v>
      </c>
    </row>
    <row r="1267" spans="1:9" x14ac:dyDescent="0.25">
      <c r="A1267" s="3">
        <v>43577</v>
      </c>
      <c r="B1267" s="4">
        <v>31596</v>
      </c>
      <c r="C1267" s="4">
        <v>31550</v>
      </c>
      <c r="D1267" s="4">
        <v>31780</v>
      </c>
      <c r="E1267" s="4">
        <v>31550</v>
      </c>
      <c r="F1267" s="4" t="str">
        <v>8.65K</v>
      </c>
      <c r="G1267" s="4" t="str">
        <v>0.42%</v>
      </c>
      <c r="H1267" s="3">
        <v>43577</v>
      </c>
      <c r="I1267" s="4">
        <v>31665</v>
      </c>
    </row>
    <row r="1268" spans="1:9" x14ac:dyDescent="0.25">
      <c r="A1268" s="3">
        <v>43573</v>
      </c>
      <c r="B1268" s="4">
        <v>31463</v>
      </c>
      <c r="C1268" s="4">
        <v>31450</v>
      </c>
      <c r="D1268" s="4">
        <v>31616</v>
      </c>
      <c r="E1268" s="4">
        <v>31403</v>
      </c>
      <c r="F1268" s="4" t="str">
        <v>10.01K</v>
      </c>
      <c r="G1268" s="4" t="str">
        <v>-0.05%</v>
      </c>
      <c r="H1268" s="3">
        <v>43573</v>
      </c>
      <c r="I1268" s="4">
        <v>31509.5</v>
      </c>
    </row>
    <row r="1269" spans="1:9" x14ac:dyDescent="0.25">
      <c r="A1269" s="3">
        <v>43572</v>
      </c>
      <c r="B1269" s="4">
        <v>31480</v>
      </c>
      <c r="C1269" s="4">
        <v>31648</v>
      </c>
      <c r="D1269" s="4">
        <v>31648</v>
      </c>
      <c r="E1269" s="4">
        <v>31453</v>
      </c>
      <c r="F1269" s="4" t="str">
        <v>4.87K</v>
      </c>
      <c r="G1269" s="4" t="str">
        <v>-0.22%</v>
      </c>
      <c r="H1269" s="3">
        <v>43572</v>
      </c>
      <c r="I1269" s="4">
        <v>31550.5</v>
      </c>
    </row>
    <row r="1270" spans="1:9" x14ac:dyDescent="0.25">
      <c r="A1270" s="3">
        <v>43571</v>
      </c>
      <c r="B1270" s="4">
        <v>31548</v>
      </c>
      <c r="C1270" s="4">
        <v>31800</v>
      </c>
      <c r="D1270" s="4">
        <v>31865</v>
      </c>
      <c r="E1270" s="4">
        <v>31523</v>
      </c>
      <c r="F1270" s="4" t="str">
        <v>12.40K</v>
      </c>
      <c r="G1270" s="4" t="str">
        <v>-0.97%</v>
      </c>
      <c r="H1270" s="3">
        <v>43571</v>
      </c>
      <c r="I1270" s="4">
        <v>31694</v>
      </c>
    </row>
    <row r="1271" spans="1:9" x14ac:dyDescent="0.25">
      <c r="A1271" s="3">
        <v>43570</v>
      </c>
      <c r="B1271" s="4">
        <v>31856</v>
      </c>
      <c r="C1271" s="4">
        <v>31800</v>
      </c>
      <c r="D1271" s="4">
        <v>31874</v>
      </c>
      <c r="E1271" s="4">
        <v>31680</v>
      </c>
      <c r="F1271" s="4" t="str">
        <v>8.11K</v>
      </c>
      <c r="G1271" s="4" t="str">
        <v>-0.02%</v>
      </c>
      <c r="H1271" s="3">
        <v>43570</v>
      </c>
      <c r="I1271" s="4">
        <v>31777</v>
      </c>
    </row>
    <row r="1272" spans="1:9" x14ac:dyDescent="0.25">
      <c r="A1272" s="3">
        <v>43567</v>
      </c>
      <c r="B1272" s="4">
        <v>31862</v>
      </c>
      <c r="C1272" s="4">
        <v>31838</v>
      </c>
      <c r="D1272" s="4">
        <v>31980</v>
      </c>
      <c r="E1272" s="4">
        <v>31805</v>
      </c>
      <c r="F1272" s="4" t="str">
        <v>9.29K</v>
      </c>
      <c r="G1272" s="4" t="str">
        <v>0.35%</v>
      </c>
      <c r="H1272" s="3">
        <v>43567</v>
      </c>
      <c r="I1272" s="4">
        <v>31892.5</v>
      </c>
    </row>
    <row r="1273" spans="1:9" x14ac:dyDescent="0.25">
      <c r="A1273" s="3">
        <v>43566</v>
      </c>
      <c r="B1273" s="4">
        <v>31750</v>
      </c>
      <c r="C1273" s="4">
        <v>32232</v>
      </c>
      <c r="D1273" s="4">
        <v>32232</v>
      </c>
      <c r="E1273" s="4">
        <v>31734</v>
      </c>
      <c r="F1273" s="4" t="str">
        <v>13.29K</v>
      </c>
      <c r="G1273" s="4" t="str">
        <v>-1.64%</v>
      </c>
      <c r="H1273" s="3">
        <v>43566</v>
      </c>
      <c r="I1273" s="4">
        <v>31983</v>
      </c>
    </row>
    <row r="1274" spans="1:9" x14ac:dyDescent="0.25">
      <c r="A1274" s="3">
        <v>43565</v>
      </c>
      <c r="B1274" s="4">
        <v>32281</v>
      </c>
      <c r="C1274" s="4">
        <v>32161</v>
      </c>
      <c r="D1274" s="4">
        <v>32293</v>
      </c>
      <c r="E1274" s="4">
        <v>32086</v>
      </c>
      <c r="F1274" s="4" t="str">
        <v>10.14K</v>
      </c>
      <c r="G1274" s="4" t="str">
        <v>0.25%</v>
      </c>
      <c r="H1274" s="3">
        <v>43565</v>
      </c>
      <c r="I1274" s="4">
        <v>32189.5</v>
      </c>
    </row>
    <row r="1275" spans="1:9" x14ac:dyDescent="0.25">
      <c r="A1275" s="3">
        <v>43564</v>
      </c>
      <c r="B1275" s="4">
        <v>32201</v>
      </c>
      <c r="C1275" s="4">
        <v>32225</v>
      </c>
      <c r="D1275" s="4">
        <v>32274</v>
      </c>
      <c r="E1275" s="4">
        <v>32121</v>
      </c>
      <c r="F1275" s="4" t="str">
        <v>9.91K</v>
      </c>
      <c r="G1275" s="4" t="str">
        <v>0.05%</v>
      </c>
      <c r="H1275" s="3">
        <v>43564</v>
      </c>
      <c r="I1275" s="4">
        <v>32197.5</v>
      </c>
    </row>
    <row r="1276" spans="1:9" x14ac:dyDescent="0.25">
      <c r="A1276" s="3">
        <v>43563</v>
      </c>
      <c r="B1276" s="4">
        <v>32186</v>
      </c>
      <c r="C1276" s="4">
        <v>31900</v>
      </c>
      <c r="D1276" s="4">
        <v>32287</v>
      </c>
      <c r="E1276" s="4">
        <v>31900</v>
      </c>
      <c r="F1276" s="4" t="str">
        <v>9.52K</v>
      </c>
      <c r="G1276" s="4" t="str">
        <v>1.44%</v>
      </c>
      <c r="H1276" s="3">
        <v>43563</v>
      </c>
      <c r="I1276" s="4">
        <v>32093.5</v>
      </c>
    </row>
    <row r="1277" spans="1:9" x14ac:dyDescent="0.25">
      <c r="A1277" s="3">
        <v>43560</v>
      </c>
      <c r="B1277" s="4">
        <v>31729</v>
      </c>
      <c r="C1277" s="4">
        <v>31600</v>
      </c>
      <c r="D1277" s="4">
        <v>31865</v>
      </c>
      <c r="E1277" s="4">
        <v>31600</v>
      </c>
      <c r="F1277" s="4" t="str">
        <v>0.01K</v>
      </c>
      <c r="G1277" s="4" t="str">
        <v>0.75%</v>
      </c>
      <c r="H1277" s="3">
        <v>43560</v>
      </c>
      <c r="I1277" s="4">
        <v>31732.5</v>
      </c>
    </row>
    <row r="1278" spans="1:9" x14ac:dyDescent="0.25">
      <c r="A1278" s="3">
        <v>43559</v>
      </c>
      <c r="B1278" s="4">
        <v>31492</v>
      </c>
      <c r="C1278" s="4">
        <v>31471</v>
      </c>
      <c r="D1278" s="4">
        <v>31501</v>
      </c>
      <c r="E1278" s="4">
        <v>31471</v>
      </c>
      <c r="F1278" s="4" t="str">
        <v>0.01K</v>
      </c>
      <c r="G1278" s="4" t="str">
        <v>0.01%</v>
      </c>
      <c r="H1278" s="3">
        <v>43559</v>
      </c>
      <c r="I1278" s="4">
        <v>31486</v>
      </c>
    </row>
    <row r="1279" spans="1:9" x14ac:dyDescent="0.25">
      <c r="A1279" s="3">
        <v>43558</v>
      </c>
      <c r="B1279" s="4">
        <v>31489</v>
      </c>
      <c r="C1279" s="4">
        <v>31462</v>
      </c>
      <c r="D1279" s="4">
        <v>31539</v>
      </c>
      <c r="E1279" s="4">
        <v>31402</v>
      </c>
      <c r="F1279" s="4" t="str">
        <v>0.03K</v>
      </c>
      <c r="G1279" s="4" t="str">
        <v>-0.00%</v>
      </c>
      <c r="H1279" s="3">
        <v>43558</v>
      </c>
      <c r="I1279" s="4">
        <v>31470.5</v>
      </c>
    </row>
    <row r="1280" spans="1:9" x14ac:dyDescent="0.25">
      <c r="A1280" s="3">
        <v>43557</v>
      </c>
      <c r="B1280" s="4">
        <v>31490</v>
      </c>
      <c r="C1280" s="4">
        <v>31547</v>
      </c>
      <c r="D1280" s="4">
        <v>32430</v>
      </c>
      <c r="E1280" s="4">
        <v>31450</v>
      </c>
      <c r="F1280" s="4" t="str">
        <v>0.07K</v>
      </c>
      <c r="G1280" s="4" t="str">
        <v>-0.11%</v>
      </c>
      <c r="H1280" s="3">
        <v>43557</v>
      </c>
      <c r="I1280" s="4">
        <v>31940</v>
      </c>
    </row>
    <row r="1281" spans="1:9" x14ac:dyDescent="0.25">
      <c r="A1281" s="3">
        <v>43556</v>
      </c>
      <c r="B1281" s="4">
        <v>31526</v>
      </c>
      <c r="C1281" s="4">
        <v>31695</v>
      </c>
      <c r="D1281" s="4">
        <v>31710</v>
      </c>
      <c r="E1281" s="4">
        <v>31510</v>
      </c>
      <c r="F1281" s="4" t="str">
        <v>1.13K</v>
      </c>
      <c r="G1281" s="4" t="str">
        <v>-0.66%</v>
      </c>
      <c r="H1281" s="3">
        <v>43556</v>
      </c>
      <c r="I1281" s="4">
        <v>31610</v>
      </c>
    </row>
    <row r="1282" spans="1:9" x14ac:dyDescent="0.25">
      <c r="A1282" s="3">
        <v>43553</v>
      </c>
      <c r="B1282" s="4">
        <v>31734</v>
      </c>
      <c r="C1282" s="4">
        <v>31588</v>
      </c>
      <c r="D1282" s="4">
        <v>31819</v>
      </c>
      <c r="E1282" s="4">
        <v>31500</v>
      </c>
      <c r="F1282" s="4" t="str">
        <v>8.68K</v>
      </c>
      <c r="G1282" s="4" t="str">
        <v>0.40%</v>
      </c>
      <c r="H1282" s="3">
        <v>43553</v>
      </c>
      <c r="I1282" s="4">
        <v>31659.5</v>
      </c>
    </row>
    <row r="1283" spans="1:9" x14ac:dyDescent="0.25">
      <c r="A1283" s="3">
        <v>43552</v>
      </c>
      <c r="B1283" s="4">
        <v>31607</v>
      </c>
      <c r="C1283" s="4">
        <v>32000</v>
      </c>
      <c r="D1283" s="4">
        <v>32038</v>
      </c>
      <c r="E1283" s="4">
        <v>31576</v>
      </c>
      <c r="F1283" s="4" t="str">
        <v>13.21K</v>
      </c>
      <c r="G1283" s="4" t="str">
        <v>-1.28%</v>
      </c>
      <c r="H1283" s="3">
        <v>43552</v>
      </c>
      <c r="I1283" s="4">
        <v>31807</v>
      </c>
    </row>
    <row r="1284" spans="1:9" x14ac:dyDescent="0.25">
      <c r="A1284" s="3">
        <v>43551</v>
      </c>
      <c r="B1284" s="4">
        <v>32016</v>
      </c>
      <c r="C1284" s="4">
        <v>32150</v>
      </c>
      <c r="D1284" s="4">
        <v>32180</v>
      </c>
      <c r="E1284" s="4">
        <v>31986</v>
      </c>
      <c r="F1284" s="4" t="str">
        <v>13.05K</v>
      </c>
      <c r="G1284" s="4" t="str">
        <v>-0.27%</v>
      </c>
      <c r="H1284" s="3">
        <v>43551</v>
      </c>
      <c r="I1284" s="4">
        <v>32083</v>
      </c>
    </row>
    <row r="1285" spans="1:9" x14ac:dyDescent="0.25">
      <c r="A1285" s="3">
        <v>43550</v>
      </c>
      <c r="B1285" s="4">
        <v>32104</v>
      </c>
      <c r="C1285" s="4">
        <v>32180</v>
      </c>
      <c r="D1285" s="4">
        <v>32204</v>
      </c>
      <c r="E1285" s="4">
        <v>32015</v>
      </c>
      <c r="F1285" s="4" t="str">
        <v>10.44K</v>
      </c>
      <c r="G1285" s="4" t="str">
        <v>-0.37%</v>
      </c>
      <c r="H1285" s="3">
        <v>43550</v>
      </c>
      <c r="I1285" s="4">
        <v>32109.5</v>
      </c>
    </row>
    <row r="1286" spans="1:9" x14ac:dyDescent="0.25">
      <c r="A1286" s="3">
        <v>43549</v>
      </c>
      <c r="B1286" s="4">
        <v>32224</v>
      </c>
      <c r="C1286" s="4">
        <v>32150</v>
      </c>
      <c r="D1286" s="4">
        <v>32246</v>
      </c>
      <c r="E1286" s="4">
        <v>32072</v>
      </c>
      <c r="F1286" s="4" t="str">
        <v>9.84K</v>
      </c>
      <c r="G1286" s="4" t="str">
        <v>0.26%</v>
      </c>
      <c r="H1286" s="3">
        <v>43549</v>
      </c>
      <c r="I1286" s="4">
        <v>32159</v>
      </c>
    </row>
    <row r="1287" spans="1:9" x14ac:dyDescent="0.25">
      <c r="A1287" s="3">
        <v>43546</v>
      </c>
      <c r="B1287" s="4">
        <v>32140</v>
      </c>
      <c r="C1287" s="4">
        <v>31852</v>
      </c>
      <c r="D1287" s="4">
        <v>32165</v>
      </c>
      <c r="E1287" s="4">
        <v>31620</v>
      </c>
      <c r="F1287" s="4" t="str">
        <v>14.79K</v>
      </c>
      <c r="G1287" s="4" t="str">
        <v>1.01%</v>
      </c>
      <c r="H1287" s="3">
        <v>43546</v>
      </c>
      <c r="I1287" s="4">
        <v>31892.5</v>
      </c>
    </row>
    <row r="1288" spans="1:9" x14ac:dyDescent="0.25">
      <c r="A1288" s="3">
        <v>43545</v>
      </c>
      <c r="B1288" s="4">
        <v>31819</v>
      </c>
      <c r="C1288" s="4">
        <v>31911</v>
      </c>
      <c r="D1288" s="4">
        <v>32038</v>
      </c>
      <c r="E1288" s="4">
        <v>31767</v>
      </c>
      <c r="F1288" s="4" t="str">
        <v>6.07K</v>
      </c>
      <c r="G1288" s="4" t="str">
        <v>0.38%</v>
      </c>
      <c r="H1288" s="3">
        <v>43545</v>
      </c>
      <c r="I1288" s="4">
        <v>31902.5</v>
      </c>
    </row>
    <row r="1289" spans="1:9" x14ac:dyDescent="0.25">
      <c r="A1289" s="3">
        <v>43544</v>
      </c>
      <c r="B1289" s="4">
        <v>31697</v>
      </c>
      <c r="C1289" s="4">
        <v>31907</v>
      </c>
      <c r="D1289" s="4">
        <v>31939</v>
      </c>
      <c r="E1289" s="4">
        <v>31665</v>
      </c>
      <c r="F1289" s="4" t="str">
        <v>12.30K</v>
      </c>
      <c r="G1289" s="4" t="str">
        <v>-0.82%</v>
      </c>
      <c r="H1289" s="3">
        <v>43544</v>
      </c>
      <c r="I1289" s="4">
        <v>31802</v>
      </c>
    </row>
    <row r="1290" spans="1:9" x14ac:dyDescent="0.25">
      <c r="A1290" s="3">
        <v>43543</v>
      </c>
      <c r="B1290" s="4">
        <v>31960</v>
      </c>
      <c r="C1290" s="4">
        <v>31725</v>
      </c>
      <c r="D1290" s="4">
        <v>32006</v>
      </c>
      <c r="E1290" s="4">
        <v>31657</v>
      </c>
      <c r="F1290" s="4" t="str">
        <v>11.51K</v>
      </c>
      <c r="G1290" s="4" t="str">
        <v>0.97%</v>
      </c>
      <c r="H1290" s="3">
        <v>43543</v>
      </c>
      <c r="I1290" s="4">
        <v>31831.5</v>
      </c>
    </row>
    <row r="1291" spans="1:9" x14ac:dyDescent="0.25">
      <c r="A1291" s="3">
        <v>43542</v>
      </c>
      <c r="B1291" s="4">
        <v>31652</v>
      </c>
      <c r="C1291" s="4">
        <v>31750</v>
      </c>
      <c r="D1291" s="4">
        <v>31750</v>
      </c>
      <c r="E1291" s="4">
        <v>31553</v>
      </c>
      <c r="F1291" s="4" t="str">
        <v>10.41K</v>
      </c>
      <c r="G1291" s="4" t="str">
        <v>-0.55%</v>
      </c>
      <c r="H1291" s="3">
        <v>43542</v>
      </c>
      <c r="I1291" s="4">
        <v>31651.5</v>
      </c>
    </row>
    <row r="1292" spans="1:9" x14ac:dyDescent="0.25">
      <c r="A1292" s="3">
        <v>43539</v>
      </c>
      <c r="B1292" s="4">
        <v>31826</v>
      </c>
      <c r="C1292" s="4">
        <v>31886</v>
      </c>
      <c r="D1292" s="4">
        <v>31940</v>
      </c>
      <c r="E1292" s="4">
        <v>31742</v>
      </c>
      <c r="F1292" s="4" t="str">
        <v>10.69K</v>
      </c>
      <c r="G1292" s="4" t="str">
        <v>0.06%</v>
      </c>
      <c r="H1292" s="3">
        <v>43539</v>
      </c>
      <c r="I1292" s="4">
        <v>31841</v>
      </c>
    </row>
    <row r="1293" spans="1:9" x14ac:dyDescent="0.25">
      <c r="A1293" s="3">
        <v>43538</v>
      </c>
      <c r="B1293" s="4">
        <v>31808</v>
      </c>
      <c r="C1293" s="4">
        <v>32153</v>
      </c>
      <c r="D1293" s="4">
        <v>32192</v>
      </c>
      <c r="E1293" s="4">
        <v>31781</v>
      </c>
      <c r="F1293" s="4" t="str">
        <v>13.35K</v>
      </c>
      <c r="G1293" s="4" t="str">
        <v>-1.24%</v>
      </c>
      <c r="H1293" s="3">
        <v>43538</v>
      </c>
      <c r="I1293" s="4">
        <v>31986.5</v>
      </c>
    </row>
    <row r="1294" spans="1:9" x14ac:dyDescent="0.25">
      <c r="A1294" s="3">
        <v>43537</v>
      </c>
      <c r="B1294" s="4">
        <v>32207</v>
      </c>
      <c r="C1294" s="4">
        <v>32050</v>
      </c>
      <c r="D1294" s="4">
        <v>32319</v>
      </c>
      <c r="E1294" s="4">
        <v>32050</v>
      </c>
      <c r="F1294" s="4" t="str">
        <v>12.52K</v>
      </c>
      <c r="G1294" s="4" t="str">
        <v>0.65%</v>
      </c>
      <c r="H1294" s="3">
        <v>43537</v>
      </c>
      <c r="I1294" s="4">
        <v>32184.5</v>
      </c>
    </row>
    <row r="1295" spans="1:9" x14ac:dyDescent="0.25">
      <c r="A1295" s="3">
        <v>43536</v>
      </c>
      <c r="B1295" s="4">
        <v>32000</v>
      </c>
      <c r="C1295" s="4">
        <v>31984</v>
      </c>
      <c r="D1295" s="4">
        <v>32043</v>
      </c>
      <c r="E1295" s="4">
        <v>31870</v>
      </c>
      <c r="F1295" s="4" t="str">
        <v>10.24K</v>
      </c>
      <c r="G1295" s="4" t="str">
        <v>0.33%</v>
      </c>
      <c r="H1295" s="3">
        <v>43536</v>
      </c>
      <c r="I1295" s="4">
        <v>31956.5</v>
      </c>
    </row>
    <row r="1296" spans="1:9" x14ac:dyDescent="0.25">
      <c r="A1296" s="3">
        <v>43535</v>
      </c>
      <c r="B1296" s="4">
        <v>31896</v>
      </c>
      <c r="C1296" s="4">
        <v>32124</v>
      </c>
      <c r="D1296" s="4">
        <v>32154</v>
      </c>
      <c r="E1296" s="4">
        <v>31875</v>
      </c>
      <c r="F1296" s="4" t="str">
        <v>11.06K</v>
      </c>
      <c r="G1296" s="4" t="str">
        <v>-0.84%</v>
      </c>
      <c r="H1296" s="3">
        <v>43535</v>
      </c>
      <c r="I1296" s="4">
        <v>32014.5</v>
      </c>
    </row>
    <row r="1297" spans="1:9" x14ac:dyDescent="0.25">
      <c r="A1297" s="3">
        <v>43532</v>
      </c>
      <c r="B1297" s="4">
        <v>32167</v>
      </c>
      <c r="C1297" s="4">
        <v>31970</v>
      </c>
      <c r="D1297" s="4">
        <v>32227</v>
      </c>
      <c r="E1297" s="4">
        <v>31940</v>
      </c>
      <c r="F1297" s="4" t="str">
        <v>12.38K</v>
      </c>
      <c r="G1297" s="4" t="str">
        <v>0.73%</v>
      </c>
      <c r="H1297" s="3">
        <v>43532</v>
      </c>
      <c r="I1297" s="4">
        <v>32083.5</v>
      </c>
    </row>
    <row r="1298" spans="1:9" x14ac:dyDescent="0.25">
      <c r="A1298" s="3">
        <v>43531</v>
      </c>
      <c r="B1298" s="4">
        <v>31934</v>
      </c>
      <c r="C1298" s="4">
        <v>31931</v>
      </c>
      <c r="D1298" s="4">
        <v>31965</v>
      </c>
      <c r="E1298" s="4">
        <v>31777</v>
      </c>
      <c r="F1298" s="4" t="str">
        <v>14.28K</v>
      </c>
      <c r="G1298" s="4" t="str">
        <v>-0.04%</v>
      </c>
      <c r="H1298" s="3">
        <v>43531</v>
      </c>
      <c r="I1298" s="4">
        <v>31871</v>
      </c>
    </row>
    <row r="1299" spans="1:9" x14ac:dyDescent="0.25">
      <c r="A1299" s="3">
        <v>43530</v>
      </c>
      <c r="B1299" s="4">
        <v>31948</v>
      </c>
      <c r="C1299" s="4">
        <v>32170</v>
      </c>
      <c r="D1299" s="4">
        <v>32298</v>
      </c>
      <c r="E1299" s="4">
        <v>31871</v>
      </c>
      <c r="F1299" s="4" t="str">
        <v>15.84K</v>
      </c>
      <c r="G1299" s="4" t="str">
        <v>-0.42%</v>
      </c>
      <c r="H1299" s="3">
        <v>43530</v>
      </c>
      <c r="I1299" s="4">
        <v>32084.5</v>
      </c>
    </row>
    <row r="1300" spans="1:9" x14ac:dyDescent="0.25">
      <c r="A1300" s="3">
        <v>43529</v>
      </c>
      <c r="B1300" s="4">
        <v>32083</v>
      </c>
      <c r="C1300" s="4">
        <v>32409</v>
      </c>
      <c r="D1300" s="4">
        <v>32428</v>
      </c>
      <c r="E1300" s="4">
        <v>32070</v>
      </c>
      <c r="F1300" s="4" t="str">
        <v>12.63K</v>
      </c>
      <c r="G1300" s="4" t="str">
        <v>-0.89%</v>
      </c>
      <c r="H1300" s="3">
        <v>43529</v>
      </c>
      <c r="I1300" s="4">
        <v>32249</v>
      </c>
    </row>
    <row r="1301" spans="1:9" x14ac:dyDescent="0.25">
      <c r="A1301" s="3">
        <v>43528</v>
      </c>
      <c r="B1301" s="4">
        <v>32370</v>
      </c>
      <c r="C1301" s="4">
        <v>32550</v>
      </c>
      <c r="D1301" s="4">
        <v>32550</v>
      </c>
      <c r="E1301" s="4">
        <v>32255</v>
      </c>
      <c r="F1301" s="4" t="str">
        <v>7.21K</v>
      </c>
      <c r="G1301" s="4" t="str">
        <v>-0.83%</v>
      </c>
      <c r="H1301" s="3">
        <v>43528</v>
      </c>
      <c r="I1301" s="4">
        <v>32402.5</v>
      </c>
    </row>
    <row r="1302" spans="1:9" x14ac:dyDescent="0.25">
      <c r="A1302" s="3">
        <v>43525</v>
      </c>
      <c r="B1302" s="4">
        <v>32640</v>
      </c>
      <c r="C1302" s="4">
        <v>32950</v>
      </c>
      <c r="D1302" s="4">
        <v>33007</v>
      </c>
      <c r="E1302" s="4">
        <v>32600</v>
      </c>
      <c r="F1302" s="4" t="str">
        <v>14.86K</v>
      </c>
      <c r="G1302" s="4" t="str">
        <v>-1.03%</v>
      </c>
      <c r="H1302" s="3">
        <v>43525</v>
      </c>
      <c r="I1302" s="4">
        <v>32803.5</v>
      </c>
    </row>
    <row r="1303" spans="1:9" x14ac:dyDescent="0.25">
      <c r="A1303" s="3">
        <v>43524</v>
      </c>
      <c r="B1303" s="4">
        <v>32981</v>
      </c>
      <c r="C1303" s="4">
        <v>33320</v>
      </c>
      <c r="D1303" s="4">
        <v>33385</v>
      </c>
      <c r="E1303" s="4">
        <v>32966</v>
      </c>
      <c r="F1303" s="4" t="str">
        <v>13.87K</v>
      </c>
      <c r="G1303" s="4" t="str">
        <v>-0.92%</v>
      </c>
      <c r="H1303" s="3">
        <v>43524</v>
      </c>
      <c r="I1303" s="4">
        <v>33175.5</v>
      </c>
    </row>
    <row r="1304" spans="1:9" x14ac:dyDescent="0.25">
      <c r="A1304" s="3">
        <v>43523</v>
      </c>
      <c r="B1304" s="4">
        <v>33286</v>
      </c>
      <c r="C1304" s="4">
        <v>33461</v>
      </c>
      <c r="D1304" s="4">
        <v>33617</v>
      </c>
      <c r="E1304" s="4">
        <v>33242</v>
      </c>
      <c r="F1304" s="4" t="str">
        <v>11.42K</v>
      </c>
      <c r="G1304" s="4" t="str">
        <v>-0.24%</v>
      </c>
      <c r="H1304" s="3">
        <v>43523</v>
      </c>
      <c r="I1304" s="4">
        <v>33429.5</v>
      </c>
    </row>
    <row r="1305" spans="1:9" x14ac:dyDescent="0.25">
      <c r="A1305" s="3">
        <v>43522</v>
      </c>
      <c r="B1305" s="4">
        <v>33367</v>
      </c>
      <c r="C1305" s="4">
        <v>33450</v>
      </c>
      <c r="D1305" s="4">
        <v>33598</v>
      </c>
      <c r="E1305" s="4">
        <v>33334</v>
      </c>
      <c r="F1305" s="4" t="str">
        <v>10.15K</v>
      </c>
      <c r="G1305" s="4" t="str">
        <v>0.20%</v>
      </c>
      <c r="H1305" s="3">
        <v>43522</v>
      </c>
      <c r="I1305" s="4">
        <v>33466</v>
      </c>
    </row>
    <row r="1306" spans="1:9" x14ac:dyDescent="0.25">
      <c r="A1306" s="3">
        <v>43521</v>
      </c>
      <c r="B1306" s="4">
        <v>33300</v>
      </c>
      <c r="C1306" s="4">
        <v>33511</v>
      </c>
      <c r="D1306" s="4">
        <v>33539</v>
      </c>
      <c r="E1306" s="4">
        <v>33277</v>
      </c>
      <c r="F1306" s="4" t="str">
        <v>8.86K</v>
      </c>
      <c r="G1306" s="4" t="str">
        <v>-0.65%</v>
      </c>
      <c r="H1306" s="3">
        <v>43521</v>
      </c>
      <c r="I1306" s="4">
        <v>33408</v>
      </c>
    </row>
    <row r="1307" spans="1:9" x14ac:dyDescent="0.25">
      <c r="A1307" s="3">
        <v>43518</v>
      </c>
      <c r="B1307" s="4">
        <v>33517</v>
      </c>
      <c r="C1307" s="4">
        <v>33448</v>
      </c>
      <c r="D1307" s="4">
        <v>33560</v>
      </c>
      <c r="E1307" s="4">
        <v>33330</v>
      </c>
      <c r="F1307" s="4" t="str">
        <v>11.52K</v>
      </c>
      <c r="G1307" s="4" t="str">
        <v>0.20%</v>
      </c>
      <c r="H1307" s="3">
        <v>43518</v>
      </c>
      <c r="I1307" s="4">
        <v>33445</v>
      </c>
    </row>
    <row r="1308" spans="1:9" x14ac:dyDescent="0.25">
      <c r="A1308" s="3">
        <v>43517</v>
      </c>
      <c r="B1308" s="4">
        <v>33449</v>
      </c>
      <c r="C1308" s="4">
        <v>33780</v>
      </c>
      <c r="D1308" s="4">
        <v>33799</v>
      </c>
      <c r="E1308" s="4">
        <v>33417</v>
      </c>
      <c r="F1308" s="4" t="str">
        <v>18.19K</v>
      </c>
      <c r="G1308" s="4" t="str">
        <v>-1.24%</v>
      </c>
      <c r="H1308" s="3">
        <v>43517</v>
      </c>
      <c r="I1308" s="4">
        <v>33608</v>
      </c>
    </row>
    <row r="1309" spans="1:9" x14ac:dyDescent="0.25">
      <c r="A1309" s="3">
        <v>43516</v>
      </c>
      <c r="B1309" s="4">
        <v>33870</v>
      </c>
      <c r="C1309" s="4">
        <v>33943</v>
      </c>
      <c r="D1309" s="4">
        <v>34031</v>
      </c>
      <c r="E1309" s="4">
        <v>33833</v>
      </c>
      <c r="F1309" s="4" t="str">
        <v>10.32K</v>
      </c>
      <c r="G1309" s="4" t="str">
        <v>-0.09%</v>
      </c>
      <c r="H1309" s="3">
        <v>43516</v>
      </c>
      <c r="I1309" s="4">
        <v>33932</v>
      </c>
    </row>
    <row r="1310" spans="1:9" x14ac:dyDescent="0.25">
      <c r="A1310" s="3">
        <v>43515</v>
      </c>
      <c r="B1310" s="4">
        <v>33899</v>
      </c>
      <c r="C1310" s="4">
        <v>33650</v>
      </c>
      <c r="D1310" s="4">
        <v>33918</v>
      </c>
      <c r="E1310" s="4">
        <v>33581</v>
      </c>
      <c r="F1310" s="4" t="str">
        <v>10.73K</v>
      </c>
      <c r="G1310" s="4" t="str">
        <v>0.87%</v>
      </c>
      <c r="H1310" s="3">
        <v>43515</v>
      </c>
      <c r="I1310" s="4">
        <v>33749.5</v>
      </c>
    </row>
    <row r="1311" spans="1:9" x14ac:dyDescent="0.25">
      <c r="A1311" s="3">
        <v>43514</v>
      </c>
      <c r="B1311" s="4">
        <v>33608</v>
      </c>
      <c r="C1311" s="4">
        <v>33450</v>
      </c>
      <c r="D1311" s="4">
        <v>33625</v>
      </c>
      <c r="E1311" s="4">
        <v>33450</v>
      </c>
      <c r="F1311" s="4" t="str">
        <v>6.50K</v>
      </c>
      <c r="G1311" s="4" t="str">
        <v>0.67%</v>
      </c>
      <c r="H1311" s="3">
        <v>43514</v>
      </c>
      <c r="I1311" s="4">
        <v>33537.5</v>
      </c>
    </row>
    <row r="1312" spans="1:9" x14ac:dyDescent="0.25">
      <c r="A1312" s="3">
        <v>43511</v>
      </c>
      <c r="B1312" s="4">
        <v>33384</v>
      </c>
      <c r="C1312" s="4">
        <v>33140</v>
      </c>
      <c r="D1312" s="4">
        <v>33410</v>
      </c>
      <c r="E1312" s="4">
        <v>33140</v>
      </c>
      <c r="F1312" s="4" t="str">
        <v>8.92K</v>
      </c>
      <c r="G1312" s="4" t="str">
        <v>0.92%</v>
      </c>
      <c r="H1312" s="3">
        <v>43511</v>
      </c>
      <c r="I1312" s="4">
        <v>33275</v>
      </c>
    </row>
    <row r="1313" spans="1:9" x14ac:dyDescent="0.25">
      <c r="A1313" s="3">
        <v>43510</v>
      </c>
      <c r="B1313" s="4">
        <v>33079</v>
      </c>
      <c r="C1313" s="4">
        <v>32950</v>
      </c>
      <c r="D1313" s="4">
        <v>33107</v>
      </c>
      <c r="E1313" s="4">
        <v>32874</v>
      </c>
      <c r="F1313" s="4" t="str">
        <v>9.13K</v>
      </c>
      <c r="G1313" s="4" t="str">
        <v>0.21%</v>
      </c>
      <c r="H1313" s="3">
        <v>43510</v>
      </c>
      <c r="I1313" s="4">
        <v>32990.5</v>
      </c>
    </row>
    <row r="1314" spans="1:9" x14ac:dyDescent="0.25">
      <c r="A1314" s="3">
        <v>43509</v>
      </c>
      <c r="B1314" s="4">
        <v>33011</v>
      </c>
      <c r="C1314" s="4">
        <v>32854</v>
      </c>
      <c r="D1314" s="4">
        <v>33145</v>
      </c>
      <c r="E1314" s="4">
        <v>32805</v>
      </c>
      <c r="F1314" s="4" t="str">
        <v>8.41K</v>
      </c>
      <c r="G1314" s="4" t="str">
        <v>0.49%</v>
      </c>
      <c r="H1314" s="3">
        <v>43509</v>
      </c>
      <c r="I1314" s="4">
        <v>32975</v>
      </c>
    </row>
    <row r="1315" spans="1:9" x14ac:dyDescent="0.25">
      <c r="A1315" s="3">
        <v>43508</v>
      </c>
      <c r="B1315" s="4">
        <v>32851</v>
      </c>
      <c r="C1315" s="4">
        <v>32995</v>
      </c>
      <c r="D1315" s="4">
        <v>33075</v>
      </c>
      <c r="E1315" s="4">
        <v>32813</v>
      </c>
      <c r="F1315" s="4" t="str">
        <v>8.53K</v>
      </c>
      <c r="G1315" s="4" t="str">
        <v>-0.59%</v>
      </c>
      <c r="H1315" s="3">
        <v>43508</v>
      </c>
      <c r="I1315" s="4">
        <v>32944</v>
      </c>
    </row>
    <row r="1316" spans="1:9" x14ac:dyDescent="0.25">
      <c r="A1316" s="3">
        <v>43507</v>
      </c>
      <c r="B1316" s="4">
        <v>33046</v>
      </c>
      <c r="C1316" s="4">
        <v>33200</v>
      </c>
      <c r="D1316" s="4">
        <v>33200</v>
      </c>
      <c r="E1316" s="4">
        <v>32908</v>
      </c>
      <c r="F1316" s="4" t="str">
        <v>8.75K</v>
      </c>
      <c r="G1316" s="4" t="str">
        <v>-0.59%</v>
      </c>
      <c r="H1316" s="3">
        <v>43507</v>
      </c>
      <c r="I1316" s="4">
        <v>33054</v>
      </c>
    </row>
    <row r="1317" spans="1:9" x14ac:dyDescent="0.25">
      <c r="A1317" s="3">
        <v>43504</v>
      </c>
      <c r="B1317" s="4">
        <v>33242</v>
      </c>
      <c r="C1317" s="4">
        <v>33199</v>
      </c>
      <c r="D1317" s="4">
        <v>33258</v>
      </c>
      <c r="E1317" s="4">
        <v>33011</v>
      </c>
      <c r="F1317" s="4" t="str">
        <v>8.69K</v>
      </c>
      <c r="G1317" s="4" t="str">
        <v>0.22%</v>
      </c>
      <c r="H1317" s="3">
        <v>43504</v>
      </c>
      <c r="I1317" s="4">
        <v>33134.5</v>
      </c>
    </row>
    <row r="1318" spans="1:9" x14ac:dyDescent="0.25">
      <c r="A1318" s="3">
        <v>43503</v>
      </c>
      <c r="B1318" s="4">
        <v>33169</v>
      </c>
      <c r="C1318" s="4">
        <v>33285</v>
      </c>
      <c r="D1318" s="4">
        <v>33285</v>
      </c>
      <c r="E1318" s="4">
        <v>33035</v>
      </c>
      <c r="F1318" s="4" t="str">
        <v>9.99K</v>
      </c>
      <c r="G1318" s="4" t="str">
        <v>-0.47%</v>
      </c>
      <c r="H1318" s="3">
        <v>43503</v>
      </c>
      <c r="I1318" s="4">
        <v>33160</v>
      </c>
    </row>
    <row r="1319" spans="1:9" x14ac:dyDescent="0.25">
      <c r="A1319" s="3">
        <v>43502</v>
      </c>
      <c r="B1319" s="4">
        <v>33327</v>
      </c>
      <c r="C1319" s="4">
        <v>33360</v>
      </c>
      <c r="D1319" s="4">
        <v>33445</v>
      </c>
      <c r="E1319" s="4">
        <v>33292</v>
      </c>
      <c r="F1319" s="4" t="str">
        <v>7.08K</v>
      </c>
      <c r="G1319" s="4" t="str">
        <v>0.25%</v>
      </c>
      <c r="H1319" s="3">
        <v>43502</v>
      </c>
      <c r="I1319" s="4">
        <v>33368.5</v>
      </c>
    </row>
    <row r="1320" spans="1:9" x14ac:dyDescent="0.25">
      <c r="A1320" s="3">
        <v>43501</v>
      </c>
      <c r="B1320" s="4">
        <v>33245</v>
      </c>
      <c r="C1320" s="4">
        <v>33400</v>
      </c>
      <c r="D1320" s="4">
        <v>33449</v>
      </c>
      <c r="E1320" s="4">
        <v>33081</v>
      </c>
      <c r="F1320" s="4" t="str">
        <v>0.02K</v>
      </c>
      <c r="G1320" s="4" t="str">
        <v>-0.28%</v>
      </c>
      <c r="H1320" s="3">
        <v>43501</v>
      </c>
      <c r="I1320" s="4">
        <v>33265</v>
      </c>
    </row>
    <row r="1321" spans="1:9" x14ac:dyDescent="0.25">
      <c r="A1321" s="3">
        <v>43500</v>
      </c>
      <c r="B1321" s="4">
        <v>33339</v>
      </c>
      <c r="C1321" s="4">
        <v>33750</v>
      </c>
      <c r="D1321" s="4">
        <v>33750</v>
      </c>
      <c r="E1321" s="4">
        <v>33180</v>
      </c>
      <c r="F1321" s="4" t="str">
        <v>0.11K</v>
      </c>
      <c r="G1321" s="4" t="str">
        <v>-0.20%</v>
      </c>
      <c r="H1321" s="3">
        <v>43500</v>
      </c>
      <c r="I1321" s="4">
        <v>33465</v>
      </c>
    </row>
    <row r="1322" spans="1:9" x14ac:dyDescent="0.25">
      <c r="A1322" s="3">
        <v>43497</v>
      </c>
      <c r="B1322" s="4">
        <v>33405</v>
      </c>
      <c r="C1322" s="4">
        <v>33057</v>
      </c>
      <c r="D1322" s="4">
        <v>33464</v>
      </c>
      <c r="E1322" s="4">
        <v>32953</v>
      </c>
      <c r="F1322" s="4" t="str">
        <v>1.74K</v>
      </c>
      <c r="G1322" s="4" t="str">
        <v>1.06%</v>
      </c>
      <c r="H1322" s="3">
        <v>43497</v>
      </c>
      <c r="I1322" s="4">
        <v>33208.5</v>
      </c>
    </row>
    <row r="1323" spans="1:9" x14ac:dyDescent="0.25">
      <c r="A1323" s="3">
        <v>43496</v>
      </c>
      <c r="B1323" s="4">
        <v>33056</v>
      </c>
      <c r="C1323" s="4">
        <v>32988</v>
      </c>
      <c r="D1323" s="4">
        <v>33272</v>
      </c>
      <c r="E1323" s="4">
        <v>32925</v>
      </c>
      <c r="F1323" s="4" t="str">
        <v>8.25K</v>
      </c>
      <c r="G1323" s="4" t="str">
        <v>0.48%</v>
      </c>
      <c r="H1323" s="3">
        <v>43496</v>
      </c>
      <c r="I1323" s="4">
        <v>33098.5</v>
      </c>
    </row>
    <row r="1324" spans="1:9" x14ac:dyDescent="0.25">
      <c r="A1324" s="3">
        <v>43495</v>
      </c>
      <c r="B1324" s="4">
        <v>32899</v>
      </c>
      <c r="C1324" s="4">
        <v>32918</v>
      </c>
      <c r="D1324" s="4">
        <v>32989</v>
      </c>
      <c r="E1324" s="4">
        <v>32827</v>
      </c>
      <c r="F1324" s="4" t="str">
        <v>8.64K</v>
      </c>
      <c r="G1324" s="4" t="str">
        <v>-0.00%</v>
      </c>
      <c r="H1324" s="3">
        <v>43495</v>
      </c>
      <c r="I1324" s="4">
        <v>32908</v>
      </c>
    </row>
    <row r="1325" spans="1:9" x14ac:dyDescent="0.25">
      <c r="A1325" s="3">
        <v>43494</v>
      </c>
      <c r="B1325" s="4">
        <v>32900</v>
      </c>
      <c r="C1325" s="4">
        <v>32545</v>
      </c>
      <c r="D1325" s="4">
        <v>32939</v>
      </c>
      <c r="E1325" s="4">
        <v>32545</v>
      </c>
      <c r="F1325" s="4" t="str">
        <v>10.57K</v>
      </c>
      <c r="G1325" s="4" t="str">
        <v>1.08%</v>
      </c>
      <c r="H1325" s="3">
        <v>43494</v>
      </c>
      <c r="I1325" s="4">
        <v>32742</v>
      </c>
    </row>
    <row r="1326" spans="1:9" x14ac:dyDescent="0.25">
      <c r="A1326" s="3">
        <v>43493</v>
      </c>
      <c r="B1326" s="4">
        <v>32547</v>
      </c>
      <c r="C1326" s="4">
        <v>32340</v>
      </c>
      <c r="D1326" s="4">
        <v>32589</v>
      </c>
      <c r="E1326" s="4">
        <v>32340</v>
      </c>
      <c r="F1326" s="4" t="str">
        <v>7.37K</v>
      </c>
      <c r="G1326" s="4" t="str">
        <v>0.63%</v>
      </c>
      <c r="H1326" s="3">
        <v>43493</v>
      </c>
      <c r="I1326" s="4">
        <v>32464.5</v>
      </c>
    </row>
    <row r="1327" spans="1:9" x14ac:dyDescent="0.25">
      <c r="A1327" s="3">
        <v>43490</v>
      </c>
      <c r="B1327" s="4">
        <v>32343</v>
      </c>
      <c r="C1327" s="4">
        <v>32032</v>
      </c>
      <c r="D1327" s="4">
        <v>32382</v>
      </c>
      <c r="E1327" s="4">
        <v>32009</v>
      </c>
      <c r="F1327" s="4" t="str">
        <v>9.49K</v>
      </c>
      <c r="G1327" s="4" t="str">
        <v>1.03%</v>
      </c>
      <c r="H1327" s="3">
        <v>43490</v>
      </c>
      <c r="I1327" s="4">
        <v>32195.5</v>
      </c>
    </row>
    <row r="1328" spans="1:9" x14ac:dyDescent="0.25">
      <c r="A1328" s="3">
        <v>43489</v>
      </c>
      <c r="B1328" s="4">
        <v>32013</v>
      </c>
      <c r="C1328" s="4">
        <v>32138</v>
      </c>
      <c r="D1328" s="4">
        <v>32151</v>
      </c>
      <c r="E1328" s="4">
        <v>31981</v>
      </c>
      <c r="F1328" s="4" t="str">
        <v>7.95K</v>
      </c>
      <c r="G1328" s="4" t="str">
        <v>-0.40%</v>
      </c>
      <c r="H1328" s="3">
        <v>43489</v>
      </c>
      <c r="I1328" s="4">
        <v>32066</v>
      </c>
    </row>
    <row r="1329" spans="1:9" x14ac:dyDescent="0.25">
      <c r="A1329" s="3">
        <v>43488</v>
      </c>
      <c r="B1329" s="4">
        <v>32140</v>
      </c>
      <c r="C1329" s="4">
        <v>32159</v>
      </c>
      <c r="D1329" s="4">
        <v>32217</v>
      </c>
      <c r="E1329" s="4">
        <v>32057</v>
      </c>
      <c r="F1329" s="4" t="str">
        <v>7.91K</v>
      </c>
      <c r="G1329" s="4" t="str">
        <v>-0.06%</v>
      </c>
      <c r="H1329" s="3">
        <v>43488</v>
      </c>
      <c r="I1329" s="4">
        <v>32137</v>
      </c>
    </row>
    <row r="1330" spans="1:9" x14ac:dyDescent="0.25">
      <c r="A1330" s="3">
        <v>43487</v>
      </c>
      <c r="B1330" s="4">
        <v>32160</v>
      </c>
      <c r="C1330" s="4">
        <v>31998</v>
      </c>
      <c r="D1330" s="4">
        <v>32194</v>
      </c>
      <c r="E1330" s="4">
        <v>31957</v>
      </c>
      <c r="F1330" s="4" t="str">
        <v>8.66K</v>
      </c>
      <c r="G1330" s="4" t="str">
        <v>0.37%</v>
      </c>
      <c r="H1330" s="3">
        <v>43487</v>
      </c>
      <c r="I1330" s="4">
        <v>32075.5</v>
      </c>
    </row>
    <row r="1331" spans="1:9" x14ac:dyDescent="0.25">
      <c r="A1331" s="3">
        <v>43486</v>
      </c>
      <c r="B1331" s="4">
        <v>32043</v>
      </c>
      <c r="C1331" s="4">
        <v>32044</v>
      </c>
      <c r="D1331" s="4">
        <v>32195</v>
      </c>
      <c r="E1331" s="4">
        <v>31985</v>
      </c>
      <c r="F1331" s="4" t="str">
        <v>7.05K</v>
      </c>
      <c r="G1331" s="4" t="str">
        <v>-0.15%</v>
      </c>
      <c r="H1331" s="3">
        <v>43486</v>
      </c>
      <c r="I1331" s="4">
        <v>32090</v>
      </c>
    </row>
    <row r="1332" spans="1:9" x14ac:dyDescent="0.25">
      <c r="A1332" s="3">
        <v>43483</v>
      </c>
      <c r="B1332" s="4">
        <v>32091</v>
      </c>
      <c r="C1332" s="4">
        <v>32276</v>
      </c>
      <c r="D1332" s="4">
        <v>32319</v>
      </c>
      <c r="E1332" s="4">
        <v>32055</v>
      </c>
      <c r="F1332" s="4" t="str">
        <v>9.50K</v>
      </c>
      <c r="G1332" s="4" t="str">
        <v>-0.55%</v>
      </c>
      <c r="H1332" s="3">
        <v>43483</v>
      </c>
      <c r="I1332" s="4">
        <v>32187</v>
      </c>
    </row>
    <row r="1333" spans="1:9" x14ac:dyDescent="0.25">
      <c r="A1333" s="3">
        <v>43482</v>
      </c>
      <c r="B1333" s="4">
        <v>32268</v>
      </c>
      <c r="C1333" s="4">
        <v>32290</v>
      </c>
      <c r="D1333" s="4">
        <v>32390</v>
      </c>
      <c r="E1333" s="4">
        <v>32205</v>
      </c>
      <c r="F1333" s="4" t="str">
        <v>9.32K</v>
      </c>
      <c r="G1333" s="4" t="str">
        <v>-0.06%</v>
      </c>
      <c r="H1333" s="3">
        <v>43482</v>
      </c>
      <c r="I1333" s="4">
        <v>32297.5</v>
      </c>
    </row>
    <row r="1334" spans="1:9" x14ac:dyDescent="0.25">
      <c r="A1334" s="3">
        <v>43481</v>
      </c>
      <c r="B1334" s="4">
        <v>32286</v>
      </c>
      <c r="C1334" s="4">
        <v>32198</v>
      </c>
      <c r="D1334" s="4">
        <v>32307</v>
      </c>
      <c r="E1334" s="4">
        <v>32110</v>
      </c>
      <c r="F1334" s="4" t="str">
        <v>9.48K</v>
      </c>
      <c r="G1334" s="4" t="str">
        <v>0.33%</v>
      </c>
      <c r="H1334" s="3">
        <v>43481</v>
      </c>
      <c r="I1334" s="4">
        <v>32208.5</v>
      </c>
    </row>
    <row r="1335" spans="1:9" x14ac:dyDescent="0.25">
      <c r="A1335" s="3">
        <v>43480</v>
      </c>
      <c r="B1335" s="4">
        <v>32180</v>
      </c>
      <c r="C1335" s="4">
        <v>32130</v>
      </c>
      <c r="D1335" s="4">
        <v>32277</v>
      </c>
      <c r="E1335" s="4">
        <v>32110</v>
      </c>
      <c r="F1335" s="4" t="str">
        <v>10.51K</v>
      </c>
      <c r="G1335" s="4" t="str">
        <v>0.12%</v>
      </c>
      <c r="H1335" s="3">
        <v>43480</v>
      </c>
      <c r="I1335" s="4">
        <v>32193.5</v>
      </c>
    </row>
    <row r="1336" spans="1:9" x14ac:dyDescent="0.25">
      <c r="A1336" s="3">
        <v>43479</v>
      </c>
      <c r="B1336" s="4">
        <v>32141</v>
      </c>
      <c r="C1336" s="4">
        <v>31989</v>
      </c>
      <c r="D1336" s="4">
        <v>32220</v>
      </c>
      <c r="E1336" s="4">
        <v>31975</v>
      </c>
      <c r="F1336" s="4" t="str">
        <v>9.97K</v>
      </c>
      <c r="G1336" s="4" t="str">
        <v>0.67%</v>
      </c>
      <c r="H1336" s="3">
        <v>43479</v>
      </c>
      <c r="I1336" s="4">
        <v>32097.5</v>
      </c>
    </row>
    <row r="1337" spans="1:9" x14ac:dyDescent="0.25">
      <c r="A1337" s="3">
        <v>43476</v>
      </c>
      <c r="B1337" s="4">
        <v>31928</v>
      </c>
      <c r="C1337" s="4">
        <v>31953</v>
      </c>
      <c r="D1337" s="4">
        <v>32076</v>
      </c>
      <c r="E1337" s="4">
        <v>31895</v>
      </c>
      <c r="F1337" s="4" t="str">
        <v>9.14K</v>
      </c>
      <c r="G1337" s="4" t="str">
        <v>0.15%</v>
      </c>
      <c r="H1337" s="3">
        <v>43476</v>
      </c>
      <c r="I1337" s="4">
        <v>31985.5</v>
      </c>
    </row>
    <row r="1338" spans="1:9" x14ac:dyDescent="0.25">
      <c r="A1338" s="3">
        <v>43475</v>
      </c>
      <c r="B1338" s="4">
        <v>31880</v>
      </c>
      <c r="C1338" s="4">
        <v>32048</v>
      </c>
      <c r="D1338" s="4">
        <v>32135</v>
      </c>
      <c r="E1338" s="4">
        <v>31853</v>
      </c>
      <c r="F1338" s="4" t="str">
        <v>10.61K</v>
      </c>
      <c r="G1338" s="4" t="str">
        <v>-0.38%</v>
      </c>
      <c r="H1338" s="3">
        <v>43475</v>
      </c>
      <c r="I1338" s="4">
        <v>31994</v>
      </c>
    </row>
    <row r="1339" spans="1:9" x14ac:dyDescent="0.25">
      <c r="A1339" s="3">
        <v>43474</v>
      </c>
      <c r="B1339" s="4">
        <v>32001</v>
      </c>
      <c r="C1339" s="4">
        <v>31633</v>
      </c>
      <c r="D1339" s="4">
        <v>32023</v>
      </c>
      <c r="E1339" s="4">
        <v>31633</v>
      </c>
      <c r="F1339" s="4" t="str">
        <v>11.63K</v>
      </c>
      <c r="G1339" s="4" t="str">
        <v>0.82%</v>
      </c>
      <c r="H1339" s="3">
        <v>43474</v>
      </c>
      <c r="I1339" s="4">
        <v>31828</v>
      </c>
    </row>
    <row r="1340" spans="1:9" x14ac:dyDescent="0.25">
      <c r="A1340" s="3">
        <v>43473</v>
      </c>
      <c r="B1340" s="4">
        <v>31741</v>
      </c>
      <c r="C1340" s="4">
        <v>31618</v>
      </c>
      <c r="D1340" s="4">
        <v>31760</v>
      </c>
      <c r="E1340" s="4">
        <v>31565</v>
      </c>
      <c r="F1340" s="4" t="str">
        <v>10.08K</v>
      </c>
      <c r="G1340" s="4" t="str">
        <v>0.29%</v>
      </c>
      <c r="H1340" s="3">
        <v>43473</v>
      </c>
      <c r="I1340" s="4">
        <v>31662.5</v>
      </c>
    </row>
    <row r="1341" spans="1:9" x14ac:dyDescent="0.25">
      <c r="A1341" s="3">
        <v>43472</v>
      </c>
      <c r="B1341" s="4">
        <v>31648</v>
      </c>
      <c r="C1341" s="4">
        <v>31529</v>
      </c>
      <c r="D1341" s="4">
        <v>31758</v>
      </c>
      <c r="E1341" s="4">
        <v>31448</v>
      </c>
      <c r="F1341" s="4" t="str">
        <v>11.13K</v>
      </c>
      <c r="G1341" s="4" t="str">
        <v>0.61%</v>
      </c>
      <c r="H1341" s="3">
        <v>43472</v>
      </c>
      <c r="I1341" s="4">
        <v>31603</v>
      </c>
    </row>
    <row r="1342" spans="1:9" x14ac:dyDescent="0.25">
      <c r="A1342" s="3">
        <v>43469</v>
      </c>
      <c r="B1342" s="4">
        <v>31456</v>
      </c>
      <c r="C1342" s="4">
        <v>31879</v>
      </c>
      <c r="D1342" s="4">
        <v>31879</v>
      </c>
      <c r="E1342" s="4">
        <v>31441</v>
      </c>
      <c r="F1342" s="4" t="str">
        <v>12.11K</v>
      </c>
      <c r="G1342" s="4" t="str">
        <v>-1.05%</v>
      </c>
      <c r="H1342" s="3">
        <v>43469</v>
      </c>
      <c r="I1342" s="4">
        <v>31660</v>
      </c>
    </row>
    <row r="1343" spans="1:9" x14ac:dyDescent="0.25">
      <c r="A1343" s="3">
        <v>43468</v>
      </c>
      <c r="B1343" s="4">
        <v>31789</v>
      </c>
      <c r="C1343" s="4">
        <v>31700</v>
      </c>
      <c r="D1343" s="4">
        <v>31938</v>
      </c>
      <c r="E1343" s="4">
        <v>31681</v>
      </c>
      <c r="F1343" s="4" t="str">
        <v>11.91K</v>
      </c>
      <c r="G1343" s="4" t="str">
        <v>0.57%</v>
      </c>
      <c r="H1343" s="3">
        <v>43468</v>
      </c>
      <c r="I1343" s="4">
        <v>31809.5</v>
      </c>
    </row>
    <row r="1344" spans="1:9" x14ac:dyDescent="0.25">
      <c r="A1344" s="3">
        <v>43467</v>
      </c>
      <c r="B1344" s="4">
        <v>31610</v>
      </c>
      <c r="C1344" s="4">
        <v>31421</v>
      </c>
      <c r="D1344" s="4">
        <v>31704</v>
      </c>
      <c r="E1344" s="4">
        <v>31369</v>
      </c>
      <c r="F1344" s="4" t="str">
        <v>10.09K</v>
      </c>
      <c r="G1344" s="4" t="str">
        <v>0.60%</v>
      </c>
      <c r="H1344" s="3">
        <v>43467</v>
      </c>
      <c r="I1344" s="4">
        <v>31536.5</v>
      </c>
    </row>
    <row r="1345" spans="1:9" x14ac:dyDescent="0.25">
      <c r="A1345" s="3">
        <v>43466</v>
      </c>
      <c r="B1345" s="4">
        <v>31422</v>
      </c>
      <c r="C1345" s="4">
        <v>31409</v>
      </c>
      <c r="D1345" s="4">
        <v>31461</v>
      </c>
      <c r="E1345" s="4">
        <v>31357</v>
      </c>
      <c r="F1345" s="4" t="str">
        <v>2.07K</v>
      </c>
      <c r="G1345" s="4" t="str">
        <v>0.10%</v>
      </c>
      <c r="H1345" s="3">
        <v>43466</v>
      </c>
      <c r="I1345" s="4">
        <v>31409</v>
      </c>
    </row>
    <row r="1346" spans="1:9" x14ac:dyDescent="0.25">
      <c r="A1346" s="3">
        <v>43465</v>
      </c>
      <c r="B1346" s="4">
        <v>31391</v>
      </c>
      <c r="C1346" s="4">
        <v>31571</v>
      </c>
      <c r="D1346" s="4">
        <v>31595</v>
      </c>
      <c r="E1346" s="4">
        <v>31300</v>
      </c>
      <c r="F1346" s="4" t="str">
        <v>9.80K</v>
      </c>
      <c r="G1346" s="4" t="str">
        <v>-0.66%</v>
      </c>
      <c r="H1346" s="3">
        <v>43465</v>
      </c>
      <c r="I1346" s="4">
        <v>31447.5</v>
      </c>
    </row>
    <row r="1347" spans="1:9" x14ac:dyDescent="0.25">
      <c r="A1347" s="3">
        <v>43462</v>
      </c>
      <c r="B1347" s="4">
        <v>31598</v>
      </c>
      <c r="C1347" s="4">
        <v>31665</v>
      </c>
      <c r="D1347" s="4">
        <v>31734</v>
      </c>
      <c r="E1347" s="4">
        <v>31585</v>
      </c>
      <c r="F1347" s="4" t="str">
        <v>10.04K</v>
      </c>
      <c r="G1347" s="4" t="str">
        <v>-0.36%</v>
      </c>
      <c r="H1347" s="3">
        <v>43462</v>
      </c>
      <c r="I1347" s="4">
        <v>31659.5</v>
      </c>
    </row>
    <row r="1348" spans="1:9" x14ac:dyDescent="0.25">
      <c r="A1348" s="3">
        <v>43461</v>
      </c>
      <c r="B1348" s="4">
        <v>31713</v>
      </c>
      <c r="C1348" s="4">
        <v>31500</v>
      </c>
      <c r="D1348" s="4">
        <v>31768</v>
      </c>
      <c r="E1348" s="4">
        <v>31500</v>
      </c>
      <c r="F1348" s="4" t="str">
        <v>8.76K</v>
      </c>
      <c r="G1348" s="4" t="str">
        <v>0.49%</v>
      </c>
      <c r="H1348" s="3">
        <v>43461</v>
      </c>
      <c r="I1348" s="4">
        <v>31634</v>
      </c>
    </row>
    <row r="1349" spans="1:9" x14ac:dyDescent="0.25">
      <c r="A1349" s="3">
        <v>43460</v>
      </c>
      <c r="B1349" s="4">
        <v>31559</v>
      </c>
      <c r="C1349" s="4">
        <v>31470</v>
      </c>
      <c r="D1349" s="4">
        <v>31740</v>
      </c>
      <c r="E1349" s="4">
        <v>31470</v>
      </c>
      <c r="F1349" s="4" t="str">
        <v>10.27K</v>
      </c>
      <c r="G1349" s="4" t="str">
        <v>0.31%</v>
      </c>
      <c r="H1349" s="3">
        <v>43460</v>
      </c>
      <c r="I1349" s="4">
        <v>31605</v>
      </c>
    </row>
    <row r="1350" spans="1:9" x14ac:dyDescent="0.25">
      <c r="A1350" s="3">
        <v>43458</v>
      </c>
      <c r="B1350" s="4">
        <v>31460</v>
      </c>
      <c r="C1350" s="4">
        <v>31300</v>
      </c>
      <c r="D1350" s="4">
        <v>31470</v>
      </c>
      <c r="E1350" s="4">
        <v>31270</v>
      </c>
      <c r="F1350" s="4" t="str">
        <v>8.88K</v>
      </c>
      <c r="G1350" s="4" t="str">
        <v>0.86%</v>
      </c>
      <c r="H1350" s="3">
        <v>43458</v>
      </c>
      <c r="I1350" s="4">
        <v>31370</v>
      </c>
    </row>
    <row r="1351" spans="1:9" x14ac:dyDescent="0.25">
      <c r="A1351" s="3">
        <v>43455</v>
      </c>
      <c r="B1351" s="4">
        <v>31193</v>
      </c>
      <c r="C1351" s="4">
        <v>31244</v>
      </c>
      <c r="D1351" s="4">
        <v>31387</v>
      </c>
      <c r="E1351" s="4">
        <v>31148</v>
      </c>
      <c r="F1351" s="4" t="str">
        <v>9.68K</v>
      </c>
      <c r="G1351" s="4" t="str">
        <v>-0.38%</v>
      </c>
      <c r="H1351" s="3">
        <v>43455</v>
      </c>
      <c r="I1351" s="4">
        <v>31267.5</v>
      </c>
    </row>
    <row r="1352" spans="1:9" x14ac:dyDescent="0.25">
      <c r="A1352" s="3">
        <v>43454</v>
      </c>
      <c r="B1352" s="4">
        <v>31311</v>
      </c>
      <c r="C1352" s="4">
        <v>31159</v>
      </c>
      <c r="D1352" s="4">
        <v>31343</v>
      </c>
      <c r="E1352" s="4">
        <v>31002</v>
      </c>
      <c r="F1352" s="4" t="str">
        <v>13.63K</v>
      </c>
      <c r="G1352" s="4" t="str">
        <v>0.27%</v>
      </c>
      <c r="H1352" s="3">
        <v>43454</v>
      </c>
      <c r="I1352" s="4">
        <v>31172.5</v>
      </c>
    </row>
    <row r="1353" spans="1:9" x14ac:dyDescent="0.25">
      <c r="A1353" s="3">
        <v>43453</v>
      </c>
      <c r="B1353" s="4">
        <v>31227</v>
      </c>
      <c r="C1353" s="4">
        <v>31100</v>
      </c>
      <c r="D1353" s="4">
        <v>31344</v>
      </c>
      <c r="E1353" s="4">
        <v>31064</v>
      </c>
      <c r="F1353" s="4" t="str">
        <v>9.95K</v>
      </c>
      <c r="G1353" s="4" t="str">
        <v>0.21%</v>
      </c>
      <c r="H1353" s="3">
        <v>43453</v>
      </c>
      <c r="I1353" s="4">
        <v>31204</v>
      </c>
    </row>
    <row r="1354" spans="1:9" x14ac:dyDescent="0.25">
      <c r="A1354" s="3">
        <v>43452</v>
      </c>
      <c r="B1354" s="4">
        <v>31163</v>
      </c>
      <c r="C1354" s="4">
        <v>31530</v>
      </c>
      <c r="D1354" s="4">
        <v>31563</v>
      </c>
      <c r="E1354" s="4">
        <v>31134</v>
      </c>
      <c r="F1354" s="4" t="str">
        <v>12.48K</v>
      </c>
      <c r="G1354" s="4" t="str">
        <v>-1.48%</v>
      </c>
      <c r="H1354" s="3">
        <v>43452</v>
      </c>
      <c r="I1354" s="4">
        <v>31348.5</v>
      </c>
    </row>
    <row r="1355" spans="1:9" x14ac:dyDescent="0.25">
      <c r="A1355" s="3">
        <v>43451</v>
      </c>
      <c r="B1355" s="4">
        <v>31630</v>
      </c>
      <c r="C1355" s="4">
        <v>31496</v>
      </c>
      <c r="D1355" s="4">
        <v>31659</v>
      </c>
      <c r="E1355" s="4">
        <v>31411</v>
      </c>
      <c r="F1355" s="4" t="str">
        <v>6.65K</v>
      </c>
      <c r="G1355" s="4" t="str">
        <v>0.24%</v>
      </c>
      <c r="H1355" s="3">
        <v>43451</v>
      </c>
      <c r="I1355" s="4">
        <v>31535</v>
      </c>
    </row>
    <row r="1356" spans="1:9" x14ac:dyDescent="0.25">
      <c r="A1356" s="3">
        <v>43448</v>
      </c>
      <c r="B1356" s="4">
        <v>31553</v>
      </c>
      <c r="C1356" s="4">
        <v>31568</v>
      </c>
      <c r="D1356" s="4">
        <v>31641</v>
      </c>
      <c r="E1356" s="4">
        <v>31503</v>
      </c>
      <c r="F1356" s="4" t="str">
        <v>7.61K</v>
      </c>
      <c r="G1356" s="4" t="str">
        <v>0.08%</v>
      </c>
      <c r="H1356" s="3">
        <v>43448</v>
      </c>
      <c r="I1356" s="4">
        <v>31572</v>
      </c>
    </row>
    <row r="1357" spans="1:9" x14ac:dyDescent="0.25">
      <c r="A1357" s="3">
        <v>43447</v>
      </c>
      <c r="B1357" s="4">
        <v>31527</v>
      </c>
      <c r="C1357" s="4">
        <v>31636</v>
      </c>
      <c r="D1357" s="4">
        <v>31698</v>
      </c>
      <c r="E1357" s="4">
        <v>31486</v>
      </c>
      <c r="F1357" s="4" t="str">
        <v>8.06K</v>
      </c>
      <c r="G1357" s="4" t="str">
        <v>-0.65%</v>
      </c>
      <c r="H1357" s="3">
        <v>43447</v>
      </c>
      <c r="I1357" s="4">
        <v>31592</v>
      </c>
    </row>
    <row r="1358" spans="1:9" x14ac:dyDescent="0.25">
      <c r="A1358" s="3">
        <v>43446</v>
      </c>
      <c r="B1358" s="4">
        <v>31732</v>
      </c>
      <c r="C1358" s="4">
        <v>31817</v>
      </c>
      <c r="D1358" s="4">
        <v>31838</v>
      </c>
      <c r="E1358" s="4">
        <v>31692</v>
      </c>
      <c r="F1358" s="4" t="str">
        <v>8.14K</v>
      </c>
      <c r="G1358" s="4" t="str">
        <v>-0.64%</v>
      </c>
      <c r="H1358" s="3">
        <v>43446</v>
      </c>
      <c r="I1358" s="4">
        <v>31765</v>
      </c>
    </row>
    <row r="1359" spans="1:9" x14ac:dyDescent="0.25">
      <c r="A1359" s="3">
        <v>43445</v>
      </c>
      <c r="B1359" s="4">
        <v>31935</v>
      </c>
      <c r="C1359" s="4">
        <v>31949</v>
      </c>
      <c r="D1359" s="4">
        <v>31988</v>
      </c>
      <c r="E1359" s="4">
        <v>31740</v>
      </c>
      <c r="F1359" s="4" t="str">
        <v>9.65K</v>
      </c>
      <c r="G1359" s="4" t="str">
        <v>-0.29%</v>
      </c>
      <c r="H1359" s="3">
        <v>43445</v>
      </c>
      <c r="I1359" s="4">
        <v>31864</v>
      </c>
    </row>
    <row r="1360" spans="1:9" x14ac:dyDescent="0.25">
      <c r="A1360" s="3">
        <v>43444</v>
      </c>
      <c r="B1360" s="4">
        <v>32028</v>
      </c>
      <c r="C1360" s="4">
        <v>31647</v>
      </c>
      <c r="D1360" s="4">
        <v>32118</v>
      </c>
      <c r="E1360" s="4">
        <v>31530</v>
      </c>
      <c r="F1360" s="4" t="str">
        <v>12.29K</v>
      </c>
      <c r="G1360" s="4" t="str">
        <v>1.37%</v>
      </c>
      <c r="H1360" s="3">
        <v>43444</v>
      </c>
      <c r="I1360" s="4">
        <v>31824</v>
      </c>
    </row>
    <row r="1361" spans="1:9" x14ac:dyDescent="0.25">
      <c r="A1361" s="3">
        <v>43441</v>
      </c>
      <c r="B1361" s="4">
        <v>31595</v>
      </c>
      <c r="C1361" s="4">
        <v>31071</v>
      </c>
      <c r="D1361" s="4">
        <v>32021</v>
      </c>
      <c r="E1361" s="4">
        <v>31024</v>
      </c>
      <c r="F1361" s="4" t="str">
        <v>12.37K</v>
      </c>
      <c r="G1361" s="4" t="str">
        <v>1.63%</v>
      </c>
      <c r="H1361" s="3">
        <v>43441</v>
      </c>
      <c r="I1361" s="4">
        <v>31522.5</v>
      </c>
    </row>
    <row r="1362" spans="1:9" x14ac:dyDescent="0.25">
      <c r="A1362" s="3">
        <v>43440</v>
      </c>
      <c r="B1362" s="4">
        <v>31089</v>
      </c>
      <c r="C1362" s="4">
        <v>31150</v>
      </c>
      <c r="D1362" s="4">
        <v>31296</v>
      </c>
      <c r="E1362" s="4">
        <v>31062</v>
      </c>
      <c r="F1362" s="4" t="str">
        <v>10.33K</v>
      </c>
      <c r="G1362" s="4" t="str">
        <v>0.78%</v>
      </c>
      <c r="H1362" s="3">
        <v>43440</v>
      </c>
      <c r="I1362" s="4">
        <v>31179</v>
      </c>
    </row>
    <row r="1363" spans="1:9" x14ac:dyDescent="0.25">
      <c r="A1363" s="3">
        <v>43439</v>
      </c>
      <c r="B1363" s="4">
        <v>30847</v>
      </c>
      <c r="C1363" s="4">
        <v>30901</v>
      </c>
      <c r="D1363" s="4">
        <v>30901</v>
      </c>
      <c r="E1363" s="4">
        <v>30810</v>
      </c>
      <c r="F1363" s="4" t="str">
        <v>0.01K</v>
      </c>
      <c r="G1363" s="4" t="str">
        <v>-0.34%</v>
      </c>
      <c r="H1363" s="3">
        <v>43439</v>
      </c>
      <c r="I1363" s="4">
        <v>30855.5</v>
      </c>
    </row>
    <row r="1364" spans="1:9" x14ac:dyDescent="0.25">
      <c r="A1364" s="3">
        <v>43438</v>
      </c>
      <c r="B1364" s="4">
        <v>30952</v>
      </c>
      <c r="C1364" s="4">
        <v>30786</v>
      </c>
      <c r="D1364" s="4">
        <v>31019</v>
      </c>
      <c r="E1364" s="4">
        <v>30751</v>
      </c>
      <c r="F1364" s="4" t="str">
        <v>0.04K</v>
      </c>
      <c r="G1364" s="4" t="str">
        <v>0.66%</v>
      </c>
      <c r="H1364" s="3">
        <v>43438</v>
      </c>
      <c r="I1364" s="4">
        <v>30885</v>
      </c>
    </row>
    <row r="1365" spans="1:9" x14ac:dyDescent="0.25">
      <c r="A1365" s="3">
        <v>43437</v>
      </c>
      <c r="B1365" s="4">
        <v>30748</v>
      </c>
      <c r="C1365" s="4">
        <v>30392</v>
      </c>
      <c r="D1365" s="4">
        <v>30853</v>
      </c>
      <c r="E1365" s="4">
        <v>30392</v>
      </c>
      <c r="F1365" s="4" t="str">
        <v>0.43K</v>
      </c>
      <c r="G1365" s="4" t="str">
        <v>1.68%</v>
      </c>
      <c r="H1365" s="3">
        <v>43437</v>
      </c>
      <c r="I1365" s="4">
        <v>30622.5</v>
      </c>
    </row>
    <row r="1366" spans="1:9" x14ac:dyDescent="0.25">
      <c r="A1366" s="3">
        <v>43434</v>
      </c>
      <c r="B1366" s="4">
        <v>30240</v>
      </c>
      <c r="C1366" s="4">
        <v>30195</v>
      </c>
      <c r="D1366" s="4">
        <v>30358</v>
      </c>
      <c r="E1366" s="4">
        <v>30107</v>
      </c>
      <c r="F1366" s="4" t="str">
        <v>8.95K</v>
      </c>
      <c r="G1366" s="4" t="str">
        <v>0.12%</v>
      </c>
      <c r="H1366" s="3">
        <v>43434</v>
      </c>
      <c r="I1366" s="4">
        <v>30232.5</v>
      </c>
    </row>
    <row r="1367" spans="1:9" x14ac:dyDescent="0.25">
      <c r="A1367" s="3">
        <v>43433</v>
      </c>
      <c r="B1367" s="4">
        <v>30204</v>
      </c>
      <c r="C1367" s="4">
        <v>30338</v>
      </c>
      <c r="D1367" s="4">
        <v>30339</v>
      </c>
      <c r="E1367" s="4">
        <v>30155</v>
      </c>
      <c r="F1367" s="4" t="str">
        <v>8.12K</v>
      </c>
      <c r="G1367" s="4" t="str">
        <v>-0.76%</v>
      </c>
      <c r="H1367" s="3">
        <v>43433</v>
      </c>
      <c r="I1367" s="4">
        <v>30247</v>
      </c>
    </row>
    <row r="1368" spans="1:9" x14ac:dyDescent="0.25">
      <c r="A1368" s="3">
        <v>43432</v>
      </c>
      <c r="B1368" s="4">
        <v>30434</v>
      </c>
      <c r="C1368" s="4">
        <v>30365</v>
      </c>
      <c r="D1368" s="4">
        <v>30578</v>
      </c>
      <c r="E1368" s="4">
        <v>30250</v>
      </c>
      <c r="F1368" s="4" t="str">
        <v>9.02K</v>
      </c>
      <c r="G1368" s="4" t="str">
        <v>0.11%</v>
      </c>
      <c r="H1368" s="3">
        <v>43432</v>
      </c>
      <c r="I1368" s="4">
        <v>30414</v>
      </c>
    </row>
    <row r="1369" spans="1:9" x14ac:dyDescent="0.25">
      <c r="A1369" s="3">
        <v>43431</v>
      </c>
      <c r="B1369" s="4">
        <v>30402</v>
      </c>
      <c r="C1369" s="4">
        <v>30563</v>
      </c>
      <c r="D1369" s="4">
        <v>30630</v>
      </c>
      <c r="E1369" s="4">
        <v>30365</v>
      </c>
      <c r="F1369" s="4" t="str">
        <v>8.13K</v>
      </c>
      <c r="G1369" s="4" t="str">
        <v>-0.47%</v>
      </c>
      <c r="H1369" s="3">
        <v>43431</v>
      </c>
      <c r="I1369" s="4">
        <v>30497.5</v>
      </c>
    </row>
    <row r="1370" spans="1:9" x14ac:dyDescent="0.25">
      <c r="A1370" s="3">
        <v>43430</v>
      </c>
      <c r="B1370" s="4">
        <v>30547</v>
      </c>
      <c r="C1370" s="4">
        <v>30471</v>
      </c>
      <c r="D1370" s="4">
        <v>30661</v>
      </c>
      <c r="E1370" s="4">
        <v>30445</v>
      </c>
      <c r="F1370" s="4" t="str">
        <v>7.62K</v>
      </c>
      <c r="G1370" s="4" t="str">
        <v>0.17%</v>
      </c>
      <c r="H1370" s="3">
        <v>43430</v>
      </c>
      <c r="I1370" s="4">
        <v>30553</v>
      </c>
    </row>
    <row r="1371" spans="1:9" x14ac:dyDescent="0.25">
      <c r="A1371" s="3">
        <v>43427</v>
      </c>
      <c r="B1371" s="4">
        <v>30495</v>
      </c>
      <c r="C1371" s="4">
        <v>30540</v>
      </c>
      <c r="D1371" s="4">
        <v>30548</v>
      </c>
      <c r="E1371" s="4">
        <v>30412</v>
      </c>
      <c r="F1371" s="4" t="str">
        <v>3.37K</v>
      </c>
      <c r="G1371" s="4" t="str">
        <v>-0.37%</v>
      </c>
      <c r="H1371" s="3">
        <v>43427</v>
      </c>
      <c r="I1371" s="4">
        <v>30480</v>
      </c>
    </row>
    <row r="1372" spans="1:9" x14ac:dyDescent="0.25">
      <c r="A1372" s="3">
        <v>43426</v>
      </c>
      <c r="B1372" s="4">
        <v>30609</v>
      </c>
      <c r="C1372" s="4">
        <v>30855</v>
      </c>
      <c r="D1372" s="4">
        <v>30880</v>
      </c>
      <c r="E1372" s="4">
        <v>30568</v>
      </c>
      <c r="F1372" s="4" t="str">
        <v>7.46K</v>
      </c>
      <c r="G1372" s="4" t="str">
        <v>-0.70%</v>
      </c>
      <c r="H1372" s="3">
        <v>43426</v>
      </c>
      <c r="I1372" s="4">
        <v>30724</v>
      </c>
    </row>
    <row r="1373" spans="1:9" x14ac:dyDescent="0.25">
      <c r="A1373" s="3">
        <v>43425</v>
      </c>
      <c r="B1373" s="4">
        <v>30825</v>
      </c>
      <c r="C1373" s="4">
        <v>30775</v>
      </c>
      <c r="D1373" s="4">
        <v>30895</v>
      </c>
      <c r="E1373" s="4">
        <v>30725</v>
      </c>
      <c r="F1373" s="4" t="str">
        <v>7.09K</v>
      </c>
      <c r="G1373" s="4" t="str">
        <v>0.04%</v>
      </c>
      <c r="H1373" s="3">
        <v>43425</v>
      </c>
      <c r="I1373" s="4">
        <v>30810</v>
      </c>
    </row>
    <row r="1374" spans="1:9" x14ac:dyDescent="0.25">
      <c r="A1374" s="3">
        <v>43424</v>
      </c>
      <c r="B1374" s="4">
        <v>30814</v>
      </c>
      <c r="C1374" s="4">
        <v>30787</v>
      </c>
      <c r="D1374" s="4">
        <v>30990</v>
      </c>
      <c r="E1374" s="4">
        <v>30758</v>
      </c>
      <c r="F1374" s="4" t="str">
        <v>7.04K</v>
      </c>
      <c r="G1374" s="4" t="str">
        <v>-0.21%</v>
      </c>
      <c r="H1374" s="3">
        <v>43424</v>
      </c>
      <c r="I1374" s="4">
        <v>30874</v>
      </c>
    </row>
    <row r="1375" spans="1:9" x14ac:dyDescent="0.25">
      <c r="A1375" s="3">
        <v>43423</v>
      </c>
      <c r="B1375" s="4">
        <v>30879</v>
      </c>
      <c r="C1375" s="4">
        <v>31010</v>
      </c>
      <c r="D1375" s="4">
        <v>31040</v>
      </c>
      <c r="E1375" s="4">
        <v>30765</v>
      </c>
      <c r="F1375" s="4" t="str">
        <v>8.24K</v>
      </c>
      <c r="G1375" s="4" t="str">
        <v>-0.41%</v>
      </c>
      <c r="H1375" s="3">
        <v>43423</v>
      </c>
      <c r="I1375" s="4">
        <v>30902.5</v>
      </c>
    </row>
    <row r="1376" spans="1:9" x14ac:dyDescent="0.25">
      <c r="A1376" s="3">
        <v>43420</v>
      </c>
      <c r="B1376" s="4">
        <v>31007</v>
      </c>
      <c r="C1376" s="4">
        <v>30845</v>
      </c>
      <c r="D1376" s="4">
        <v>31147</v>
      </c>
      <c r="E1376" s="4">
        <v>30810</v>
      </c>
      <c r="F1376" s="4" t="str">
        <v>8.58K</v>
      </c>
      <c r="G1376" s="4" t="str">
        <v>0.60%</v>
      </c>
      <c r="H1376" s="3">
        <v>43420</v>
      </c>
      <c r="I1376" s="4">
        <v>30978.5</v>
      </c>
    </row>
    <row r="1377" spans="1:9" x14ac:dyDescent="0.25">
      <c r="A1377" s="3">
        <v>43419</v>
      </c>
      <c r="B1377" s="4">
        <v>30821</v>
      </c>
      <c r="C1377" s="4">
        <v>30924</v>
      </c>
      <c r="D1377" s="4">
        <v>30937</v>
      </c>
      <c r="E1377" s="4">
        <v>30720</v>
      </c>
      <c r="F1377" s="4" t="str">
        <v>7.28K</v>
      </c>
      <c r="G1377" s="4" t="str">
        <v>-0.00%</v>
      </c>
      <c r="H1377" s="3">
        <v>43419</v>
      </c>
      <c r="I1377" s="4">
        <v>30828.5</v>
      </c>
    </row>
    <row r="1378" spans="1:9" x14ac:dyDescent="0.25">
      <c r="A1378" s="3">
        <v>43418</v>
      </c>
      <c r="B1378" s="4">
        <v>30822</v>
      </c>
      <c r="C1378" s="4">
        <v>30704</v>
      </c>
      <c r="D1378" s="4">
        <v>30846</v>
      </c>
      <c r="E1378" s="4">
        <v>30605</v>
      </c>
      <c r="F1378" s="4" t="str">
        <v>8.00K</v>
      </c>
      <c r="G1378" s="4" t="str">
        <v>0.17%</v>
      </c>
      <c r="H1378" s="3">
        <v>43418</v>
      </c>
      <c r="I1378" s="4">
        <v>30725.5</v>
      </c>
    </row>
    <row r="1379" spans="1:9" x14ac:dyDescent="0.25">
      <c r="A1379" s="3">
        <v>43417</v>
      </c>
      <c r="B1379" s="4">
        <v>30769</v>
      </c>
      <c r="C1379" s="4">
        <v>30909</v>
      </c>
      <c r="D1379" s="4">
        <v>30919</v>
      </c>
      <c r="E1379" s="4">
        <v>30751</v>
      </c>
      <c r="F1379" s="4" t="str">
        <v>7.16K</v>
      </c>
      <c r="G1379" s="4" t="str">
        <v>-0.75%</v>
      </c>
      <c r="H1379" s="3">
        <v>43417</v>
      </c>
      <c r="I1379" s="4">
        <v>30835</v>
      </c>
    </row>
    <row r="1380" spans="1:9" x14ac:dyDescent="0.25">
      <c r="A1380" s="3">
        <v>43416</v>
      </c>
      <c r="B1380" s="4">
        <v>31001</v>
      </c>
      <c r="C1380" s="4">
        <v>31100</v>
      </c>
      <c r="D1380" s="4">
        <v>31169</v>
      </c>
      <c r="E1380" s="4">
        <v>30969</v>
      </c>
      <c r="F1380" s="4" t="str">
        <v>6.43K</v>
      </c>
      <c r="G1380" s="4" t="str">
        <v>-0.05%</v>
      </c>
      <c r="H1380" s="3">
        <v>43416</v>
      </c>
      <c r="I1380" s="4">
        <v>31069</v>
      </c>
    </row>
    <row r="1381" spans="1:9" x14ac:dyDescent="0.25">
      <c r="A1381" s="3">
        <v>43413</v>
      </c>
      <c r="B1381" s="4">
        <v>31016</v>
      </c>
      <c r="C1381" s="4">
        <v>31310</v>
      </c>
      <c r="D1381" s="4">
        <v>31372</v>
      </c>
      <c r="E1381" s="4">
        <v>30942</v>
      </c>
      <c r="F1381" s="4" t="str">
        <v>7.95K</v>
      </c>
      <c r="G1381" s="4" t="str">
        <v>-1.24%</v>
      </c>
      <c r="H1381" s="3">
        <v>43413</v>
      </c>
      <c r="I1381" s="4">
        <v>31157</v>
      </c>
    </row>
    <row r="1382" spans="1:9" x14ac:dyDescent="0.25">
      <c r="A1382" s="3">
        <v>43412</v>
      </c>
      <c r="B1382" s="4">
        <v>31406</v>
      </c>
      <c r="C1382" s="4">
        <v>31501</v>
      </c>
      <c r="D1382" s="4">
        <v>31501</v>
      </c>
      <c r="E1382" s="4">
        <v>31212</v>
      </c>
      <c r="F1382" s="4" t="str">
        <v>4.91K</v>
      </c>
      <c r="G1382" s="4" t="str">
        <v>-0.58%</v>
      </c>
      <c r="H1382" s="3">
        <v>43412</v>
      </c>
      <c r="I1382" s="4">
        <v>31356.5</v>
      </c>
    </row>
    <row r="1383" spans="1:9" x14ac:dyDescent="0.25">
      <c r="A1383" s="3">
        <v>43411</v>
      </c>
      <c r="B1383" s="4">
        <v>31589</v>
      </c>
      <c r="C1383" s="4">
        <v>31687</v>
      </c>
      <c r="D1383" s="4">
        <v>31687</v>
      </c>
      <c r="E1383" s="4">
        <v>31551</v>
      </c>
      <c r="F1383" s="4" t="str">
        <v>1.71K</v>
      </c>
      <c r="G1383" s="4" t="str">
        <v>-0.18%</v>
      </c>
      <c r="H1383" s="3">
        <v>43411</v>
      </c>
      <c r="I1383" s="4">
        <v>31619</v>
      </c>
    </row>
    <row r="1384" spans="1:9" x14ac:dyDescent="0.25">
      <c r="A1384" s="3">
        <v>43410</v>
      </c>
      <c r="B1384" s="4">
        <v>31646</v>
      </c>
      <c r="C1384" s="4">
        <v>31718</v>
      </c>
      <c r="D1384" s="4">
        <v>31876</v>
      </c>
      <c r="E1384" s="4">
        <v>31632</v>
      </c>
      <c r="F1384" s="4" t="str">
        <v>7.65K</v>
      </c>
      <c r="G1384" s="4" t="str">
        <v>-0.18%</v>
      </c>
      <c r="H1384" s="3">
        <v>43410</v>
      </c>
      <c r="I1384" s="4">
        <v>31754</v>
      </c>
    </row>
    <row r="1385" spans="1:9" x14ac:dyDescent="0.25">
      <c r="A1385" s="3">
        <v>43409</v>
      </c>
      <c r="B1385" s="4">
        <v>31702</v>
      </c>
      <c r="C1385" s="4">
        <v>31736</v>
      </c>
      <c r="D1385" s="4">
        <v>31835</v>
      </c>
      <c r="E1385" s="4">
        <v>31681</v>
      </c>
      <c r="F1385" s="4" t="str">
        <v>7.12K</v>
      </c>
      <c r="G1385" s="4" t="str">
        <v>-0.15%</v>
      </c>
      <c r="H1385" s="3">
        <v>43409</v>
      </c>
      <c r="I1385" s="4">
        <v>31758</v>
      </c>
    </row>
    <row r="1386" spans="1:9" x14ac:dyDescent="0.25">
      <c r="A1386" s="3">
        <v>43406</v>
      </c>
      <c r="B1386" s="4">
        <v>31750</v>
      </c>
      <c r="C1386" s="4">
        <v>31821</v>
      </c>
      <c r="D1386" s="4">
        <v>31835</v>
      </c>
      <c r="E1386" s="4">
        <v>31600</v>
      </c>
      <c r="F1386" s="4" t="str">
        <v>12.46K</v>
      </c>
      <c r="G1386" s="4" t="str">
        <v>-0.45%</v>
      </c>
      <c r="H1386" s="3">
        <v>43406</v>
      </c>
      <c r="I1386" s="4">
        <v>31717.5</v>
      </c>
    </row>
    <row r="1387" spans="1:9" x14ac:dyDescent="0.25">
      <c r="A1387" s="3">
        <v>43405</v>
      </c>
      <c r="B1387" s="4">
        <v>31892</v>
      </c>
      <c r="C1387" s="4">
        <v>31787</v>
      </c>
      <c r="D1387" s="4">
        <v>31938</v>
      </c>
      <c r="E1387" s="4">
        <v>31745</v>
      </c>
      <c r="F1387" s="4" t="str">
        <v>9.54K</v>
      </c>
      <c r="G1387" s="4" t="str">
        <v>0.45%</v>
      </c>
      <c r="H1387" s="3">
        <v>43405</v>
      </c>
      <c r="I1387" s="4">
        <v>31841.5</v>
      </c>
    </row>
    <row r="1388" spans="1:9" x14ac:dyDescent="0.25">
      <c r="A1388" s="3">
        <v>43404</v>
      </c>
      <c r="B1388" s="4">
        <v>31748</v>
      </c>
      <c r="C1388" s="4">
        <v>31851</v>
      </c>
      <c r="D1388" s="4">
        <v>31899</v>
      </c>
      <c r="E1388" s="4">
        <v>31711</v>
      </c>
      <c r="F1388" s="4" t="str">
        <v>9.79K</v>
      </c>
      <c r="G1388" s="4" t="str">
        <v>-0.28%</v>
      </c>
      <c r="H1388" s="3">
        <v>43404</v>
      </c>
      <c r="I1388" s="4">
        <v>31805</v>
      </c>
    </row>
    <row r="1389" spans="1:9" x14ac:dyDescent="0.25">
      <c r="A1389" s="3">
        <v>43403</v>
      </c>
      <c r="B1389" s="4">
        <v>31837</v>
      </c>
      <c r="C1389" s="4">
        <v>31919</v>
      </c>
      <c r="D1389" s="4">
        <v>31939</v>
      </c>
      <c r="E1389" s="4">
        <v>31760</v>
      </c>
      <c r="F1389" s="4" t="str">
        <v>8.86K</v>
      </c>
      <c r="G1389" s="4" t="str">
        <v>-0.16%</v>
      </c>
      <c r="H1389" s="3">
        <v>43403</v>
      </c>
      <c r="I1389" s="4">
        <v>31849.5</v>
      </c>
    </row>
    <row r="1390" spans="1:9" x14ac:dyDescent="0.25">
      <c r="A1390" s="3">
        <v>43402</v>
      </c>
      <c r="B1390" s="4">
        <v>31888</v>
      </c>
      <c r="C1390" s="4">
        <v>31903</v>
      </c>
      <c r="D1390" s="4">
        <v>32020</v>
      </c>
      <c r="E1390" s="4">
        <v>31846</v>
      </c>
      <c r="F1390" s="4" t="str">
        <v>7.51K</v>
      </c>
      <c r="G1390" s="4" t="str">
        <v>-0.15%</v>
      </c>
      <c r="H1390" s="3">
        <v>43402</v>
      </c>
      <c r="I1390" s="4">
        <v>31933</v>
      </c>
    </row>
    <row r="1391" spans="1:9" x14ac:dyDescent="0.25">
      <c r="A1391" s="3">
        <v>43399</v>
      </c>
      <c r="B1391" s="4">
        <v>31937</v>
      </c>
      <c r="C1391" s="4">
        <v>31964</v>
      </c>
      <c r="D1391" s="4">
        <v>32213</v>
      </c>
      <c r="E1391" s="4">
        <v>31901</v>
      </c>
      <c r="F1391" s="4" t="str">
        <v>15.77K</v>
      </c>
      <c r="G1391" s="4" t="str">
        <v>0.24%</v>
      </c>
      <c r="H1391" s="3">
        <v>43399</v>
      </c>
      <c r="I1391" s="4">
        <v>32057</v>
      </c>
    </row>
    <row r="1392" spans="1:9" x14ac:dyDescent="0.25">
      <c r="A1392" s="3">
        <v>43398</v>
      </c>
      <c r="B1392" s="4">
        <v>31861</v>
      </c>
      <c r="C1392" s="4">
        <v>32114</v>
      </c>
      <c r="D1392" s="4">
        <v>32114</v>
      </c>
      <c r="E1392" s="4">
        <v>31841</v>
      </c>
      <c r="F1392" s="4" t="str">
        <v>11.68K</v>
      </c>
      <c r="G1392" s="4" t="str">
        <v>-0.16%</v>
      </c>
      <c r="H1392" s="3">
        <v>43398</v>
      </c>
      <c r="I1392" s="4">
        <v>31977.5</v>
      </c>
    </row>
    <row r="1393" spans="1:9" x14ac:dyDescent="0.25">
      <c r="A1393" s="3">
        <v>43397</v>
      </c>
      <c r="B1393" s="4">
        <v>31913</v>
      </c>
      <c r="C1393" s="4">
        <v>31970</v>
      </c>
      <c r="D1393" s="4">
        <v>32029</v>
      </c>
      <c r="E1393" s="4">
        <v>31785</v>
      </c>
      <c r="F1393" s="4" t="str">
        <v>10.65K</v>
      </c>
      <c r="G1393" s="4" t="str">
        <v>-0.47%</v>
      </c>
      <c r="H1393" s="3">
        <v>43397</v>
      </c>
      <c r="I1393" s="4">
        <v>31907</v>
      </c>
    </row>
    <row r="1394" spans="1:9" x14ac:dyDescent="0.25">
      <c r="A1394" s="3">
        <v>43396</v>
      </c>
      <c r="B1394" s="4">
        <v>32064</v>
      </c>
      <c r="C1394" s="4">
        <v>31965</v>
      </c>
      <c r="D1394" s="4">
        <v>32280</v>
      </c>
      <c r="E1394" s="4">
        <v>31958</v>
      </c>
      <c r="F1394" s="4" t="str">
        <v>13.04K</v>
      </c>
      <c r="G1394" s="4" t="str">
        <v>0.53%</v>
      </c>
      <c r="H1394" s="3">
        <v>43396</v>
      </c>
      <c r="I1394" s="4">
        <v>32119</v>
      </c>
    </row>
    <row r="1395" spans="1:9" x14ac:dyDescent="0.25">
      <c r="A1395" s="3">
        <v>43395</v>
      </c>
      <c r="B1395" s="4">
        <v>31894</v>
      </c>
      <c r="C1395" s="4">
        <v>31880</v>
      </c>
      <c r="D1395" s="4">
        <v>31916</v>
      </c>
      <c r="E1395" s="4">
        <v>31800</v>
      </c>
      <c r="F1395" s="4" t="str">
        <v>6.47K</v>
      </c>
      <c r="G1395" s="4" t="str">
        <v>-0.03%</v>
      </c>
      <c r="H1395" s="3">
        <v>43395</v>
      </c>
      <c r="I1395" s="4">
        <v>31858</v>
      </c>
    </row>
    <row r="1396" spans="1:9" x14ac:dyDescent="0.25">
      <c r="A1396" s="3">
        <v>43392</v>
      </c>
      <c r="B1396" s="4">
        <v>31902</v>
      </c>
      <c r="C1396" s="4">
        <v>32047</v>
      </c>
      <c r="D1396" s="4">
        <v>32047</v>
      </c>
      <c r="E1396" s="4">
        <v>31863</v>
      </c>
      <c r="F1396" s="4" t="str">
        <v>6.92K</v>
      </c>
      <c r="G1396" s="4" t="str">
        <v>-0.53%</v>
      </c>
      <c r="H1396" s="3">
        <v>43392</v>
      </c>
      <c r="I1396" s="4">
        <v>31955</v>
      </c>
    </row>
    <row r="1397" spans="1:9" x14ac:dyDescent="0.25">
      <c r="A1397" s="3">
        <v>43391</v>
      </c>
      <c r="B1397" s="4">
        <v>32072</v>
      </c>
      <c r="C1397" s="4">
        <v>31937</v>
      </c>
      <c r="D1397" s="4">
        <v>32097</v>
      </c>
      <c r="E1397" s="4">
        <v>31826</v>
      </c>
      <c r="F1397" s="4" t="str">
        <v>4.79K</v>
      </c>
      <c r="G1397" s="4" t="str">
        <v>0.66%</v>
      </c>
      <c r="H1397" s="3">
        <v>43391</v>
      </c>
      <c r="I1397" s="4">
        <v>31961.5</v>
      </c>
    </row>
    <row r="1398" spans="1:9" x14ac:dyDescent="0.25">
      <c r="A1398" s="3">
        <v>43390</v>
      </c>
      <c r="B1398" s="4">
        <v>31861</v>
      </c>
      <c r="C1398" s="4">
        <v>31834</v>
      </c>
      <c r="D1398" s="4">
        <v>32020</v>
      </c>
      <c r="E1398" s="4">
        <v>31783</v>
      </c>
      <c r="F1398" s="4" t="str">
        <v>8.24K</v>
      </c>
      <c r="G1398" s="4" t="str">
        <v>-0.02%</v>
      </c>
      <c r="H1398" s="3">
        <v>43390</v>
      </c>
      <c r="I1398" s="4">
        <v>31901.5</v>
      </c>
    </row>
    <row r="1399" spans="1:9" x14ac:dyDescent="0.25">
      <c r="A1399" s="3">
        <v>43389</v>
      </c>
      <c r="B1399" s="4">
        <v>31868</v>
      </c>
      <c r="C1399" s="4">
        <v>32072</v>
      </c>
      <c r="D1399" s="4">
        <v>32160</v>
      </c>
      <c r="E1399" s="4">
        <v>31851</v>
      </c>
      <c r="F1399" s="4" t="str">
        <v>9.90K</v>
      </c>
      <c r="G1399" s="4" t="str">
        <v>-0.62%</v>
      </c>
      <c r="H1399" s="3">
        <v>43389</v>
      </c>
      <c r="I1399" s="4">
        <v>32005.5</v>
      </c>
    </row>
    <row r="1400" spans="1:9" x14ac:dyDescent="0.25">
      <c r="A1400" s="3">
        <v>43388</v>
      </c>
      <c r="B1400" s="4">
        <v>32066</v>
      </c>
      <c r="C1400" s="4">
        <v>31900</v>
      </c>
      <c r="D1400" s="4">
        <v>32311</v>
      </c>
      <c r="E1400" s="4">
        <v>31831</v>
      </c>
      <c r="F1400" s="4" t="str">
        <v>12.86K</v>
      </c>
      <c r="G1400" s="4" t="str">
        <v>0.69%</v>
      </c>
      <c r="H1400" s="3">
        <v>43388</v>
      </c>
      <c r="I1400" s="4">
        <v>32071</v>
      </c>
    </row>
    <row r="1401" spans="1:9" x14ac:dyDescent="0.25">
      <c r="A1401" s="3">
        <v>43385</v>
      </c>
      <c r="B1401" s="4">
        <v>31846</v>
      </c>
      <c r="C1401" s="4">
        <v>31898</v>
      </c>
      <c r="D1401" s="4">
        <v>31898</v>
      </c>
      <c r="E1401" s="4">
        <v>31730</v>
      </c>
      <c r="F1401" s="4" t="str">
        <v>8.34K</v>
      </c>
      <c r="G1401" s="4" t="str">
        <v>-0.45%</v>
      </c>
      <c r="H1401" s="3">
        <v>43385</v>
      </c>
      <c r="I1401" s="4">
        <v>31814</v>
      </c>
    </row>
    <row r="1402" spans="1:9" x14ac:dyDescent="0.25">
      <c r="A1402" s="3">
        <v>43384</v>
      </c>
      <c r="B1402" s="4">
        <v>31991</v>
      </c>
      <c r="C1402" s="4">
        <v>31447</v>
      </c>
      <c r="D1402" s="4">
        <v>32014</v>
      </c>
      <c r="E1402" s="4">
        <v>31431</v>
      </c>
      <c r="F1402" s="4" t="str">
        <v>14.88K</v>
      </c>
      <c r="G1402" s="4" t="str">
        <v>1.94%</v>
      </c>
      <c r="H1402" s="3">
        <v>43384</v>
      </c>
      <c r="I1402" s="4">
        <v>31722.5</v>
      </c>
    </row>
    <row r="1403" spans="1:9" x14ac:dyDescent="0.25">
      <c r="A1403" s="3">
        <v>43383</v>
      </c>
      <c r="B1403" s="4">
        <v>31381</v>
      </c>
      <c r="C1403" s="4">
        <v>31366</v>
      </c>
      <c r="D1403" s="4">
        <v>31395</v>
      </c>
      <c r="E1403" s="4">
        <v>31267</v>
      </c>
      <c r="F1403" s="4" t="str">
        <v>6.28K</v>
      </c>
      <c r="G1403" s="4" t="str">
        <v>0.31%</v>
      </c>
      <c r="H1403" s="3">
        <v>43383</v>
      </c>
      <c r="I1403" s="4">
        <v>31331</v>
      </c>
    </row>
    <row r="1404" spans="1:9" x14ac:dyDescent="0.25">
      <c r="A1404" s="3">
        <v>43382</v>
      </c>
      <c r="B1404" s="4">
        <v>31283</v>
      </c>
      <c r="C1404" s="4">
        <v>31305</v>
      </c>
      <c r="D1404" s="4">
        <v>31400</v>
      </c>
      <c r="E1404" s="4">
        <v>31231</v>
      </c>
      <c r="F1404" s="4" t="str">
        <v>7.15K</v>
      </c>
      <c r="G1404" s="4" t="str">
        <v>0.20%</v>
      </c>
      <c r="H1404" s="3">
        <v>43382</v>
      </c>
      <c r="I1404" s="4">
        <v>31315.5</v>
      </c>
    </row>
    <row r="1405" spans="1:9" x14ac:dyDescent="0.25">
      <c r="A1405" s="3">
        <v>43381</v>
      </c>
      <c r="B1405" s="4">
        <v>31220</v>
      </c>
      <c r="C1405" s="4">
        <v>31531</v>
      </c>
      <c r="D1405" s="4">
        <v>31531</v>
      </c>
      <c r="E1405" s="4">
        <v>31202</v>
      </c>
      <c r="F1405" s="4" t="str">
        <v>9.59K</v>
      </c>
      <c r="G1405" s="4" t="str">
        <v>0.21%</v>
      </c>
      <c r="H1405" s="3">
        <v>43381</v>
      </c>
      <c r="I1405" s="4">
        <v>31366.5</v>
      </c>
    </row>
    <row r="1406" spans="1:9" x14ac:dyDescent="0.25">
      <c r="A1406" s="3">
        <v>43378</v>
      </c>
      <c r="B1406" s="4">
        <v>31154</v>
      </c>
      <c r="C1406" s="4">
        <v>30950</v>
      </c>
      <c r="D1406" s="4">
        <v>31429</v>
      </c>
      <c r="E1406" s="4">
        <v>30925</v>
      </c>
      <c r="F1406" s="4" t="str">
        <v>0.01K</v>
      </c>
      <c r="G1406" s="4" t="str">
        <v>0.08%</v>
      </c>
      <c r="H1406" s="3">
        <v>43378</v>
      </c>
      <c r="I1406" s="4">
        <v>31177</v>
      </c>
    </row>
    <row r="1407" spans="1:9" x14ac:dyDescent="0.25">
      <c r="A1407" s="3">
        <v>43377</v>
      </c>
      <c r="B1407" s="4">
        <v>31130</v>
      </c>
      <c r="C1407" s="4">
        <v>31053</v>
      </c>
      <c r="D1407" s="4">
        <v>31180</v>
      </c>
      <c r="E1407" s="4">
        <v>31000</v>
      </c>
      <c r="F1407" s="4" t="str">
        <v>0.03K</v>
      </c>
      <c r="G1407" s="4" t="str">
        <v>0.39%</v>
      </c>
      <c r="H1407" s="3">
        <v>43377</v>
      </c>
      <c r="I1407" s="4">
        <v>31090</v>
      </c>
    </row>
    <row r="1408" spans="1:9" x14ac:dyDescent="0.25">
      <c r="A1408" s="3">
        <v>43376</v>
      </c>
      <c r="B1408" s="4">
        <v>31009</v>
      </c>
      <c r="C1408" s="4">
        <v>31350</v>
      </c>
      <c r="D1408" s="4">
        <v>31350</v>
      </c>
      <c r="E1408" s="4">
        <v>30840</v>
      </c>
      <c r="F1408" s="4" t="str">
        <v>0.10K</v>
      </c>
      <c r="G1408" s="4" t="str">
        <v>1.36%</v>
      </c>
      <c r="H1408" s="3">
        <v>43376</v>
      </c>
      <c r="I1408" s="4">
        <v>31095</v>
      </c>
    </row>
    <row r="1409" spans="1:9" x14ac:dyDescent="0.25">
      <c r="A1409" s="3">
        <v>43374</v>
      </c>
      <c r="B1409" s="4">
        <v>30592</v>
      </c>
      <c r="C1409" s="4">
        <v>30501</v>
      </c>
      <c r="D1409" s="4">
        <v>30694</v>
      </c>
      <c r="E1409" s="4">
        <v>30370</v>
      </c>
      <c r="F1409" s="4" t="str">
        <v>0.86K</v>
      </c>
      <c r="G1409" s="4" t="str">
        <v>0.36%</v>
      </c>
      <c r="H1409" s="3">
        <v>43374</v>
      </c>
      <c r="I1409" s="4">
        <v>30532</v>
      </c>
    </row>
    <row r="1410" spans="1:9" x14ac:dyDescent="0.25">
      <c r="A1410" s="3">
        <v>43371</v>
      </c>
      <c r="B1410" s="4">
        <v>30481</v>
      </c>
      <c r="C1410" s="4">
        <v>30328</v>
      </c>
      <c r="D1410" s="4">
        <v>30520</v>
      </c>
      <c r="E1410" s="4">
        <v>30220</v>
      </c>
      <c r="F1410" s="4" t="str">
        <v>7.80K</v>
      </c>
      <c r="G1410" s="4" t="str">
        <v>0.52%</v>
      </c>
      <c r="H1410" s="3">
        <v>43371</v>
      </c>
      <c r="I1410" s="4">
        <v>30370</v>
      </c>
    </row>
    <row r="1411" spans="1:9" x14ac:dyDescent="0.25">
      <c r="A1411" s="3">
        <v>43370</v>
      </c>
      <c r="B1411" s="4">
        <v>30324</v>
      </c>
      <c r="C1411" s="4">
        <v>30635</v>
      </c>
      <c r="D1411" s="4">
        <v>30665</v>
      </c>
      <c r="E1411" s="4">
        <v>30300</v>
      </c>
      <c r="F1411" s="4" t="str">
        <v>10.22K</v>
      </c>
      <c r="G1411" s="4" t="str">
        <v>-0.88%</v>
      </c>
      <c r="H1411" s="3">
        <v>43370</v>
      </c>
      <c r="I1411" s="4">
        <v>30482.5</v>
      </c>
    </row>
    <row r="1412" spans="1:9" x14ac:dyDescent="0.25">
      <c r="A1412" s="3">
        <v>43369</v>
      </c>
      <c r="B1412" s="4">
        <v>30593</v>
      </c>
      <c r="C1412" s="4">
        <v>30800</v>
      </c>
      <c r="D1412" s="4">
        <v>30810</v>
      </c>
      <c r="E1412" s="4">
        <v>30567</v>
      </c>
      <c r="F1412" s="4" t="str">
        <v>10.01K</v>
      </c>
      <c r="G1412" s="4" t="str">
        <v>-0.73%</v>
      </c>
      <c r="H1412" s="3">
        <v>43369</v>
      </c>
      <c r="I1412" s="4">
        <v>30688.5</v>
      </c>
    </row>
    <row r="1413" spans="1:9" x14ac:dyDescent="0.25">
      <c r="A1413" s="3">
        <v>43368</v>
      </c>
      <c r="B1413" s="4">
        <v>30819</v>
      </c>
      <c r="C1413" s="4">
        <v>30797</v>
      </c>
      <c r="D1413" s="4">
        <v>30847</v>
      </c>
      <c r="E1413" s="4">
        <v>30730</v>
      </c>
      <c r="F1413" s="4" t="str">
        <v>8.81K</v>
      </c>
      <c r="G1413" s="4" t="str">
        <v>-0.07%</v>
      </c>
      <c r="H1413" s="3">
        <v>43368</v>
      </c>
      <c r="I1413" s="4">
        <v>30788.5</v>
      </c>
    </row>
    <row r="1414" spans="1:9" x14ac:dyDescent="0.25">
      <c r="A1414" s="3">
        <v>43367</v>
      </c>
      <c r="B1414" s="4">
        <v>30842</v>
      </c>
      <c r="C1414" s="4">
        <v>30613</v>
      </c>
      <c r="D1414" s="4">
        <v>30892</v>
      </c>
      <c r="E1414" s="4">
        <v>30595</v>
      </c>
      <c r="F1414" s="4" t="str">
        <v>9.00K</v>
      </c>
      <c r="G1414" s="4" t="str">
        <v>0.85%</v>
      </c>
      <c r="H1414" s="3">
        <v>43367</v>
      </c>
      <c r="I1414" s="4">
        <v>30743.5</v>
      </c>
    </row>
    <row r="1415" spans="1:9" x14ac:dyDescent="0.25">
      <c r="A1415" s="3">
        <v>43364</v>
      </c>
      <c r="B1415" s="4">
        <v>30582</v>
      </c>
      <c r="C1415" s="4">
        <v>30700</v>
      </c>
      <c r="D1415" s="4">
        <v>30904</v>
      </c>
      <c r="E1415" s="4">
        <v>30485</v>
      </c>
      <c r="F1415" s="4" t="str">
        <v>13.38K</v>
      </c>
      <c r="G1415" s="4" t="str">
        <v>-0.06%</v>
      </c>
      <c r="H1415" s="3">
        <v>43364</v>
      </c>
      <c r="I1415" s="4">
        <v>30694.5</v>
      </c>
    </row>
    <row r="1416" spans="1:9" x14ac:dyDescent="0.25">
      <c r="A1416" s="3">
        <v>43363</v>
      </c>
      <c r="B1416" s="4">
        <v>30599</v>
      </c>
      <c r="C1416" s="4">
        <v>30600</v>
      </c>
      <c r="D1416" s="4">
        <v>30670</v>
      </c>
      <c r="E1416" s="4">
        <v>30562</v>
      </c>
      <c r="F1416" s="4" t="str">
        <v>3.93K</v>
      </c>
      <c r="G1416" s="4" t="str">
        <v>-0.09%</v>
      </c>
      <c r="H1416" s="3">
        <v>43363</v>
      </c>
      <c r="I1416" s="4">
        <v>30616</v>
      </c>
    </row>
    <row r="1417" spans="1:9" x14ac:dyDescent="0.25">
      <c r="A1417" s="3">
        <v>43362</v>
      </c>
      <c r="B1417" s="4">
        <v>30627</v>
      </c>
      <c r="C1417" s="4">
        <v>30716</v>
      </c>
      <c r="D1417" s="4">
        <v>30928</v>
      </c>
      <c r="E1417" s="4">
        <v>30613</v>
      </c>
      <c r="F1417" s="4" t="str">
        <v>11.31K</v>
      </c>
      <c r="G1417" s="4" t="str">
        <v>-0.54%</v>
      </c>
      <c r="H1417" s="3">
        <v>43362</v>
      </c>
      <c r="I1417" s="4">
        <v>30770.5</v>
      </c>
    </row>
    <row r="1418" spans="1:9" x14ac:dyDescent="0.25">
      <c r="A1418" s="3">
        <v>43361</v>
      </c>
      <c r="B1418" s="4">
        <v>30793</v>
      </c>
      <c r="C1418" s="4">
        <v>30707</v>
      </c>
      <c r="D1418" s="4">
        <v>30928</v>
      </c>
      <c r="E1418" s="4">
        <v>30644</v>
      </c>
      <c r="F1418" s="4" t="str">
        <v>9.41K</v>
      </c>
      <c r="G1418" s="4" t="str">
        <v>0.06%</v>
      </c>
      <c r="H1418" s="3">
        <v>43361</v>
      </c>
      <c r="I1418" s="4">
        <v>30786</v>
      </c>
    </row>
    <row r="1419" spans="1:9" x14ac:dyDescent="0.25">
      <c r="A1419" s="3">
        <v>43360</v>
      </c>
      <c r="B1419" s="4">
        <v>30776</v>
      </c>
      <c r="C1419" s="4">
        <v>30558</v>
      </c>
      <c r="D1419" s="4">
        <v>30800</v>
      </c>
      <c r="E1419" s="4">
        <v>30558</v>
      </c>
      <c r="F1419" s="4" t="str">
        <v>11.69K</v>
      </c>
      <c r="G1419" s="4" t="str">
        <v>1.12%</v>
      </c>
      <c r="H1419" s="3">
        <v>43360</v>
      </c>
      <c r="I1419" s="4">
        <v>30679</v>
      </c>
    </row>
    <row r="1420" spans="1:9" x14ac:dyDescent="0.25">
      <c r="A1420" s="3">
        <v>43357</v>
      </c>
      <c r="B1420" s="4">
        <v>30436</v>
      </c>
      <c r="C1420" s="4">
        <v>30533</v>
      </c>
      <c r="D1420" s="4">
        <v>30637</v>
      </c>
      <c r="E1420" s="4">
        <v>30370</v>
      </c>
      <c r="F1420" s="4" t="str">
        <v>10.63K</v>
      </c>
      <c r="G1420" s="4" t="str">
        <v>-0.05%</v>
      </c>
      <c r="H1420" s="3">
        <v>43357</v>
      </c>
      <c r="I1420" s="4">
        <v>30503.5</v>
      </c>
    </row>
    <row r="1421" spans="1:9" x14ac:dyDescent="0.25">
      <c r="A1421" s="3">
        <v>43356</v>
      </c>
      <c r="B1421" s="4">
        <v>30450</v>
      </c>
      <c r="C1421" s="4">
        <v>30604</v>
      </c>
      <c r="D1421" s="4">
        <v>30679</v>
      </c>
      <c r="E1421" s="4">
        <v>30424</v>
      </c>
      <c r="F1421" s="4" t="str">
        <v>5.37K</v>
      </c>
      <c r="G1421" s="4" t="str">
        <v>-0.66%</v>
      </c>
      <c r="H1421" s="3">
        <v>43356</v>
      </c>
      <c r="I1421" s="4">
        <v>30551.5</v>
      </c>
    </row>
    <row r="1422" spans="1:9" x14ac:dyDescent="0.25">
      <c r="A1422" s="3">
        <v>43355</v>
      </c>
      <c r="B1422" s="4">
        <v>30651</v>
      </c>
      <c r="C1422" s="4">
        <v>30721</v>
      </c>
      <c r="D1422" s="4">
        <v>30765</v>
      </c>
      <c r="E1422" s="4">
        <v>30410</v>
      </c>
      <c r="F1422" s="4" t="str">
        <v>13.76K</v>
      </c>
      <c r="G1422" s="4" t="str">
        <v>-0.21%</v>
      </c>
      <c r="H1422" s="3">
        <v>43355</v>
      </c>
      <c r="I1422" s="4">
        <v>30587.5</v>
      </c>
    </row>
    <row r="1423" spans="1:9" x14ac:dyDescent="0.25">
      <c r="A1423" s="3">
        <v>43354</v>
      </c>
      <c r="B1423" s="4">
        <v>30717</v>
      </c>
      <c r="C1423" s="4">
        <v>30630</v>
      </c>
      <c r="D1423" s="4">
        <v>30738</v>
      </c>
      <c r="E1423" s="4">
        <v>30535</v>
      </c>
      <c r="F1423" s="4" t="str">
        <v>9.95K</v>
      </c>
      <c r="G1423" s="4" t="str">
        <v>0.01%</v>
      </c>
      <c r="H1423" s="3">
        <v>43354</v>
      </c>
      <c r="I1423" s="4">
        <v>30636.5</v>
      </c>
    </row>
    <row r="1424" spans="1:9" x14ac:dyDescent="0.25">
      <c r="A1424" s="3">
        <v>43353</v>
      </c>
      <c r="B1424" s="4">
        <v>30715</v>
      </c>
      <c r="C1424" s="4">
        <v>30569</v>
      </c>
      <c r="D1424" s="4">
        <v>30729</v>
      </c>
      <c r="E1424" s="4">
        <v>30495</v>
      </c>
      <c r="F1424" s="4" t="str">
        <v>8.72K</v>
      </c>
      <c r="G1424" s="4" t="str">
        <v>0.72%</v>
      </c>
      <c r="H1424" s="3">
        <v>43353</v>
      </c>
      <c r="I1424" s="4">
        <v>30612</v>
      </c>
    </row>
    <row r="1425" spans="1:9" x14ac:dyDescent="0.25">
      <c r="A1425" s="3">
        <v>43350</v>
      </c>
      <c r="B1425" s="4">
        <v>30494</v>
      </c>
      <c r="C1425" s="4">
        <v>30544</v>
      </c>
      <c r="D1425" s="4">
        <v>30544</v>
      </c>
      <c r="E1425" s="4">
        <v>30385</v>
      </c>
      <c r="F1425" s="4" t="str">
        <v>8.84K</v>
      </c>
      <c r="G1425" s="4" t="str">
        <v>-0.17%</v>
      </c>
      <c r="H1425" s="3">
        <v>43350</v>
      </c>
      <c r="I1425" s="4">
        <v>30464.5</v>
      </c>
    </row>
    <row r="1426" spans="1:9" x14ac:dyDescent="0.25">
      <c r="A1426" s="3">
        <v>43349</v>
      </c>
      <c r="B1426" s="4">
        <v>30547</v>
      </c>
      <c r="C1426" s="4">
        <v>30400</v>
      </c>
      <c r="D1426" s="4">
        <v>30700</v>
      </c>
      <c r="E1426" s="4">
        <v>30400</v>
      </c>
      <c r="F1426" s="4" t="str">
        <v>12.75K</v>
      </c>
      <c r="G1426" s="4" t="str">
        <v>0.77%</v>
      </c>
      <c r="H1426" s="3">
        <v>43349</v>
      </c>
      <c r="I1426" s="4">
        <v>30550</v>
      </c>
    </row>
    <row r="1427" spans="1:9" x14ac:dyDescent="0.25">
      <c r="A1427" s="3">
        <v>43348</v>
      </c>
      <c r="B1427" s="4">
        <v>30315</v>
      </c>
      <c r="C1427" s="4">
        <v>30219</v>
      </c>
      <c r="D1427" s="4">
        <v>30437</v>
      </c>
      <c r="E1427" s="4">
        <v>30219</v>
      </c>
      <c r="F1427" s="4" t="str">
        <v>8.71K</v>
      </c>
      <c r="G1427" s="4" t="str">
        <v>0.45%</v>
      </c>
      <c r="H1427" s="3">
        <v>43348</v>
      </c>
      <c r="I1427" s="4">
        <v>30328</v>
      </c>
    </row>
    <row r="1428" spans="1:9" x14ac:dyDescent="0.25">
      <c r="A1428" s="3">
        <v>43347</v>
      </c>
      <c r="B1428" s="4">
        <v>30178</v>
      </c>
      <c r="C1428" s="4">
        <v>30265</v>
      </c>
      <c r="D1428" s="4">
        <v>30298</v>
      </c>
      <c r="E1428" s="4">
        <v>30137</v>
      </c>
      <c r="F1428" s="4" t="str">
        <v>9.61K</v>
      </c>
      <c r="G1428" s="4" t="str">
        <v>-0.49%</v>
      </c>
      <c r="H1428" s="3">
        <v>43347</v>
      </c>
      <c r="I1428" s="4">
        <v>30217.5</v>
      </c>
    </row>
    <row r="1429" spans="1:9" x14ac:dyDescent="0.25">
      <c r="A1429" s="3">
        <v>43346</v>
      </c>
      <c r="B1429" s="4">
        <v>30327</v>
      </c>
      <c r="C1429" s="4">
        <v>30100</v>
      </c>
      <c r="D1429" s="4">
        <v>30347</v>
      </c>
      <c r="E1429" s="4">
        <v>30070</v>
      </c>
      <c r="F1429" s="4" t="str">
        <v>6.78K</v>
      </c>
      <c r="G1429" s="4" t="str">
        <v>0.66%</v>
      </c>
      <c r="H1429" s="3">
        <v>43346</v>
      </c>
      <c r="I1429" s="4">
        <v>30208.5</v>
      </c>
    </row>
    <row r="1430" spans="1:9" x14ac:dyDescent="0.25">
      <c r="A1430" s="3">
        <v>43343</v>
      </c>
      <c r="B1430" s="4">
        <v>30129</v>
      </c>
      <c r="C1430" s="4">
        <v>30294</v>
      </c>
      <c r="D1430" s="4">
        <v>30359</v>
      </c>
      <c r="E1430" s="4">
        <v>30110</v>
      </c>
      <c r="F1430" s="4" t="str">
        <v>10.13K</v>
      </c>
      <c r="G1430" s="4" t="str">
        <v>-0.14%</v>
      </c>
      <c r="H1430" s="3">
        <v>43343</v>
      </c>
      <c r="I1430" s="4">
        <v>30234.5</v>
      </c>
    </row>
    <row r="1431" spans="1:9" x14ac:dyDescent="0.25">
      <c r="A1431" s="3">
        <v>43342</v>
      </c>
      <c r="B1431" s="4">
        <v>30170</v>
      </c>
      <c r="C1431" s="4">
        <v>30151</v>
      </c>
      <c r="D1431" s="4">
        <v>30316</v>
      </c>
      <c r="E1431" s="4">
        <v>30110</v>
      </c>
      <c r="F1431" s="4" t="str">
        <v>9.35K</v>
      </c>
      <c r="G1431" s="4" t="str">
        <v>-0.06%</v>
      </c>
      <c r="H1431" s="3">
        <v>43342</v>
      </c>
      <c r="I1431" s="4">
        <v>30213</v>
      </c>
    </row>
    <row r="1432" spans="1:9" x14ac:dyDescent="0.25">
      <c r="A1432" s="3">
        <v>43341</v>
      </c>
      <c r="B1432" s="4">
        <v>30188</v>
      </c>
      <c r="C1432" s="4">
        <v>30004</v>
      </c>
      <c r="D1432" s="4">
        <v>30200</v>
      </c>
      <c r="E1432" s="4">
        <v>30003</v>
      </c>
      <c r="F1432" s="4" t="str">
        <v>7.96K</v>
      </c>
      <c r="G1432" s="4" t="str">
        <v>0.55%</v>
      </c>
      <c r="H1432" s="3">
        <v>43341</v>
      </c>
      <c r="I1432" s="4">
        <v>30101.5</v>
      </c>
    </row>
    <row r="1433" spans="1:9" x14ac:dyDescent="0.25">
      <c r="A1433" s="3">
        <v>43340</v>
      </c>
      <c r="B1433" s="4">
        <v>30024</v>
      </c>
      <c r="C1433" s="4">
        <v>30055</v>
      </c>
      <c r="D1433" s="4">
        <v>30210</v>
      </c>
      <c r="E1433" s="4">
        <v>30001</v>
      </c>
      <c r="F1433" s="4" t="str">
        <v>9.00K</v>
      </c>
      <c r="G1433" s="4" t="str">
        <v>0.07%</v>
      </c>
      <c r="H1433" s="3">
        <v>43340</v>
      </c>
      <c r="I1433" s="4">
        <v>30105.5</v>
      </c>
    </row>
    <row r="1434" spans="1:9" x14ac:dyDescent="0.25">
      <c r="A1434" s="3">
        <v>43339</v>
      </c>
      <c r="B1434" s="4">
        <v>30002</v>
      </c>
      <c r="C1434" s="4">
        <v>29910</v>
      </c>
      <c r="D1434" s="4">
        <v>30081</v>
      </c>
      <c r="E1434" s="4">
        <v>29883</v>
      </c>
      <c r="F1434" s="4" t="str">
        <v>6.68K</v>
      </c>
      <c r="G1434" s="4" t="str">
        <v>0.33%</v>
      </c>
      <c r="H1434" s="3">
        <v>43339</v>
      </c>
      <c r="I1434" s="4">
        <v>29982</v>
      </c>
    </row>
    <row r="1435" spans="1:9" x14ac:dyDescent="0.25">
      <c r="A1435" s="3">
        <v>43336</v>
      </c>
      <c r="B1435" s="4">
        <v>29903</v>
      </c>
      <c r="C1435" s="4">
        <v>29600</v>
      </c>
      <c r="D1435" s="4">
        <v>29967</v>
      </c>
      <c r="E1435" s="4">
        <v>29570</v>
      </c>
      <c r="F1435" s="4" t="str">
        <v>9.85K</v>
      </c>
      <c r="G1435" s="4" t="str">
        <v>1.00%</v>
      </c>
      <c r="H1435" s="3">
        <v>43336</v>
      </c>
      <c r="I1435" s="4">
        <v>29768.5</v>
      </c>
    </row>
    <row r="1436" spans="1:9" x14ac:dyDescent="0.25">
      <c r="A1436" s="3">
        <v>43335</v>
      </c>
      <c r="B1436" s="4">
        <v>29608</v>
      </c>
      <c r="C1436" s="4">
        <v>29628</v>
      </c>
      <c r="D1436" s="4">
        <v>29680</v>
      </c>
      <c r="E1436" s="4">
        <v>29540</v>
      </c>
      <c r="F1436" s="4" t="str">
        <v>7.26K</v>
      </c>
      <c r="G1436" s="4" t="str">
        <v>-0.24%</v>
      </c>
      <c r="H1436" s="3">
        <v>43335</v>
      </c>
      <c r="I1436" s="4">
        <v>29610</v>
      </c>
    </row>
    <row r="1437" spans="1:9" x14ac:dyDescent="0.25">
      <c r="A1437" s="3">
        <v>43334</v>
      </c>
      <c r="B1437" s="4">
        <v>29678</v>
      </c>
      <c r="C1437" s="4">
        <v>29700</v>
      </c>
      <c r="D1437" s="4">
        <v>29795</v>
      </c>
      <c r="E1437" s="4">
        <v>29636</v>
      </c>
      <c r="F1437" s="4" t="str">
        <v>4.74K</v>
      </c>
      <c r="G1437" s="4" t="str">
        <v>0.25%</v>
      </c>
      <c r="H1437" s="3">
        <v>43334</v>
      </c>
      <c r="I1437" s="4">
        <v>29715.5</v>
      </c>
    </row>
    <row r="1438" spans="1:9" x14ac:dyDescent="0.25">
      <c r="A1438" s="3">
        <v>43333</v>
      </c>
      <c r="B1438" s="4">
        <v>29605</v>
      </c>
      <c r="C1438" s="4">
        <v>29548</v>
      </c>
      <c r="D1438" s="4">
        <v>29627</v>
      </c>
      <c r="E1438" s="4">
        <v>29501</v>
      </c>
      <c r="F1438" s="4" t="str">
        <v>6.88K</v>
      </c>
      <c r="G1438" s="4" t="str">
        <v>0.37%</v>
      </c>
      <c r="H1438" s="3">
        <v>43333</v>
      </c>
      <c r="I1438" s="4">
        <v>29564</v>
      </c>
    </row>
    <row r="1439" spans="1:9" x14ac:dyDescent="0.25">
      <c r="A1439" s="3">
        <v>43332</v>
      </c>
      <c r="B1439" s="4">
        <v>29497</v>
      </c>
      <c r="C1439" s="4">
        <v>29465</v>
      </c>
      <c r="D1439" s="4">
        <v>29525</v>
      </c>
      <c r="E1439" s="4">
        <v>29423</v>
      </c>
      <c r="F1439" s="4" t="str">
        <v>5.91K</v>
      </c>
      <c r="G1439" s="4" t="str">
        <v>0.50%</v>
      </c>
      <c r="H1439" s="3">
        <v>43332</v>
      </c>
      <c r="I1439" s="4">
        <v>29474</v>
      </c>
    </row>
    <row r="1440" spans="1:9" x14ac:dyDescent="0.25">
      <c r="A1440" s="3">
        <v>43329</v>
      </c>
      <c r="B1440" s="4">
        <v>29349</v>
      </c>
      <c r="C1440" s="4">
        <v>29330</v>
      </c>
      <c r="D1440" s="4">
        <v>29451</v>
      </c>
      <c r="E1440" s="4">
        <v>29268</v>
      </c>
      <c r="F1440" s="4" t="str">
        <v>6.59K</v>
      </c>
      <c r="G1440" s="4" t="str">
        <v>0.06%</v>
      </c>
      <c r="H1440" s="3">
        <v>43329</v>
      </c>
      <c r="I1440" s="4">
        <v>29359.5</v>
      </c>
    </row>
    <row r="1441" spans="1:9" x14ac:dyDescent="0.25">
      <c r="A1441" s="3">
        <v>43328</v>
      </c>
      <c r="B1441" s="4">
        <v>29330</v>
      </c>
      <c r="C1441" s="4">
        <v>29600</v>
      </c>
      <c r="D1441" s="4">
        <v>29600</v>
      </c>
      <c r="E1441" s="4">
        <v>29283</v>
      </c>
      <c r="F1441" s="4" t="str">
        <v>10.98K</v>
      </c>
      <c r="G1441" s="4" t="str">
        <v>-1.36%</v>
      </c>
      <c r="H1441" s="3">
        <v>43328</v>
      </c>
      <c r="I1441" s="4">
        <v>29441.5</v>
      </c>
    </row>
    <row r="1442" spans="1:9" x14ac:dyDescent="0.25">
      <c r="A1442" s="3">
        <v>43326</v>
      </c>
      <c r="B1442" s="4">
        <v>29735</v>
      </c>
      <c r="C1442" s="4">
        <v>29700</v>
      </c>
      <c r="D1442" s="4">
        <v>29817</v>
      </c>
      <c r="E1442" s="4">
        <v>29640</v>
      </c>
      <c r="F1442" s="4" t="str">
        <v>6.15K</v>
      </c>
      <c r="G1442" s="4" t="str">
        <v>0.03%</v>
      </c>
      <c r="H1442" s="3">
        <v>43326</v>
      </c>
      <c r="I1442" s="4">
        <v>29728.5</v>
      </c>
    </row>
    <row r="1443" spans="1:9" x14ac:dyDescent="0.25">
      <c r="A1443" s="3">
        <v>43325</v>
      </c>
      <c r="B1443" s="4">
        <v>29725</v>
      </c>
      <c r="C1443" s="4">
        <v>29826</v>
      </c>
      <c r="D1443" s="4">
        <v>29893</v>
      </c>
      <c r="E1443" s="4">
        <v>29705</v>
      </c>
      <c r="F1443" s="4" t="str">
        <v>8.96K</v>
      </c>
      <c r="G1443" s="4" t="str">
        <v>-0.19%</v>
      </c>
      <c r="H1443" s="3">
        <v>43325</v>
      </c>
      <c r="I1443" s="4">
        <v>29799</v>
      </c>
    </row>
    <row r="1444" spans="1:9" x14ac:dyDescent="0.25">
      <c r="A1444" s="3">
        <v>43322</v>
      </c>
      <c r="B1444" s="4">
        <v>29783</v>
      </c>
      <c r="C1444" s="4">
        <v>29696</v>
      </c>
      <c r="D1444" s="4">
        <v>29815</v>
      </c>
      <c r="E1444" s="4">
        <v>29602</v>
      </c>
      <c r="F1444" s="4" t="str">
        <v>7.34K</v>
      </c>
      <c r="G1444" s="4" t="str">
        <v>0.39%</v>
      </c>
      <c r="H1444" s="3">
        <v>43322</v>
      </c>
      <c r="I1444" s="4">
        <v>29708.5</v>
      </c>
    </row>
    <row r="1445" spans="1:9" x14ac:dyDescent="0.25">
      <c r="A1445" s="3">
        <v>43321</v>
      </c>
      <c r="B1445" s="4">
        <v>29668</v>
      </c>
      <c r="C1445" s="4">
        <v>29640</v>
      </c>
      <c r="D1445" s="4">
        <v>29734</v>
      </c>
      <c r="E1445" s="4">
        <v>29585</v>
      </c>
      <c r="F1445" s="4" t="str">
        <v>5.71K</v>
      </c>
      <c r="G1445" s="4" t="str">
        <v>0.20%</v>
      </c>
      <c r="H1445" s="3">
        <v>43321</v>
      </c>
      <c r="I1445" s="4">
        <v>29659.5</v>
      </c>
    </row>
    <row r="1446" spans="1:9" x14ac:dyDescent="0.25">
      <c r="A1446" s="3">
        <v>43320</v>
      </c>
      <c r="B1446" s="4">
        <v>29610</v>
      </c>
      <c r="C1446" s="4">
        <v>29626</v>
      </c>
      <c r="D1446" s="4">
        <v>29694</v>
      </c>
      <c r="E1446" s="4">
        <v>29546</v>
      </c>
      <c r="F1446" s="4" t="str">
        <v>6.90K</v>
      </c>
      <c r="G1446" s="4" t="str">
        <v>0.04%</v>
      </c>
      <c r="H1446" s="3">
        <v>43320</v>
      </c>
      <c r="I1446" s="4">
        <v>29620</v>
      </c>
    </row>
    <row r="1447" spans="1:9" x14ac:dyDescent="0.25">
      <c r="A1447" s="3">
        <v>43319</v>
      </c>
      <c r="B1447" s="4">
        <v>29597</v>
      </c>
      <c r="C1447" s="4">
        <v>29668</v>
      </c>
      <c r="D1447" s="4">
        <v>29734</v>
      </c>
      <c r="E1447" s="4">
        <v>29585</v>
      </c>
      <c r="F1447" s="4" t="str">
        <v>5.90K</v>
      </c>
      <c r="G1447" s="4" t="str">
        <v>-0.11%</v>
      </c>
      <c r="H1447" s="3">
        <v>43319</v>
      </c>
      <c r="I1447" s="4">
        <v>29659.5</v>
      </c>
    </row>
    <row r="1448" spans="1:9" x14ac:dyDescent="0.25">
      <c r="A1448" s="3">
        <v>43318</v>
      </c>
      <c r="B1448" s="4">
        <v>29629</v>
      </c>
      <c r="C1448" s="4">
        <v>29690</v>
      </c>
      <c r="D1448" s="4">
        <v>29697</v>
      </c>
      <c r="E1448" s="4">
        <v>29610</v>
      </c>
      <c r="F1448" s="4" t="str">
        <v>4.24K</v>
      </c>
      <c r="G1448" s="4" t="str">
        <v>0.48%</v>
      </c>
      <c r="H1448" s="3">
        <v>43318</v>
      </c>
      <c r="I1448" s="4">
        <v>29653.5</v>
      </c>
    </row>
    <row r="1449" spans="1:9" x14ac:dyDescent="0.25">
      <c r="A1449" s="3">
        <v>43315</v>
      </c>
      <c r="B1449" s="4">
        <v>29486</v>
      </c>
      <c r="C1449" s="4">
        <v>29411</v>
      </c>
      <c r="D1449" s="4">
        <v>29900</v>
      </c>
      <c r="E1449" s="4">
        <v>29400</v>
      </c>
      <c r="F1449" s="4" t="str">
        <v>0.01K</v>
      </c>
      <c r="G1449" s="4" t="str">
        <v>-0.00%</v>
      </c>
      <c r="H1449" s="3">
        <v>43315</v>
      </c>
      <c r="I1449" s="4">
        <v>29650</v>
      </c>
    </row>
    <row r="1450" spans="1:9" x14ac:dyDescent="0.25">
      <c r="A1450" s="3">
        <v>43314</v>
      </c>
      <c r="B1450" s="4">
        <v>29487</v>
      </c>
      <c r="C1450" s="4">
        <v>29480</v>
      </c>
      <c r="D1450" s="4">
        <v>29565</v>
      </c>
      <c r="E1450" s="4">
        <v>29451</v>
      </c>
      <c r="F1450" s="4" t="str">
        <v>0.13K</v>
      </c>
      <c r="G1450" s="4" t="str">
        <v>0.22%</v>
      </c>
      <c r="H1450" s="3">
        <v>43314</v>
      </c>
      <c r="I1450" s="4">
        <v>29508</v>
      </c>
    </row>
    <row r="1451" spans="1:9" x14ac:dyDescent="0.25">
      <c r="A1451" s="3">
        <v>43313</v>
      </c>
      <c r="B1451" s="4">
        <v>29422</v>
      </c>
      <c r="C1451" s="4">
        <v>29615</v>
      </c>
      <c r="D1451" s="4">
        <v>29670</v>
      </c>
      <c r="E1451" s="4">
        <v>29369</v>
      </c>
      <c r="F1451" s="4" t="str">
        <v>0.62K</v>
      </c>
      <c r="G1451" s="4" t="str">
        <v>-0.78%</v>
      </c>
      <c r="H1451" s="3">
        <v>43313</v>
      </c>
      <c r="I1451" s="4">
        <v>29519.5</v>
      </c>
    </row>
    <row r="1452" spans="1:9" x14ac:dyDescent="0.25">
      <c r="A1452" s="3">
        <v>43312</v>
      </c>
      <c r="B1452" s="4">
        <v>29653</v>
      </c>
      <c r="C1452" s="4">
        <v>29705</v>
      </c>
      <c r="D1452" s="4">
        <v>29726</v>
      </c>
      <c r="E1452" s="4">
        <v>29565</v>
      </c>
      <c r="F1452" s="4" t="str">
        <v>5.42K</v>
      </c>
      <c r="G1452" s="4" t="str">
        <v>-0.31%</v>
      </c>
      <c r="H1452" s="3">
        <v>43312</v>
      </c>
      <c r="I1452" s="4">
        <v>29645.5</v>
      </c>
    </row>
    <row r="1453" spans="1:9" x14ac:dyDescent="0.25">
      <c r="A1453" s="3">
        <v>43311</v>
      </c>
      <c r="B1453" s="4">
        <v>29745</v>
      </c>
      <c r="C1453" s="4">
        <v>29705</v>
      </c>
      <c r="D1453" s="4">
        <v>29792</v>
      </c>
      <c r="E1453" s="4">
        <v>29687</v>
      </c>
      <c r="F1453" s="4" t="str">
        <v>4.54K</v>
      </c>
      <c r="G1453" s="4" t="str">
        <v>-0.12%</v>
      </c>
      <c r="H1453" s="3">
        <v>43311</v>
      </c>
      <c r="I1453" s="4">
        <v>29739.5</v>
      </c>
    </row>
    <row r="1454" spans="1:9" x14ac:dyDescent="0.25">
      <c r="A1454" s="3">
        <v>43308</v>
      </c>
      <c r="B1454" s="4">
        <v>29780</v>
      </c>
      <c r="C1454" s="4">
        <v>29750</v>
      </c>
      <c r="D1454" s="4">
        <v>29825</v>
      </c>
      <c r="E1454" s="4">
        <v>29652</v>
      </c>
      <c r="F1454" s="4" t="str">
        <v>7.37K</v>
      </c>
      <c r="G1454" s="4" t="str">
        <v>-0.03%</v>
      </c>
      <c r="H1454" s="3">
        <v>43308</v>
      </c>
      <c r="I1454" s="4">
        <v>29738.5</v>
      </c>
    </row>
    <row r="1455" spans="1:9" x14ac:dyDescent="0.25">
      <c r="A1455" s="3">
        <v>43307</v>
      </c>
      <c r="B1455" s="4">
        <v>29788</v>
      </c>
      <c r="C1455" s="4">
        <v>29841</v>
      </c>
      <c r="D1455" s="4">
        <v>29904</v>
      </c>
      <c r="E1455" s="4">
        <v>29771</v>
      </c>
      <c r="F1455" s="4" t="str">
        <v>6.16K</v>
      </c>
      <c r="G1455" s="4" t="str">
        <v>-0.42%</v>
      </c>
      <c r="H1455" s="3">
        <v>43307</v>
      </c>
      <c r="I1455" s="4">
        <v>29837.5</v>
      </c>
    </row>
    <row r="1456" spans="1:9" x14ac:dyDescent="0.25">
      <c r="A1456" s="3">
        <v>43306</v>
      </c>
      <c r="B1456" s="4">
        <v>29915</v>
      </c>
      <c r="C1456" s="4">
        <v>29811</v>
      </c>
      <c r="D1456" s="4">
        <v>29988</v>
      </c>
      <c r="E1456" s="4">
        <v>29791</v>
      </c>
      <c r="F1456" s="4" t="str">
        <v>7.27K</v>
      </c>
      <c r="G1456" s="4" t="str">
        <v>0.17%</v>
      </c>
      <c r="H1456" s="3">
        <v>43306</v>
      </c>
      <c r="I1456" s="4">
        <v>29889.5</v>
      </c>
    </row>
    <row r="1457" spans="1:9" x14ac:dyDescent="0.25">
      <c r="A1457" s="3">
        <v>43305</v>
      </c>
      <c r="B1457" s="4">
        <v>29863</v>
      </c>
      <c r="C1457" s="4">
        <v>29845</v>
      </c>
      <c r="D1457" s="4">
        <v>29932</v>
      </c>
      <c r="E1457" s="4">
        <v>29731</v>
      </c>
      <c r="F1457" s="4" t="str">
        <v>6.92K</v>
      </c>
      <c r="G1457" s="4" t="str">
        <v>-0.03%</v>
      </c>
      <c r="H1457" s="3">
        <v>43305</v>
      </c>
      <c r="I1457" s="4">
        <v>29831.5</v>
      </c>
    </row>
    <row r="1458" spans="1:9" x14ac:dyDescent="0.25">
      <c r="A1458" s="3">
        <v>43304</v>
      </c>
      <c r="B1458" s="4">
        <v>29872</v>
      </c>
      <c r="C1458" s="4">
        <v>29921</v>
      </c>
      <c r="D1458" s="4">
        <v>29984</v>
      </c>
      <c r="E1458" s="4">
        <v>29825</v>
      </c>
      <c r="F1458" s="4" t="str">
        <v>6.58K</v>
      </c>
      <c r="G1458" s="4" t="str">
        <v>-0.16%</v>
      </c>
      <c r="H1458" s="3">
        <v>43304</v>
      </c>
      <c r="I1458" s="4">
        <v>29904.5</v>
      </c>
    </row>
    <row r="1459" spans="1:9" x14ac:dyDescent="0.25">
      <c r="A1459" s="3">
        <v>43301</v>
      </c>
      <c r="B1459" s="4">
        <v>29920</v>
      </c>
      <c r="C1459" s="4">
        <v>29800</v>
      </c>
      <c r="D1459" s="4">
        <v>29960</v>
      </c>
      <c r="E1459" s="4">
        <v>29733</v>
      </c>
      <c r="F1459" s="4" t="str">
        <v>5.60K</v>
      </c>
      <c r="G1459" s="4" t="str">
        <v>0.12%</v>
      </c>
      <c r="H1459" s="3">
        <v>43301</v>
      </c>
      <c r="I1459" s="4">
        <v>29846.5</v>
      </c>
    </row>
    <row r="1460" spans="1:9" x14ac:dyDescent="0.25">
      <c r="A1460" s="3">
        <v>43300</v>
      </c>
      <c r="B1460" s="4">
        <v>29885</v>
      </c>
      <c r="C1460" s="4">
        <v>29800</v>
      </c>
      <c r="D1460" s="4">
        <v>29945</v>
      </c>
      <c r="E1460" s="4">
        <v>29658</v>
      </c>
      <c r="F1460" s="4" t="str">
        <v>7.32K</v>
      </c>
      <c r="G1460" s="4" t="str">
        <v>0.40%</v>
      </c>
      <c r="H1460" s="3">
        <v>43300</v>
      </c>
      <c r="I1460" s="4">
        <v>29801.5</v>
      </c>
    </row>
    <row r="1461" spans="1:9" x14ac:dyDescent="0.25">
      <c r="A1461" s="3">
        <v>43299</v>
      </c>
      <c r="B1461" s="4">
        <v>29766</v>
      </c>
      <c r="C1461" s="4">
        <v>29751</v>
      </c>
      <c r="D1461" s="4">
        <v>29780</v>
      </c>
      <c r="E1461" s="4">
        <v>29638</v>
      </c>
      <c r="F1461" s="4" t="str">
        <v>7.03K</v>
      </c>
      <c r="G1461" s="4" t="str">
        <v>0.12%</v>
      </c>
      <c r="H1461" s="3">
        <v>43299</v>
      </c>
      <c r="I1461" s="4">
        <v>29709</v>
      </c>
    </row>
    <row r="1462" spans="1:9" x14ac:dyDescent="0.25">
      <c r="A1462" s="3">
        <v>43298</v>
      </c>
      <c r="B1462" s="4">
        <v>29729</v>
      </c>
      <c r="C1462" s="4">
        <v>30019</v>
      </c>
      <c r="D1462" s="4">
        <v>30087</v>
      </c>
      <c r="E1462" s="4">
        <v>29701</v>
      </c>
      <c r="F1462" s="4" t="str">
        <v>8.38K</v>
      </c>
      <c r="G1462" s="4" t="str">
        <v>-1.17%</v>
      </c>
      <c r="H1462" s="3">
        <v>43298</v>
      </c>
      <c r="I1462" s="4">
        <v>29894</v>
      </c>
    </row>
    <row r="1463" spans="1:9" x14ac:dyDescent="0.25">
      <c r="A1463" s="3">
        <v>43297</v>
      </c>
      <c r="B1463" s="4">
        <v>30080</v>
      </c>
      <c r="C1463" s="4">
        <v>30177</v>
      </c>
      <c r="D1463" s="4">
        <v>30225</v>
      </c>
      <c r="E1463" s="4">
        <v>30060</v>
      </c>
      <c r="F1463" s="4" t="str">
        <v>4.81K</v>
      </c>
      <c r="G1463" s="4" t="str">
        <v>-0.08%</v>
      </c>
      <c r="H1463" s="3">
        <v>43297</v>
      </c>
      <c r="I1463" s="4">
        <v>30142.5</v>
      </c>
    </row>
    <row r="1464" spans="1:9" x14ac:dyDescent="0.25">
      <c r="A1464" s="3">
        <v>43294</v>
      </c>
      <c r="B1464" s="4">
        <v>30105</v>
      </c>
      <c r="C1464" s="4">
        <v>30146</v>
      </c>
      <c r="D1464" s="4">
        <v>30183</v>
      </c>
      <c r="E1464" s="4">
        <v>30014</v>
      </c>
      <c r="F1464" s="4" t="str">
        <v>6.46K</v>
      </c>
      <c r="G1464" s="4" t="str">
        <v>-0.14%</v>
      </c>
      <c r="H1464" s="3">
        <v>43294</v>
      </c>
      <c r="I1464" s="4">
        <v>30098.5</v>
      </c>
    </row>
    <row r="1465" spans="1:9" x14ac:dyDescent="0.25">
      <c r="A1465" s="3">
        <v>43293</v>
      </c>
      <c r="B1465" s="4">
        <v>30147</v>
      </c>
      <c r="C1465" s="4">
        <v>30240</v>
      </c>
      <c r="D1465" s="4">
        <v>30290</v>
      </c>
      <c r="E1465" s="4">
        <v>30137</v>
      </c>
      <c r="F1465" s="4" t="str">
        <v>6.41K</v>
      </c>
      <c r="G1465" s="4" t="str">
        <v>-0.54%</v>
      </c>
      <c r="H1465" s="3">
        <v>43293</v>
      </c>
      <c r="I1465" s="4">
        <v>30213.5</v>
      </c>
    </row>
    <row r="1466" spans="1:9" x14ac:dyDescent="0.25">
      <c r="A1466" s="3">
        <v>43292</v>
      </c>
      <c r="B1466" s="4">
        <v>30310</v>
      </c>
      <c r="C1466" s="4">
        <v>30479</v>
      </c>
      <c r="D1466" s="4">
        <v>30515</v>
      </c>
      <c r="E1466" s="4">
        <v>30291</v>
      </c>
      <c r="F1466" s="4" t="str">
        <v>5.49K</v>
      </c>
      <c r="G1466" s="4" t="str">
        <v>-0.71%</v>
      </c>
      <c r="H1466" s="3">
        <v>43292</v>
      </c>
      <c r="I1466" s="4">
        <v>30403</v>
      </c>
    </row>
    <row r="1467" spans="1:9" x14ac:dyDescent="0.25">
      <c r="A1467" s="3">
        <v>43291</v>
      </c>
      <c r="B1467" s="4">
        <v>30528</v>
      </c>
      <c r="C1467" s="4">
        <v>30650</v>
      </c>
      <c r="D1467" s="4">
        <v>30655</v>
      </c>
      <c r="E1467" s="4">
        <v>30404</v>
      </c>
      <c r="F1467" s="4" t="str">
        <v>7.19K</v>
      </c>
      <c r="G1467" s="4" t="str">
        <v>-0.29%</v>
      </c>
      <c r="H1467" s="3">
        <v>43291</v>
      </c>
      <c r="I1467" s="4">
        <v>30529.5</v>
      </c>
    </row>
    <row r="1468" spans="1:9" x14ac:dyDescent="0.25">
      <c r="A1468" s="3">
        <v>43290</v>
      </c>
      <c r="B1468" s="4">
        <v>30617</v>
      </c>
      <c r="C1468" s="4">
        <v>30611</v>
      </c>
      <c r="D1468" s="4">
        <v>30778</v>
      </c>
      <c r="E1468" s="4">
        <v>30600</v>
      </c>
      <c r="F1468" s="4" t="str">
        <v>6.68K</v>
      </c>
      <c r="G1468" s="4" t="str">
        <v>0.19%</v>
      </c>
      <c r="H1468" s="3">
        <v>43290</v>
      </c>
      <c r="I1468" s="4">
        <v>30689</v>
      </c>
    </row>
    <row r="1469" spans="1:9" x14ac:dyDescent="0.25">
      <c r="A1469" s="3">
        <v>43287</v>
      </c>
      <c r="B1469" s="4">
        <v>30560</v>
      </c>
      <c r="C1469" s="4">
        <v>30737</v>
      </c>
      <c r="D1469" s="4">
        <v>30737</v>
      </c>
      <c r="E1469" s="4">
        <v>30546</v>
      </c>
      <c r="F1469" s="4" t="str">
        <v>4.71K</v>
      </c>
      <c r="G1469" s="4" t="str">
        <v>-0.29%</v>
      </c>
      <c r="H1469" s="3">
        <v>43287</v>
      </c>
      <c r="I1469" s="4">
        <v>30641.5</v>
      </c>
    </row>
    <row r="1470" spans="1:9" x14ac:dyDescent="0.25">
      <c r="A1470" s="3">
        <v>43286</v>
      </c>
      <c r="B1470" s="4">
        <v>30650</v>
      </c>
      <c r="C1470" s="4">
        <v>30617</v>
      </c>
      <c r="D1470" s="4">
        <v>30718</v>
      </c>
      <c r="E1470" s="4">
        <v>30545</v>
      </c>
      <c r="F1470" s="4" t="str">
        <v>6.09K</v>
      </c>
      <c r="G1470" s="4" t="str">
        <v>0.12%</v>
      </c>
      <c r="H1470" s="3">
        <v>43286</v>
      </c>
      <c r="I1470" s="4">
        <v>30631.5</v>
      </c>
    </row>
    <row r="1471" spans="1:9" x14ac:dyDescent="0.25">
      <c r="A1471" s="3">
        <v>43285</v>
      </c>
      <c r="B1471" s="4">
        <v>30614</v>
      </c>
      <c r="C1471" s="4">
        <v>30561</v>
      </c>
      <c r="D1471" s="4">
        <v>30650</v>
      </c>
      <c r="E1471" s="4">
        <v>30531</v>
      </c>
      <c r="F1471" s="4" t="str">
        <v>4.97K</v>
      </c>
      <c r="G1471" s="4" t="str">
        <v>0.40%</v>
      </c>
      <c r="H1471" s="3">
        <v>43285</v>
      </c>
      <c r="I1471" s="4">
        <v>30590.5</v>
      </c>
    </row>
    <row r="1472" spans="1:9" x14ac:dyDescent="0.25">
      <c r="A1472" s="3">
        <v>43284</v>
      </c>
      <c r="B1472" s="4">
        <v>30493</v>
      </c>
      <c r="C1472" s="4">
        <v>30321</v>
      </c>
      <c r="D1472" s="4">
        <v>30573</v>
      </c>
      <c r="E1472" s="4">
        <v>30244</v>
      </c>
      <c r="F1472" s="4" t="str">
        <v>8.76K</v>
      </c>
      <c r="G1472" s="4" t="str">
        <v>0.67%</v>
      </c>
      <c r="H1472" s="3">
        <v>43284</v>
      </c>
      <c r="I1472" s="4">
        <v>30408.5</v>
      </c>
    </row>
    <row r="1473" spans="1:9" x14ac:dyDescent="0.25">
      <c r="A1473" s="3">
        <v>43283</v>
      </c>
      <c r="B1473" s="4">
        <v>30289</v>
      </c>
      <c r="C1473" s="4">
        <v>30399</v>
      </c>
      <c r="D1473" s="4">
        <v>30518</v>
      </c>
      <c r="E1473" s="4">
        <v>30270</v>
      </c>
      <c r="F1473" s="4" t="str">
        <v>7.10K</v>
      </c>
      <c r="G1473" s="4" t="str">
        <v>-0.47%</v>
      </c>
      <c r="H1473" s="3">
        <v>43283</v>
      </c>
      <c r="I1473" s="4">
        <v>30394</v>
      </c>
    </row>
    <row r="1474" spans="1:9" x14ac:dyDescent="0.25">
      <c r="A1474" s="3">
        <v>43280</v>
      </c>
      <c r="B1474" s="4">
        <v>30432</v>
      </c>
      <c r="C1474" s="4">
        <v>30460</v>
      </c>
      <c r="D1474" s="4">
        <v>30505</v>
      </c>
      <c r="E1474" s="4">
        <v>30356</v>
      </c>
      <c r="F1474" s="4" t="str">
        <v>7.64K</v>
      </c>
      <c r="G1474" s="4" t="str">
        <v>-0.25%</v>
      </c>
      <c r="H1474" s="3">
        <v>43280</v>
      </c>
      <c r="I1474" s="4">
        <v>30430.5</v>
      </c>
    </row>
    <row r="1475" spans="1:9" x14ac:dyDescent="0.25">
      <c r="A1475" s="3">
        <v>43279</v>
      </c>
      <c r="B1475" s="4">
        <v>30508</v>
      </c>
      <c r="C1475" s="4">
        <v>30669</v>
      </c>
      <c r="D1475" s="4">
        <v>30689</v>
      </c>
      <c r="E1475" s="4">
        <v>30475</v>
      </c>
      <c r="F1475" s="4" t="str">
        <v>6.58K</v>
      </c>
      <c r="G1475" s="4" t="str">
        <v>-0.61%</v>
      </c>
      <c r="H1475" s="3">
        <v>43279</v>
      </c>
      <c r="I1475" s="4">
        <v>30582</v>
      </c>
    </row>
    <row r="1476" spans="1:9" x14ac:dyDescent="0.25">
      <c r="A1476" s="3">
        <v>43278</v>
      </c>
      <c r="B1476" s="4">
        <v>30695</v>
      </c>
      <c r="C1476" s="4">
        <v>30530</v>
      </c>
      <c r="D1476" s="4">
        <v>30720</v>
      </c>
      <c r="E1476" s="4">
        <v>30516</v>
      </c>
      <c r="F1476" s="4" t="str">
        <v>7.86K</v>
      </c>
      <c r="G1476" s="4" t="str">
        <v>0.46%</v>
      </c>
      <c r="H1476" s="3">
        <v>43278</v>
      </c>
      <c r="I1476" s="4">
        <v>30618</v>
      </c>
    </row>
    <row r="1477" spans="1:9" x14ac:dyDescent="0.25">
      <c r="A1477" s="3">
        <v>43277</v>
      </c>
      <c r="B1477" s="4">
        <v>30554</v>
      </c>
      <c r="C1477" s="4">
        <v>30628</v>
      </c>
      <c r="D1477" s="4">
        <v>30641</v>
      </c>
      <c r="E1477" s="4">
        <v>30452</v>
      </c>
      <c r="F1477" s="4" t="str">
        <v>7.40K</v>
      </c>
      <c r="G1477" s="4" t="str">
        <v>-0.34%</v>
      </c>
      <c r="H1477" s="3">
        <v>43277</v>
      </c>
      <c r="I1477" s="4">
        <v>30546.5</v>
      </c>
    </row>
    <row r="1478" spans="1:9" x14ac:dyDescent="0.25">
      <c r="A1478" s="3">
        <v>43276</v>
      </c>
      <c r="B1478" s="4">
        <v>30657</v>
      </c>
      <c r="C1478" s="4">
        <v>30655</v>
      </c>
      <c r="D1478" s="4">
        <v>30738</v>
      </c>
      <c r="E1478" s="4">
        <v>30621</v>
      </c>
      <c r="F1478" s="4" t="str">
        <v>5.02K</v>
      </c>
      <c r="G1478" s="4" t="str">
        <v>0.15%</v>
      </c>
      <c r="H1478" s="3">
        <v>43276</v>
      </c>
      <c r="I1478" s="4">
        <v>30679.5</v>
      </c>
    </row>
    <row r="1479" spans="1:9" x14ac:dyDescent="0.25">
      <c r="A1479" s="3">
        <v>43273</v>
      </c>
      <c r="B1479" s="4">
        <v>30610</v>
      </c>
      <c r="C1479" s="4">
        <v>30567</v>
      </c>
      <c r="D1479" s="4">
        <v>30656</v>
      </c>
      <c r="E1479" s="4">
        <v>30551</v>
      </c>
      <c r="F1479" s="4" t="str">
        <v>5.74K</v>
      </c>
      <c r="G1479" s="4" t="str">
        <v>-0.02%</v>
      </c>
      <c r="H1479" s="3">
        <v>43273</v>
      </c>
      <c r="I1479" s="4">
        <v>30603.5</v>
      </c>
    </row>
    <row r="1480" spans="1:9" x14ac:dyDescent="0.25">
      <c r="A1480" s="3">
        <v>43272</v>
      </c>
      <c r="B1480" s="4">
        <v>30616</v>
      </c>
      <c r="C1480" s="4">
        <v>30750</v>
      </c>
      <c r="D1480" s="4">
        <v>30750</v>
      </c>
      <c r="E1480" s="4">
        <v>30515</v>
      </c>
      <c r="F1480" s="4" t="str">
        <v>8.10K</v>
      </c>
      <c r="G1480" s="4" t="str">
        <v>-0.54%</v>
      </c>
      <c r="H1480" s="3">
        <v>43272</v>
      </c>
      <c r="I1480" s="4">
        <v>30632.5</v>
      </c>
    </row>
    <row r="1481" spans="1:9" x14ac:dyDescent="0.25">
      <c r="A1481" s="3">
        <v>43271</v>
      </c>
      <c r="B1481" s="4">
        <v>30781</v>
      </c>
      <c r="C1481" s="4">
        <v>30870</v>
      </c>
      <c r="D1481" s="4">
        <v>30885</v>
      </c>
      <c r="E1481" s="4">
        <v>30757</v>
      </c>
      <c r="F1481" s="4" t="str">
        <v>5.68K</v>
      </c>
      <c r="G1481" s="4" t="str">
        <v>-0.36%</v>
      </c>
      <c r="H1481" s="3">
        <v>43271</v>
      </c>
      <c r="I1481" s="4">
        <v>30821</v>
      </c>
    </row>
    <row r="1482" spans="1:9" x14ac:dyDescent="0.25">
      <c r="A1482" s="3">
        <v>43270</v>
      </c>
      <c r="B1482" s="4">
        <v>30891</v>
      </c>
      <c r="C1482" s="4">
        <v>31035</v>
      </c>
      <c r="D1482" s="4">
        <v>31098</v>
      </c>
      <c r="E1482" s="4">
        <v>30875</v>
      </c>
      <c r="F1482" s="4" t="str">
        <v>8.65K</v>
      </c>
      <c r="G1482" s="4" t="str">
        <v>-0.27%</v>
      </c>
      <c r="H1482" s="3">
        <v>43270</v>
      </c>
      <c r="I1482" s="4">
        <v>30986.5</v>
      </c>
    </row>
    <row r="1483" spans="1:9" x14ac:dyDescent="0.25">
      <c r="A1483" s="3">
        <v>43269</v>
      </c>
      <c r="B1483" s="4">
        <v>30974</v>
      </c>
      <c r="C1483" s="4">
        <v>30975</v>
      </c>
      <c r="D1483" s="4">
        <v>31026</v>
      </c>
      <c r="E1483" s="4">
        <v>30929</v>
      </c>
      <c r="F1483" s="4" t="str">
        <v>5.98K</v>
      </c>
      <c r="G1483" s="4" t="str">
        <v>-0.12%</v>
      </c>
      <c r="H1483" s="3">
        <v>43269</v>
      </c>
      <c r="I1483" s="4">
        <v>30977.5</v>
      </c>
    </row>
    <row r="1484" spans="1:9" x14ac:dyDescent="0.25">
      <c r="A1484" s="3">
        <v>43266</v>
      </c>
      <c r="B1484" s="4">
        <v>31010</v>
      </c>
      <c r="C1484" s="4">
        <v>31393</v>
      </c>
      <c r="D1484" s="4">
        <v>31424</v>
      </c>
      <c r="E1484" s="4">
        <v>30958</v>
      </c>
      <c r="F1484" s="4" t="str">
        <v>11.93K</v>
      </c>
      <c r="G1484" s="4" t="str">
        <v>-1.17%</v>
      </c>
      <c r="H1484" s="3">
        <v>43266</v>
      </c>
      <c r="I1484" s="4">
        <v>31191</v>
      </c>
    </row>
    <row r="1485" spans="1:9" x14ac:dyDescent="0.25">
      <c r="A1485" s="3">
        <v>43265</v>
      </c>
      <c r="B1485" s="4">
        <v>31377</v>
      </c>
      <c r="C1485" s="4">
        <v>31192</v>
      </c>
      <c r="D1485" s="4">
        <v>31418</v>
      </c>
      <c r="E1485" s="4">
        <v>31192</v>
      </c>
      <c r="F1485" s="4" t="str">
        <v>8.68K</v>
      </c>
      <c r="G1485" s="4" t="str">
        <v>0.75%</v>
      </c>
      <c r="H1485" s="3">
        <v>43265</v>
      </c>
      <c r="I1485" s="4">
        <v>31305</v>
      </c>
    </row>
    <row r="1486" spans="1:9" x14ac:dyDescent="0.25">
      <c r="A1486" s="3">
        <v>43264</v>
      </c>
      <c r="B1486" s="4">
        <v>31143</v>
      </c>
      <c r="C1486" s="4">
        <v>31141</v>
      </c>
      <c r="D1486" s="4">
        <v>31187</v>
      </c>
      <c r="E1486" s="4">
        <v>31107</v>
      </c>
      <c r="F1486" s="4" t="str">
        <v>4.00K</v>
      </c>
      <c r="G1486" s="4" t="str">
        <v>-0.04%</v>
      </c>
      <c r="H1486" s="3">
        <v>43264</v>
      </c>
      <c r="I1486" s="4">
        <v>31147</v>
      </c>
    </row>
    <row r="1487" spans="1:9" x14ac:dyDescent="0.25">
      <c r="A1487" s="3">
        <v>43263</v>
      </c>
      <c r="B1487" s="4">
        <v>31156</v>
      </c>
      <c r="C1487" s="4">
        <v>31173</v>
      </c>
      <c r="D1487" s="4">
        <v>31208</v>
      </c>
      <c r="E1487" s="4">
        <v>31075</v>
      </c>
      <c r="F1487" s="4" t="str">
        <v>6.34K</v>
      </c>
      <c r="G1487" s="4" t="str">
        <v>-0.19%</v>
      </c>
      <c r="H1487" s="3">
        <v>43263</v>
      </c>
      <c r="I1487" s="4">
        <v>31141.5</v>
      </c>
    </row>
    <row r="1488" spans="1:9" x14ac:dyDescent="0.25">
      <c r="A1488" s="3">
        <v>43262</v>
      </c>
      <c r="B1488" s="4">
        <v>31216</v>
      </c>
      <c r="C1488" s="4">
        <v>31186</v>
      </c>
      <c r="D1488" s="4">
        <v>31260</v>
      </c>
      <c r="E1488" s="4">
        <v>31075</v>
      </c>
      <c r="F1488" s="4" t="str">
        <v>6.22K</v>
      </c>
      <c r="G1488" s="4" t="str">
        <v>0.00%</v>
      </c>
      <c r="H1488" s="3">
        <v>43262</v>
      </c>
      <c r="I1488" s="4">
        <v>31167.5</v>
      </c>
    </row>
    <row r="1489" spans="1:9" x14ac:dyDescent="0.25">
      <c r="A1489" s="3">
        <v>43259</v>
      </c>
      <c r="B1489" s="4">
        <v>31215</v>
      </c>
      <c r="C1489" s="4">
        <v>31153</v>
      </c>
      <c r="D1489" s="4">
        <v>31334</v>
      </c>
      <c r="E1489" s="4">
        <v>31060</v>
      </c>
      <c r="F1489" s="4" t="str">
        <v>6.71K</v>
      </c>
      <c r="G1489" s="4" t="str">
        <v>0.07%</v>
      </c>
      <c r="H1489" s="3">
        <v>43259</v>
      </c>
      <c r="I1489" s="4">
        <v>31197</v>
      </c>
    </row>
    <row r="1490" spans="1:9" x14ac:dyDescent="0.25">
      <c r="A1490" s="3">
        <v>43258</v>
      </c>
      <c r="B1490" s="4">
        <v>31193</v>
      </c>
      <c r="C1490" s="4">
        <v>30950</v>
      </c>
      <c r="D1490" s="4">
        <v>31216</v>
      </c>
      <c r="E1490" s="4">
        <v>30943</v>
      </c>
      <c r="F1490" s="4" t="str">
        <v>8.32K</v>
      </c>
      <c r="G1490" s="4" t="str">
        <v>1.08%</v>
      </c>
      <c r="H1490" s="3">
        <v>43258</v>
      </c>
      <c r="I1490" s="4">
        <v>31079.5</v>
      </c>
    </row>
    <row r="1491" spans="1:9" x14ac:dyDescent="0.25">
      <c r="A1491" s="3">
        <v>43257</v>
      </c>
      <c r="B1491" s="4">
        <v>30861</v>
      </c>
      <c r="C1491" s="4">
        <v>30981</v>
      </c>
      <c r="D1491" s="4">
        <v>31024</v>
      </c>
      <c r="E1491" s="4">
        <v>30840</v>
      </c>
      <c r="F1491" s="4" t="str">
        <v>6.27K</v>
      </c>
      <c r="G1491" s="4" t="str">
        <v>0.73%</v>
      </c>
      <c r="H1491" s="3">
        <v>43257</v>
      </c>
      <c r="I1491" s="4">
        <v>30932</v>
      </c>
    </row>
    <row r="1492" spans="1:9" x14ac:dyDescent="0.25">
      <c r="A1492" s="3">
        <v>43256</v>
      </c>
      <c r="B1492" s="4">
        <v>30637</v>
      </c>
      <c r="C1492" s="4">
        <v>30670</v>
      </c>
      <c r="D1492" s="4">
        <v>30680</v>
      </c>
      <c r="E1492" s="4">
        <v>30600</v>
      </c>
      <c r="F1492" s="4" t="str">
        <v>0.02K</v>
      </c>
      <c r="G1492" s="4" t="str">
        <v>-0.16%</v>
      </c>
      <c r="H1492" s="3">
        <v>43256</v>
      </c>
      <c r="I1492" s="4">
        <v>30640</v>
      </c>
    </row>
    <row r="1493" spans="1:9" x14ac:dyDescent="0.25">
      <c r="A1493" s="3">
        <v>43255</v>
      </c>
      <c r="B1493" s="4">
        <v>30685</v>
      </c>
      <c r="C1493" s="4">
        <v>30700</v>
      </c>
      <c r="D1493" s="4">
        <v>30704</v>
      </c>
      <c r="E1493" s="4">
        <v>30540</v>
      </c>
      <c r="F1493" s="4" t="str">
        <v>0.05K</v>
      </c>
      <c r="G1493" s="4" t="str">
        <v>0.46%</v>
      </c>
      <c r="H1493" s="3">
        <v>43255</v>
      </c>
      <c r="I1493" s="4">
        <v>30622</v>
      </c>
    </row>
    <row r="1494" spans="1:9" x14ac:dyDescent="0.25">
      <c r="A1494" s="3">
        <v>43252</v>
      </c>
      <c r="B1494" s="4">
        <v>30546</v>
      </c>
      <c r="C1494" s="4">
        <v>30704</v>
      </c>
      <c r="D1494" s="4">
        <v>30777</v>
      </c>
      <c r="E1494" s="4">
        <v>30500</v>
      </c>
      <c r="F1494" s="4" t="str">
        <v>1.05K</v>
      </c>
      <c r="G1494" s="4" t="str">
        <v>-0.92%</v>
      </c>
      <c r="H1494" s="3">
        <v>43252</v>
      </c>
      <c r="I1494" s="4">
        <v>30638.5</v>
      </c>
    </row>
    <row r="1495" spans="1:9" x14ac:dyDescent="0.25">
      <c r="A1495" s="3">
        <v>43251</v>
      </c>
      <c r="B1495" s="4">
        <v>30831</v>
      </c>
      <c r="C1495" s="4">
        <v>31066</v>
      </c>
      <c r="D1495" s="4">
        <v>31113</v>
      </c>
      <c r="E1495" s="4">
        <v>30785</v>
      </c>
      <c r="F1495" s="4" t="str">
        <v>6.31K</v>
      </c>
      <c r="G1495" s="4" t="str">
        <v>-0.66%</v>
      </c>
      <c r="H1495" s="3">
        <v>43251</v>
      </c>
      <c r="I1495" s="4">
        <v>30949</v>
      </c>
    </row>
    <row r="1496" spans="1:9" x14ac:dyDescent="0.25">
      <c r="A1496" s="3">
        <v>43250</v>
      </c>
      <c r="B1496" s="4">
        <v>31035</v>
      </c>
      <c r="C1496" s="4">
        <v>31150</v>
      </c>
      <c r="D1496" s="4">
        <v>31150</v>
      </c>
      <c r="E1496" s="4">
        <v>30926</v>
      </c>
      <c r="F1496" s="4" t="str">
        <v>8.56K</v>
      </c>
      <c r="G1496" s="4" t="str">
        <v>-0.49%</v>
      </c>
      <c r="H1496" s="3">
        <v>43250</v>
      </c>
      <c r="I1496" s="4">
        <v>31038</v>
      </c>
    </row>
    <row r="1497" spans="1:9" x14ac:dyDescent="0.25">
      <c r="A1497" s="3">
        <v>43249</v>
      </c>
      <c r="B1497" s="4">
        <v>31188</v>
      </c>
      <c r="C1497" s="4">
        <v>31050</v>
      </c>
      <c r="D1497" s="4">
        <v>31325</v>
      </c>
      <c r="E1497" s="4">
        <v>31025</v>
      </c>
      <c r="F1497" s="4" t="str">
        <v>11.20K</v>
      </c>
      <c r="G1497" s="4" t="str">
        <v>0.73%</v>
      </c>
      <c r="H1497" s="3">
        <v>43249</v>
      </c>
      <c r="I1497" s="4">
        <v>31175</v>
      </c>
    </row>
    <row r="1498" spans="1:9" x14ac:dyDescent="0.25">
      <c r="A1498" s="3">
        <v>43248</v>
      </c>
      <c r="B1498" s="4">
        <v>30963</v>
      </c>
      <c r="C1498" s="4">
        <v>31150</v>
      </c>
      <c r="D1498" s="4">
        <v>31150</v>
      </c>
      <c r="E1498" s="4">
        <v>30888</v>
      </c>
      <c r="F1498" s="4" t="str">
        <v>7.13K</v>
      </c>
      <c r="G1498" s="4" t="str">
        <v>-0.72%</v>
      </c>
      <c r="H1498" s="3">
        <v>43248</v>
      </c>
      <c r="I1498" s="4">
        <v>31019</v>
      </c>
    </row>
    <row r="1499" spans="1:9" x14ac:dyDescent="0.25">
      <c r="A1499" s="3">
        <v>43245</v>
      </c>
      <c r="B1499" s="4">
        <v>31189</v>
      </c>
      <c r="C1499" s="4">
        <v>31370</v>
      </c>
      <c r="D1499" s="4">
        <v>31428</v>
      </c>
      <c r="E1499" s="4">
        <v>31165</v>
      </c>
      <c r="F1499" s="4" t="str">
        <v>8.56K</v>
      </c>
      <c r="G1499" s="4" t="str">
        <v>-0.91%</v>
      </c>
      <c r="H1499" s="3">
        <v>43245</v>
      </c>
      <c r="I1499" s="4">
        <v>31296.5</v>
      </c>
    </row>
    <row r="1500" spans="1:9" x14ac:dyDescent="0.25">
      <c r="A1500" s="3">
        <v>43244</v>
      </c>
      <c r="B1500" s="4">
        <v>31474</v>
      </c>
      <c r="C1500" s="4">
        <v>31258</v>
      </c>
      <c r="D1500" s="4">
        <v>31510</v>
      </c>
      <c r="E1500" s="4">
        <v>31238</v>
      </c>
      <c r="F1500" s="4" t="str">
        <v>8.91K</v>
      </c>
      <c r="G1500" s="4" t="str">
        <v>0.93%</v>
      </c>
      <c r="H1500" s="3">
        <v>43244</v>
      </c>
      <c r="I1500" s="4">
        <v>31374</v>
      </c>
    </row>
    <row r="1501" spans="1:9" x14ac:dyDescent="0.25">
      <c r="A1501" s="3">
        <v>43243</v>
      </c>
      <c r="B1501" s="4">
        <v>31183</v>
      </c>
      <c r="C1501" s="4">
        <v>31125</v>
      </c>
      <c r="D1501" s="4">
        <v>31389</v>
      </c>
      <c r="E1501" s="4">
        <v>31095</v>
      </c>
      <c r="F1501" s="4" t="str">
        <v>10.47K</v>
      </c>
      <c r="G1501" s="4" t="str">
        <v>0.24%</v>
      </c>
      <c r="H1501" s="3">
        <v>43243</v>
      </c>
      <c r="I1501" s="4">
        <v>31242</v>
      </c>
    </row>
    <row r="1502" spans="1:9" x14ac:dyDescent="0.25">
      <c r="A1502" s="3">
        <v>43242</v>
      </c>
      <c r="B1502" s="4">
        <v>31108</v>
      </c>
      <c r="C1502" s="4">
        <v>31100</v>
      </c>
      <c r="D1502" s="4">
        <v>31160</v>
      </c>
      <c r="E1502" s="4">
        <v>30990</v>
      </c>
      <c r="F1502" s="4" t="str">
        <v>6.71K</v>
      </c>
      <c r="G1502" s="4" t="str">
        <v>-0.01%</v>
      </c>
      <c r="H1502" s="3">
        <v>43242</v>
      </c>
      <c r="I1502" s="4">
        <v>31075</v>
      </c>
    </row>
    <row r="1503" spans="1:9" x14ac:dyDescent="0.25">
      <c r="A1503" s="3">
        <v>43241</v>
      </c>
      <c r="B1503" s="4">
        <v>31112</v>
      </c>
      <c r="C1503" s="4">
        <v>31040</v>
      </c>
      <c r="D1503" s="4">
        <v>31127</v>
      </c>
      <c r="E1503" s="4">
        <v>30912</v>
      </c>
      <c r="F1503" s="4" t="str">
        <v>6.77K</v>
      </c>
      <c r="G1503" s="4" t="str">
        <v>0.07%</v>
      </c>
      <c r="H1503" s="3">
        <v>43241</v>
      </c>
      <c r="I1503" s="4">
        <v>31019.5</v>
      </c>
    </row>
    <row r="1504" spans="1:9" x14ac:dyDescent="0.25">
      <c r="A1504" s="3">
        <v>43238</v>
      </c>
      <c r="B1504" s="4">
        <v>31091</v>
      </c>
      <c r="C1504" s="4">
        <v>30944</v>
      </c>
      <c r="D1504" s="4">
        <v>31110</v>
      </c>
      <c r="E1504" s="4">
        <v>30944</v>
      </c>
      <c r="F1504" s="4" t="str">
        <v>6.10K</v>
      </c>
      <c r="G1504" s="4" t="str">
        <v>0.36%</v>
      </c>
      <c r="H1504" s="3">
        <v>43238</v>
      </c>
      <c r="I1504" s="4">
        <v>31027</v>
      </c>
    </row>
    <row r="1505" spans="1:9" x14ac:dyDescent="0.25">
      <c r="A1505" s="3">
        <v>43237</v>
      </c>
      <c r="B1505" s="4">
        <v>30978</v>
      </c>
      <c r="C1505" s="4">
        <v>30976</v>
      </c>
      <c r="D1505" s="4">
        <v>30995</v>
      </c>
      <c r="E1505" s="4">
        <v>30851</v>
      </c>
      <c r="F1505" s="4" t="str">
        <v>7.91K</v>
      </c>
      <c r="G1505" s="4" t="str">
        <v>-0.06%</v>
      </c>
      <c r="H1505" s="3">
        <v>43237</v>
      </c>
      <c r="I1505" s="4">
        <v>30923</v>
      </c>
    </row>
    <row r="1506" spans="1:9" x14ac:dyDescent="0.25">
      <c r="A1506" s="3">
        <v>43236</v>
      </c>
      <c r="B1506" s="4">
        <v>30997</v>
      </c>
      <c r="C1506" s="4">
        <v>31160</v>
      </c>
      <c r="D1506" s="4">
        <v>31160</v>
      </c>
      <c r="E1506" s="4">
        <v>30925</v>
      </c>
      <c r="F1506" s="4" t="str">
        <v>8.68K</v>
      </c>
      <c r="G1506" s="4" t="str">
        <v>-0.57%</v>
      </c>
      <c r="H1506" s="3">
        <v>43236</v>
      </c>
      <c r="I1506" s="4">
        <v>31042.5</v>
      </c>
    </row>
    <row r="1507" spans="1:9" x14ac:dyDescent="0.25">
      <c r="A1507" s="3">
        <v>43235</v>
      </c>
      <c r="B1507" s="4">
        <v>31175</v>
      </c>
      <c r="C1507" s="4">
        <v>31450</v>
      </c>
      <c r="D1507" s="4">
        <v>31516</v>
      </c>
      <c r="E1507" s="4">
        <v>31161</v>
      </c>
      <c r="F1507" s="4" t="str">
        <v>11.82K</v>
      </c>
      <c r="G1507" s="4" t="str">
        <v>-1.04%</v>
      </c>
      <c r="H1507" s="3">
        <v>43235</v>
      </c>
      <c r="I1507" s="4">
        <v>31338.5</v>
      </c>
    </row>
    <row r="1508" spans="1:9" x14ac:dyDescent="0.25">
      <c r="A1508" s="3">
        <v>43234</v>
      </c>
      <c r="B1508" s="4">
        <v>31504</v>
      </c>
      <c r="C1508" s="4">
        <v>31450</v>
      </c>
      <c r="D1508" s="4">
        <v>31579</v>
      </c>
      <c r="E1508" s="4">
        <v>31384</v>
      </c>
      <c r="F1508" s="4" t="str">
        <v>6.24K</v>
      </c>
      <c r="G1508" s="4" t="str">
        <v>-0.04%</v>
      </c>
      <c r="H1508" s="3">
        <v>43234</v>
      </c>
      <c r="I1508" s="4">
        <v>31481.5</v>
      </c>
    </row>
    <row r="1509" spans="1:9" x14ac:dyDescent="0.25">
      <c r="A1509" s="3">
        <v>43231</v>
      </c>
      <c r="B1509" s="4">
        <v>31518</v>
      </c>
      <c r="C1509" s="4">
        <v>31380</v>
      </c>
      <c r="D1509" s="4">
        <v>31570</v>
      </c>
      <c r="E1509" s="4">
        <v>31363</v>
      </c>
      <c r="F1509" s="4" t="str">
        <v>6.91K</v>
      </c>
      <c r="G1509" s="4" t="str">
        <v>0.49%</v>
      </c>
      <c r="H1509" s="3">
        <v>43231</v>
      </c>
      <c r="I1509" s="4">
        <v>31466.5</v>
      </c>
    </row>
    <row r="1510" spans="1:9" x14ac:dyDescent="0.25">
      <c r="A1510" s="3">
        <v>43230</v>
      </c>
      <c r="B1510" s="4">
        <v>31365</v>
      </c>
      <c r="C1510" s="4">
        <v>31353</v>
      </c>
      <c r="D1510" s="4">
        <v>31487</v>
      </c>
      <c r="E1510" s="4">
        <v>31241</v>
      </c>
      <c r="F1510" s="4" t="str">
        <v>9.92K</v>
      </c>
      <c r="G1510" s="4" t="str">
        <v>0.18%</v>
      </c>
      <c r="H1510" s="3">
        <v>43230</v>
      </c>
      <c r="I1510" s="4">
        <v>31364</v>
      </c>
    </row>
    <row r="1511" spans="1:9" x14ac:dyDescent="0.25">
      <c r="A1511" s="3">
        <v>43229</v>
      </c>
      <c r="B1511" s="4">
        <v>31309</v>
      </c>
      <c r="C1511" s="4">
        <v>31250</v>
      </c>
      <c r="D1511" s="4">
        <v>31375</v>
      </c>
      <c r="E1511" s="4">
        <v>31163</v>
      </c>
      <c r="F1511" s="4" t="str">
        <v>9.17K</v>
      </c>
      <c r="G1511" s="4" t="str">
        <v>0.32%</v>
      </c>
      <c r="H1511" s="3">
        <v>43229</v>
      </c>
      <c r="I1511" s="4">
        <v>31269</v>
      </c>
    </row>
    <row r="1512" spans="1:9" x14ac:dyDescent="0.25">
      <c r="A1512" s="3">
        <v>43228</v>
      </c>
      <c r="B1512" s="4">
        <v>31210</v>
      </c>
      <c r="C1512" s="4">
        <v>31228</v>
      </c>
      <c r="D1512" s="4">
        <v>31252</v>
      </c>
      <c r="E1512" s="4">
        <v>31078</v>
      </c>
      <c r="F1512" s="4" t="str">
        <v>8.20K</v>
      </c>
      <c r="G1512" s="4" t="str">
        <v>-0.15%</v>
      </c>
      <c r="H1512" s="3">
        <v>43228</v>
      </c>
      <c r="I1512" s="4">
        <v>31165</v>
      </c>
    </row>
    <row r="1513" spans="1:9" x14ac:dyDescent="0.25">
      <c r="A1513" s="3">
        <v>43227</v>
      </c>
      <c r="B1513" s="4">
        <v>31258</v>
      </c>
      <c r="C1513" s="4">
        <v>31150</v>
      </c>
      <c r="D1513" s="4">
        <v>31310</v>
      </c>
      <c r="E1513" s="4">
        <v>31150</v>
      </c>
      <c r="F1513" s="4" t="str">
        <v>6.74K</v>
      </c>
      <c r="G1513" s="4" t="str">
        <v>0.46%</v>
      </c>
      <c r="H1513" s="3">
        <v>43227</v>
      </c>
      <c r="I1513" s="4">
        <v>31230</v>
      </c>
    </row>
    <row r="1514" spans="1:9" x14ac:dyDescent="0.25">
      <c r="A1514" s="3">
        <v>43224</v>
      </c>
      <c r="B1514" s="4">
        <v>31114</v>
      </c>
      <c r="C1514" s="4">
        <v>31020</v>
      </c>
      <c r="D1514" s="4">
        <v>31139</v>
      </c>
      <c r="E1514" s="4">
        <v>30990</v>
      </c>
      <c r="F1514" s="4" t="str">
        <v>6.80K</v>
      </c>
      <c r="G1514" s="4" t="str">
        <v>0.22%</v>
      </c>
      <c r="H1514" s="3">
        <v>43224</v>
      </c>
      <c r="I1514" s="4">
        <v>31064.5</v>
      </c>
    </row>
    <row r="1515" spans="1:9" x14ac:dyDescent="0.25">
      <c r="A1515" s="3">
        <v>43223</v>
      </c>
      <c r="B1515" s="4">
        <v>31046</v>
      </c>
      <c r="C1515" s="4">
        <v>30941</v>
      </c>
      <c r="D1515" s="4">
        <v>31122</v>
      </c>
      <c r="E1515" s="4">
        <v>30878</v>
      </c>
      <c r="F1515" s="4" t="str">
        <v>8.82K</v>
      </c>
      <c r="G1515" s="4" t="str">
        <v>0.39%</v>
      </c>
      <c r="H1515" s="3">
        <v>43223</v>
      </c>
      <c r="I1515" s="4">
        <v>31000</v>
      </c>
    </row>
    <row r="1516" spans="1:9" x14ac:dyDescent="0.25">
      <c r="A1516" s="3">
        <v>43222</v>
      </c>
      <c r="B1516" s="4">
        <v>30925</v>
      </c>
      <c r="C1516" s="4">
        <v>31014</v>
      </c>
      <c r="D1516" s="4">
        <v>31014</v>
      </c>
      <c r="E1516" s="4">
        <v>30901</v>
      </c>
      <c r="F1516" s="4" t="str">
        <v>7.05K</v>
      </c>
      <c r="G1516" s="4" t="str">
        <v>-0.01%</v>
      </c>
      <c r="H1516" s="3">
        <v>43222</v>
      </c>
      <c r="I1516" s="4">
        <v>30957.5</v>
      </c>
    </row>
    <row r="1517" spans="1:9" x14ac:dyDescent="0.25">
      <c r="A1517" s="3">
        <v>43221</v>
      </c>
      <c r="B1517" s="4">
        <v>30929</v>
      </c>
      <c r="C1517" s="4">
        <v>30950</v>
      </c>
      <c r="D1517" s="4">
        <v>30971</v>
      </c>
      <c r="E1517" s="4">
        <v>30865</v>
      </c>
      <c r="F1517" s="4" t="str">
        <v>5.12K</v>
      </c>
      <c r="G1517" s="4" t="str">
        <v>-0.34%</v>
      </c>
      <c r="H1517" s="3">
        <v>43221</v>
      </c>
      <c r="I1517" s="4">
        <v>30918</v>
      </c>
    </row>
    <row r="1518" spans="1:9" x14ac:dyDescent="0.25">
      <c r="A1518" s="3">
        <v>43220</v>
      </c>
      <c r="B1518" s="4">
        <v>31036</v>
      </c>
      <c r="C1518" s="4">
        <v>31170</v>
      </c>
      <c r="D1518" s="4">
        <v>31170</v>
      </c>
      <c r="E1518" s="4">
        <v>30925</v>
      </c>
      <c r="F1518" s="4" t="str">
        <v>9.30K</v>
      </c>
      <c r="G1518" s="4" t="str">
        <v>-0.56%</v>
      </c>
      <c r="H1518" s="3">
        <v>43220</v>
      </c>
      <c r="I1518" s="4">
        <v>31047.5</v>
      </c>
    </row>
    <row r="1519" spans="1:9" x14ac:dyDescent="0.25">
      <c r="A1519" s="3">
        <v>43217</v>
      </c>
      <c r="B1519" s="4">
        <v>31211</v>
      </c>
      <c r="C1519" s="4">
        <v>31166</v>
      </c>
      <c r="D1519" s="4">
        <v>31277</v>
      </c>
      <c r="E1519" s="4">
        <v>31126</v>
      </c>
      <c r="F1519" s="4" t="str">
        <v>5.43K</v>
      </c>
      <c r="G1519" s="4" t="str">
        <v>-0.13%</v>
      </c>
      <c r="H1519" s="3">
        <v>43217</v>
      </c>
      <c r="I1519" s="4">
        <v>31201.5</v>
      </c>
    </row>
    <row r="1520" spans="1:9" x14ac:dyDescent="0.25">
      <c r="A1520" s="3">
        <v>43216</v>
      </c>
      <c r="B1520" s="4">
        <v>31252</v>
      </c>
      <c r="C1520" s="4">
        <v>31332</v>
      </c>
      <c r="D1520" s="4">
        <v>31372</v>
      </c>
      <c r="E1520" s="4">
        <v>31183</v>
      </c>
      <c r="F1520" s="4" t="str">
        <v>7.40K</v>
      </c>
      <c r="G1520" s="4" t="str">
        <v>-0.49%</v>
      </c>
      <c r="H1520" s="3">
        <v>43216</v>
      </c>
      <c r="I1520" s="4">
        <v>31277.5</v>
      </c>
    </row>
    <row r="1521" spans="1:9" x14ac:dyDescent="0.25">
      <c r="A1521" s="3">
        <v>43215</v>
      </c>
      <c r="B1521" s="4">
        <v>31406</v>
      </c>
      <c r="C1521" s="4">
        <v>31417</v>
      </c>
      <c r="D1521" s="4">
        <v>31430</v>
      </c>
      <c r="E1521" s="4">
        <v>31329</v>
      </c>
      <c r="F1521" s="4" t="str">
        <v>6.60K</v>
      </c>
      <c r="G1521" s="4" t="str">
        <v>0.11%</v>
      </c>
      <c r="H1521" s="3">
        <v>43215</v>
      </c>
      <c r="I1521" s="4">
        <v>31379.5</v>
      </c>
    </row>
    <row r="1522" spans="1:9" x14ac:dyDescent="0.25">
      <c r="A1522" s="3">
        <v>43214</v>
      </c>
      <c r="B1522" s="4">
        <v>31372</v>
      </c>
      <c r="C1522" s="4">
        <v>31257</v>
      </c>
      <c r="D1522" s="4">
        <v>31395</v>
      </c>
      <c r="E1522" s="4">
        <v>31203</v>
      </c>
      <c r="F1522" s="4" t="str">
        <v>7.11K</v>
      </c>
      <c r="G1522" s="4" t="str">
        <v>0.30%</v>
      </c>
      <c r="H1522" s="3">
        <v>43214</v>
      </c>
      <c r="I1522" s="4">
        <v>31299</v>
      </c>
    </row>
    <row r="1523" spans="1:9" x14ac:dyDescent="0.25">
      <c r="A1523" s="3">
        <v>43213</v>
      </c>
      <c r="B1523" s="4">
        <v>31277</v>
      </c>
      <c r="C1523" s="4">
        <v>31370</v>
      </c>
      <c r="D1523" s="4">
        <v>31385</v>
      </c>
      <c r="E1523" s="4">
        <v>31211</v>
      </c>
      <c r="F1523" s="4" t="str">
        <v>7.65K</v>
      </c>
      <c r="G1523" s="4" t="str">
        <v>-0.49%</v>
      </c>
      <c r="H1523" s="3">
        <v>43213</v>
      </c>
      <c r="I1523" s="4">
        <v>31298</v>
      </c>
    </row>
    <row r="1524" spans="1:9" x14ac:dyDescent="0.25">
      <c r="A1524" s="3">
        <v>43210</v>
      </c>
      <c r="B1524" s="4">
        <v>31432</v>
      </c>
      <c r="C1524" s="4">
        <v>31522</v>
      </c>
      <c r="D1524" s="4">
        <v>31564</v>
      </c>
      <c r="E1524" s="4">
        <v>31396</v>
      </c>
      <c r="F1524" s="4" t="str">
        <v>6.40K</v>
      </c>
      <c r="G1524" s="4" t="str">
        <v>-0.53%</v>
      </c>
      <c r="H1524" s="3">
        <v>43210</v>
      </c>
      <c r="I1524" s="4">
        <v>31480</v>
      </c>
    </row>
    <row r="1525" spans="1:9" x14ac:dyDescent="0.25">
      <c r="A1525" s="3">
        <v>43209</v>
      </c>
      <c r="B1525" s="4">
        <v>31598</v>
      </c>
      <c r="C1525" s="4">
        <v>31567</v>
      </c>
      <c r="D1525" s="4">
        <v>31620</v>
      </c>
      <c r="E1525" s="4">
        <v>31430</v>
      </c>
      <c r="F1525" s="4" t="str">
        <v>7.68K</v>
      </c>
      <c r="G1525" s="4" t="str">
        <v>0.20%</v>
      </c>
      <c r="H1525" s="3">
        <v>43209</v>
      </c>
      <c r="I1525" s="4">
        <v>31525</v>
      </c>
    </row>
    <row r="1526" spans="1:9" x14ac:dyDescent="0.25">
      <c r="A1526" s="3">
        <v>43208</v>
      </c>
      <c r="B1526" s="4">
        <v>31534</v>
      </c>
      <c r="C1526" s="4">
        <v>31350</v>
      </c>
      <c r="D1526" s="4">
        <v>31591</v>
      </c>
      <c r="E1526" s="4">
        <v>31291</v>
      </c>
      <c r="F1526" s="4" t="str">
        <v>8.62K</v>
      </c>
      <c r="G1526" s="4" t="str">
        <v>0.48%</v>
      </c>
      <c r="H1526" s="3">
        <v>43208</v>
      </c>
      <c r="I1526" s="4">
        <v>31441</v>
      </c>
    </row>
    <row r="1527" spans="1:9" x14ac:dyDescent="0.25">
      <c r="A1527" s="3">
        <v>43207</v>
      </c>
      <c r="B1527" s="4">
        <v>31383</v>
      </c>
      <c r="C1527" s="4">
        <v>31272</v>
      </c>
      <c r="D1527" s="4">
        <v>31396</v>
      </c>
      <c r="E1527" s="4">
        <v>31190</v>
      </c>
      <c r="F1527" s="4" t="str">
        <v>9.24K</v>
      </c>
      <c r="G1527" s="4" t="str">
        <v>0.27%</v>
      </c>
      <c r="H1527" s="3">
        <v>43207</v>
      </c>
      <c r="I1527" s="4">
        <v>31293</v>
      </c>
    </row>
    <row r="1528" spans="1:9" x14ac:dyDescent="0.25">
      <c r="A1528" s="3">
        <v>43206</v>
      </c>
      <c r="B1528" s="4">
        <v>31298</v>
      </c>
      <c r="C1528" s="4">
        <v>31200</v>
      </c>
      <c r="D1528" s="4">
        <v>31355</v>
      </c>
      <c r="E1528" s="4">
        <v>31155</v>
      </c>
      <c r="F1528" s="4" t="str">
        <v>8.14K</v>
      </c>
      <c r="G1528" s="4" t="str">
        <v>0.58%</v>
      </c>
      <c r="H1528" s="3">
        <v>43206</v>
      </c>
      <c r="I1528" s="4">
        <v>31255</v>
      </c>
    </row>
    <row r="1529" spans="1:9" x14ac:dyDescent="0.25">
      <c r="A1529" s="3">
        <v>43203</v>
      </c>
      <c r="B1529" s="4">
        <v>31118</v>
      </c>
      <c r="C1529" s="4">
        <v>31031</v>
      </c>
      <c r="D1529" s="4">
        <v>31185</v>
      </c>
      <c r="E1529" s="4">
        <v>30870</v>
      </c>
      <c r="F1529" s="4" t="str">
        <v>8.39K</v>
      </c>
      <c r="G1529" s="4" t="str">
        <v>0.37%</v>
      </c>
      <c r="H1529" s="3">
        <v>43203</v>
      </c>
      <c r="I1529" s="4">
        <v>31027.5</v>
      </c>
    </row>
    <row r="1530" spans="1:9" x14ac:dyDescent="0.25">
      <c r="A1530" s="3">
        <v>43202</v>
      </c>
      <c r="B1530" s="4">
        <v>31002</v>
      </c>
      <c r="C1530" s="4">
        <v>31306</v>
      </c>
      <c r="D1530" s="4">
        <v>31335</v>
      </c>
      <c r="E1530" s="4">
        <v>30965</v>
      </c>
      <c r="F1530" s="4" t="str">
        <v>10.88K</v>
      </c>
      <c r="G1530" s="4" t="str">
        <v>-1.13%</v>
      </c>
      <c r="H1530" s="3">
        <v>43202</v>
      </c>
      <c r="I1530" s="4">
        <v>31150</v>
      </c>
    </row>
    <row r="1531" spans="1:9" x14ac:dyDescent="0.25">
      <c r="A1531" s="3">
        <v>43201</v>
      </c>
      <c r="B1531" s="4">
        <v>31355</v>
      </c>
      <c r="C1531" s="4">
        <v>30950</v>
      </c>
      <c r="D1531" s="4">
        <v>31562</v>
      </c>
      <c r="E1531" s="4">
        <v>30931</v>
      </c>
      <c r="F1531" s="4" t="str">
        <v>13.41K</v>
      </c>
      <c r="G1531" s="4" t="str">
        <v>1.47%</v>
      </c>
      <c r="H1531" s="3">
        <v>43201</v>
      </c>
      <c r="I1531" s="4">
        <v>31246.5</v>
      </c>
    </row>
    <row r="1532" spans="1:9" x14ac:dyDescent="0.25">
      <c r="A1532" s="3">
        <v>43200</v>
      </c>
      <c r="B1532" s="4">
        <v>30900</v>
      </c>
      <c r="C1532" s="4">
        <v>30701</v>
      </c>
      <c r="D1532" s="4">
        <v>30936</v>
      </c>
      <c r="E1532" s="4">
        <v>30675</v>
      </c>
      <c r="F1532" s="4" t="str">
        <v>7.42K</v>
      </c>
      <c r="G1532" s="4" t="str">
        <v>0.46%</v>
      </c>
      <c r="H1532" s="3">
        <v>43200</v>
      </c>
      <c r="I1532" s="4">
        <v>30805.5</v>
      </c>
    </row>
    <row r="1533" spans="1:9" x14ac:dyDescent="0.25">
      <c r="A1533" s="3">
        <v>43199</v>
      </c>
      <c r="B1533" s="4">
        <v>30759</v>
      </c>
      <c r="C1533" s="4">
        <v>30659</v>
      </c>
      <c r="D1533" s="4">
        <v>30779</v>
      </c>
      <c r="E1533" s="4">
        <v>30642</v>
      </c>
      <c r="F1533" s="4" t="str">
        <v>6.70K</v>
      </c>
      <c r="G1533" s="4" t="str">
        <v>0.21%</v>
      </c>
      <c r="H1533" s="3">
        <v>43199</v>
      </c>
      <c r="I1533" s="4">
        <v>30710.5</v>
      </c>
    </row>
    <row r="1534" spans="1:9" x14ac:dyDescent="0.25">
      <c r="A1534" s="3">
        <v>43196</v>
      </c>
      <c r="B1534" s="4">
        <v>30694</v>
      </c>
      <c r="C1534" s="4">
        <v>30640</v>
      </c>
      <c r="D1534" s="4">
        <v>30749</v>
      </c>
      <c r="E1534" s="4">
        <v>30500</v>
      </c>
      <c r="F1534" s="4" t="str">
        <v>11.83K</v>
      </c>
      <c r="G1534" s="4" t="str">
        <v>0.72%</v>
      </c>
      <c r="H1534" s="3">
        <v>43196</v>
      </c>
      <c r="I1534" s="4">
        <v>30624.5</v>
      </c>
    </row>
    <row r="1535" spans="1:9" x14ac:dyDescent="0.25">
      <c r="A1535" s="3">
        <v>43195</v>
      </c>
      <c r="B1535" s="4">
        <v>30476</v>
      </c>
      <c r="C1535" s="4">
        <v>30650</v>
      </c>
      <c r="D1535" s="4">
        <v>30700</v>
      </c>
      <c r="E1535" s="4">
        <v>30350</v>
      </c>
      <c r="F1535" s="4" t="str">
        <v>0.02K</v>
      </c>
      <c r="G1535" s="4" t="str">
        <v>-0.80%</v>
      </c>
      <c r="H1535" s="3">
        <v>43195</v>
      </c>
      <c r="I1535" s="4">
        <v>30525</v>
      </c>
    </row>
    <row r="1536" spans="1:9" x14ac:dyDescent="0.25">
      <c r="A1536" s="3">
        <v>43194</v>
      </c>
      <c r="B1536" s="4">
        <v>30722</v>
      </c>
      <c r="C1536" s="4">
        <v>30765</v>
      </c>
      <c r="D1536" s="4">
        <v>30970</v>
      </c>
      <c r="E1536" s="4">
        <v>30550</v>
      </c>
      <c r="F1536" s="4" t="str">
        <v>0.06K</v>
      </c>
      <c r="G1536" s="4" t="str">
        <v>0.29%</v>
      </c>
      <c r="H1536" s="3">
        <v>43194</v>
      </c>
      <c r="I1536" s="4">
        <v>30760</v>
      </c>
    </row>
    <row r="1537" spans="1:9" x14ac:dyDescent="0.25">
      <c r="A1537" s="3">
        <v>43193</v>
      </c>
      <c r="B1537" s="4">
        <v>30634</v>
      </c>
      <c r="C1537" s="4">
        <v>30681</v>
      </c>
      <c r="D1537" s="4">
        <v>30899</v>
      </c>
      <c r="E1537" s="4">
        <v>30582</v>
      </c>
      <c r="F1537" s="4" t="str">
        <v>0.30K</v>
      </c>
      <c r="G1537" s="4" t="str">
        <v>-0.96%</v>
      </c>
      <c r="H1537" s="3">
        <v>43193</v>
      </c>
      <c r="I1537" s="4">
        <v>30740.5</v>
      </c>
    </row>
    <row r="1538" spans="1:9" x14ac:dyDescent="0.25">
      <c r="A1538" s="3">
        <v>43192</v>
      </c>
      <c r="B1538" s="4">
        <v>30931</v>
      </c>
      <c r="C1538" s="4">
        <v>30545</v>
      </c>
      <c r="D1538" s="4">
        <v>30995</v>
      </c>
      <c r="E1538" s="4">
        <v>30521</v>
      </c>
      <c r="F1538" s="4" t="str">
        <v>1.75K</v>
      </c>
      <c r="G1538" s="4" t="str">
        <v>1.72%</v>
      </c>
      <c r="H1538" s="3">
        <v>43192</v>
      </c>
      <c r="I1538" s="4">
        <v>30758</v>
      </c>
    </row>
    <row r="1539" spans="1:9" x14ac:dyDescent="0.25">
      <c r="A1539" s="3">
        <v>43188</v>
      </c>
      <c r="B1539" s="4">
        <v>30408</v>
      </c>
      <c r="C1539" s="4">
        <v>30546</v>
      </c>
      <c r="D1539" s="4">
        <v>30550</v>
      </c>
      <c r="E1539" s="4">
        <v>30378</v>
      </c>
      <c r="F1539" s="4" t="str">
        <v>2.57K</v>
      </c>
      <c r="G1539" s="4" t="str">
        <v>-0.37%</v>
      </c>
      <c r="H1539" s="3">
        <v>43188</v>
      </c>
      <c r="I1539" s="4">
        <v>30464</v>
      </c>
    </row>
    <row r="1540" spans="1:9" x14ac:dyDescent="0.25">
      <c r="A1540" s="3">
        <v>43187</v>
      </c>
      <c r="B1540" s="4">
        <v>30521</v>
      </c>
      <c r="C1540" s="4">
        <v>30775</v>
      </c>
      <c r="D1540" s="4">
        <v>30775</v>
      </c>
      <c r="E1540" s="4">
        <v>30500</v>
      </c>
      <c r="F1540" s="4" t="str">
        <v>7.55K</v>
      </c>
      <c r="G1540" s="4" t="str">
        <v>-0.58%</v>
      </c>
      <c r="H1540" s="3">
        <v>43187</v>
      </c>
      <c r="I1540" s="4">
        <v>30637.5</v>
      </c>
    </row>
    <row r="1541" spans="1:9" x14ac:dyDescent="0.25">
      <c r="A1541" s="3">
        <v>43186</v>
      </c>
      <c r="B1541" s="4">
        <v>30699</v>
      </c>
      <c r="C1541" s="4">
        <v>30864</v>
      </c>
      <c r="D1541" s="4">
        <v>30904</v>
      </c>
      <c r="E1541" s="4">
        <v>30664</v>
      </c>
      <c r="F1541" s="4" t="str">
        <v>10.55K</v>
      </c>
      <c r="G1541" s="4" t="str">
        <v>-0.66%</v>
      </c>
      <c r="H1541" s="3">
        <v>43186</v>
      </c>
      <c r="I1541" s="4">
        <v>30784</v>
      </c>
    </row>
    <row r="1542" spans="1:9" x14ac:dyDescent="0.25">
      <c r="A1542" s="3">
        <v>43185</v>
      </c>
      <c r="B1542" s="4">
        <v>30902</v>
      </c>
      <c r="C1542" s="4">
        <v>30855</v>
      </c>
      <c r="D1542" s="4">
        <v>30929</v>
      </c>
      <c r="E1542" s="4">
        <v>30760</v>
      </c>
      <c r="F1542" s="4" t="str">
        <v>7.56K</v>
      </c>
      <c r="G1542" s="4" t="str">
        <v>-0.02%</v>
      </c>
      <c r="H1542" s="3">
        <v>43185</v>
      </c>
      <c r="I1542" s="4">
        <v>30844.5</v>
      </c>
    </row>
    <row r="1543" spans="1:9" x14ac:dyDescent="0.25">
      <c r="A1543" s="3">
        <v>43182</v>
      </c>
      <c r="B1543" s="4">
        <v>30907</v>
      </c>
      <c r="C1543" s="4">
        <v>30625</v>
      </c>
      <c r="D1543" s="4">
        <v>30950</v>
      </c>
      <c r="E1543" s="4">
        <v>30625</v>
      </c>
      <c r="F1543" s="4" t="str">
        <v>10.93K</v>
      </c>
      <c r="G1543" s="4" t="str">
        <v>1.36%</v>
      </c>
      <c r="H1543" s="3">
        <v>43182</v>
      </c>
      <c r="I1543" s="4">
        <v>30787.5</v>
      </c>
    </row>
    <row r="1544" spans="1:9" x14ac:dyDescent="0.25">
      <c r="A1544" s="3">
        <v>43181</v>
      </c>
      <c r="B1544" s="4">
        <v>30493</v>
      </c>
      <c r="C1544" s="4">
        <v>30530</v>
      </c>
      <c r="D1544" s="4">
        <v>30615</v>
      </c>
      <c r="E1544" s="4">
        <v>30465</v>
      </c>
      <c r="F1544" s="4" t="str">
        <v>9.25K</v>
      </c>
      <c r="G1544" s="4" t="str">
        <v>0.14%</v>
      </c>
      <c r="H1544" s="3">
        <v>43181</v>
      </c>
      <c r="I1544" s="4">
        <v>30540</v>
      </c>
    </row>
    <row r="1545" spans="1:9" x14ac:dyDescent="0.25">
      <c r="A1545" s="3">
        <v>43180</v>
      </c>
      <c r="B1545" s="4">
        <v>30449</v>
      </c>
      <c r="C1545" s="4">
        <v>30270</v>
      </c>
      <c r="D1545" s="4">
        <v>30525</v>
      </c>
      <c r="E1545" s="4">
        <v>30251</v>
      </c>
      <c r="F1545" s="4" t="str">
        <v>9.82K</v>
      </c>
      <c r="G1545" s="4" t="str">
        <v>0.61%</v>
      </c>
      <c r="H1545" s="3">
        <v>43180</v>
      </c>
      <c r="I1545" s="4">
        <v>30388</v>
      </c>
    </row>
    <row r="1546" spans="1:9" x14ac:dyDescent="0.25">
      <c r="A1546" s="3">
        <v>43179</v>
      </c>
      <c r="B1546" s="4">
        <v>30263</v>
      </c>
      <c r="C1546" s="4">
        <v>30351</v>
      </c>
      <c r="D1546" s="4">
        <v>30356</v>
      </c>
      <c r="E1546" s="4">
        <v>30185</v>
      </c>
      <c r="F1546" s="4" t="str">
        <v>9.26K</v>
      </c>
      <c r="G1546" s="4" t="str">
        <v>-0.51%</v>
      </c>
      <c r="H1546" s="3">
        <v>43179</v>
      </c>
      <c r="I1546" s="4">
        <v>30270.5</v>
      </c>
    </row>
    <row r="1547" spans="1:9" x14ac:dyDescent="0.25">
      <c r="A1547" s="3">
        <v>43178</v>
      </c>
      <c r="B1547" s="4">
        <v>30418</v>
      </c>
      <c r="C1547" s="4">
        <v>30180</v>
      </c>
      <c r="D1547" s="4">
        <v>30439</v>
      </c>
      <c r="E1547" s="4">
        <v>30095</v>
      </c>
      <c r="F1547" s="4" t="str">
        <v>9.87K</v>
      </c>
      <c r="G1547" s="4" t="str">
        <v>0.64%</v>
      </c>
      <c r="H1547" s="3">
        <v>43178</v>
      </c>
      <c r="I1547" s="4">
        <v>30267</v>
      </c>
    </row>
    <row r="1548" spans="1:9" x14ac:dyDescent="0.25">
      <c r="A1548" s="3">
        <v>43175</v>
      </c>
      <c r="B1548" s="4">
        <v>30224</v>
      </c>
      <c r="C1548" s="4">
        <v>30255</v>
      </c>
      <c r="D1548" s="4">
        <v>30349</v>
      </c>
      <c r="E1548" s="4">
        <v>30145</v>
      </c>
      <c r="F1548" s="4" t="str">
        <v>9.01K</v>
      </c>
      <c r="G1548" s="4" t="str">
        <v>-0.25%</v>
      </c>
      <c r="H1548" s="3">
        <v>43175</v>
      </c>
      <c r="I1548" s="4">
        <v>30247</v>
      </c>
    </row>
    <row r="1549" spans="1:9" x14ac:dyDescent="0.25">
      <c r="A1549" s="3">
        <v>43174</v>
      </c>
      <c r="B1549" s="4">
        <v>30299</v>
      </c>
      <c r="C1549" s="4">
        <v>30433</v>
      </c>
      <c r="D1549" s="4">
        <v>30473</v>
      </c>
      <c r="E1549" s="4">
        <v>30264</v>
      </c>
      <c r="F1549" s="4" t="str">
        <v>7.75K</v>
      </c>
      <c r="G1549" s="4" t="str">
        <v>-0.35%</v>
      </c>
      <c r="H1549" s="3">
        <v>43174</v>
      </c>
      <c r="I1549" s="4">
        <v>30368.5</v>
      </c>
    </row>
    <row r="1550" spans="1:9" x14ac:dyDescent="0.25">
      <c r="A1550" s="3">
        <v>43173</v>
      </c>
      <c r="B1550" s="4">
        <v>30405</v>
      </c>
      <c r="C1550" s="4">
        <v>30420</v>
      </c>
      <c r="D1550" s="4">
        <v>30546</v>
      </c>
      <c r="E1550" s="4">
        <v>30356</v>
      </c>
      <c r="F1550" s="4" t="str">
        <v>8.37K</v>
      </c>
      <c r="G1550" s="4" t="str">
        <v>0.09%</v>
      </c>
      <c r="H1550" s="3">
        <v>43173</v>
      </c>
      <c r="I1550" s="4">
        <v>30451</v>
      </c>
    </row>
    <row r="1551" spans="1:9" x14ac:dyDescent="0.25">
      <c r="A1551" s="3">
        <v>43172</v>
      </c>
      <c r="B1551" s="4">
        <v>30377</v>
      </c>
      <c r="C1551" s="4">
        <v>30322</v>
      </c>
      <c r="D1551" s="4">
        <v>30409</v>
      </c>
      <c r="E1551" s="4">
        <v>30237</v>
      </c>
      <c r="F1551" s="4" t="str">
        <v>9.86K</v>
      </c>
      <c r="G1551" s="4" t="str">
        <v>0.15%</v>
      </c>
      <c r="H1551" s="3">
        <v>43172</v>
      </c>
      <c r="I1551" s="4">
        <v>30323</v>
      </c>
    </row>
    <row r="1552" spans="1:9" x14ac:dyDescent="0.25">
      <c r="A1552" s="3">
        <v>43171</v>
      </c>
      <c r="B1552" s="4">
        <v>30332</v>
      </c>
      <c r="C1552" s="4">
        <v>30403</v>
      </c>
      <c r="D1552" s="4">
        <v>30427</v>
      </c>
      <c r="E1552" s="4">
        <v>30267</v>
      </c>
      <c r="F1552" s="4" t="str">
        <v>6.41K</v>
      </c>
      <c r="G1552" s="4" t="str">
        <v>-0.23%</v>
      </c>
      <c r="H1552" s="3">
        <v>43171</v>
      </c>
      <c r="I1552" s="4">
        <v>30347</v>
      </c>
    </row>
    <row r="1553" spans="1:9" x14ac:dyDescent="0.25">
      <c r="A1553" s="3">
        <v>43168</v>
      </c>
      <c r="B1553" s="4">
        <v>30401</v>
      </c>
      <c r="C1553" s="4">
        <v>30384</v>
      </c>
      <c r="D1553" s="4">
        <v>30470</v>
      </c>
      <c r="E1553" s="4">
        <v>30280</v>
      </c>
      <c r="F1553" s="4" t="str">
        <v>9.75K</v>
      </c>
      <c r="G1553" s="4" t="str">
        <v>-0.09%</v>
      </c>
      <c r="H1553" s="3">
        <v>43168</v>
      </c>
      <c r="I1553" s="4">
        <v>30375</v>
      </c>
    </row>
    <row r="1554" spans="1:9" x14ac:dyDescent="0.25">
      <c r="A1554" s="3">
        <v>43167</v>
      </c>
      <c r="B1554" s="4">
        <v>30429</v>
      </c>
      <c r="C1554" s="4">
        <v>30477</v>
      </c>
      <c r="D1554" s="4">
        <v>30546</v>
      </c>
      <c r="E1554" s="4">
        <v>30396</v>
      </c>
      <c r="F1554" s="4" t="str">
        <v>7.26K</v>
      </c>
      <c r="G1554" s="4" t="str">
        <v>-0.15%</v>
      </c>
      <c r="H1554" s="3">
        <v>43167</v>
      </c>
      <c r="I1554" s="4">
        <v>30471</v>
      </c>
    </row>
    <row r="1555" spans="1:9" x14ac:dyDescent="0.25">
      <c r="A1555" s="3">
        <v>43166</v>
      </c>
      <c r="B1555" s="4">
        <v>30474</v>
      </c>
      <c r="C1555" s="4">
        <v>30650</v>
      </c>
      <c r="D1555" s="4">
        <v>30650</v>
      </c>
      <c r="E1555" s="4">
        <v>30394</v>
      </c>
      <c r="F1555" s="4" t="str">
        <v>8.20K</v>
      </c>
      <c r="G1555" s="4" t="str">
        <v>-0.32%</v>
      </c>
      <c r="H1555" s="3">
        <v>43166</v>
      </c>
      <c r="I1555" s="4">
        <v>30522</v>
      </c>
    </row>
    <row r="1556" spans="1:9" x14ac:dyDescent="0.25">
      <c r="A1556" s="3">
        <v>43165</v>
      </c>
      <c r="B1556" s="4">
        <v>30573</v>
      </c>
      <c r="C1556" s="4">
        <v>30397</v>
      </c>
      <c r="D1556" s="4">
        <v>30687</v>
      </c>
      <c r="E1556" s="4">
        <v>30362</v>
      </c>
      <c r="F1556" s="4" t="str">
        <v>9.73K</v>
      </c>
      <c r="G1556" s="4" t="str">
        <v>0.73%</v>
      </c>
      <c r="H1556" s="3">
        <v>43165</v>
      </c>
      <c r="I1556" s="4">
        <v>30524.5</v>
      </c>
    </row>
    <row r="1557" spans="1:9" x14ac:dyDescent="0.25">
      <c r="A1557" s="3">
        <v>43164</v>
      </c>
      <c r="B1557" s="4">
        <v>30352</v>
      </c>
      <c r="C1557" s="4">
        <v>30460</v>
      </c>
      <c r="D1557" s="4">
        <v>30548</v>
      </c>
      <c r="E1557" s="4">
        <v>30341</v>
      </c>
      <c r="F1557" s="4" t="str">
        <v>6.15K</v>
      </c>
      <c r="G1557" s="4" t="str">
        <v>-0.32%</v>
      </c>
      <c r="H1557" s="3">
        <v>43164</v>
      </c>
      <c r="I1557" s="4">
        <v>30444.5</v>
      </c>
    </row>
    <row r="1558" spans="1:9" x14ac:dyDescent="0.25">
      <c r="A1558" s="3">
        <v>43161</v>
      </c>
      <c r="B1558" s="4">
        <v>30448</v>
      </c>
      <c r="C1558" s="4">
        <v>30250</v>
      </c>
      <c r="D1558" s="4">
        <v>30528</v>
      </c>
      <c r="E1558" s="4">
        <v>30250</v>
      </c>
      <c r="F1558" s="4" t="str">
        <v>4.87K</v>
      </c>
      <c r="G1558" s="4" t="str">
        <v>0.94%</v>
      </c>
      <c r="H1558" s="3">
        <v>43161</v>
      </c>
      <c r="I1558" s="4">
        <v>30389</v>
      </c>
    </row>
    <row r="1559" spans="1:9" x14ac:dyDescent="0.25">
      <c r="A1559" s="3">
        <v>43160</v>
      </c>
      <c r="B1559" s="4">
        <v>30165</v>
      </c>
      <c r="C1559" s="4">
        <v>30320</v>
      </c>
      <c r="D1559" s="4">
        <v>30320</v>
      </c>
      <c r="E1559" s="4">
        <v>30119</v>
      </c>
      <c r="F1559" s="4" t="str">
        <v>7.91K</v>
      </c>
      <c r="G1559" s="4" t="str">
        <v>-0.70%</v>
      </c>
      <c r="H1559" s="3">
        <v>43160</v>
      </c>
      <c r="I1559" s="4">
        <v>30219.5</v>
      </c>
    </row>
    <row r="1560" spans="1:9" x14ac:dyDescent="0.25">
      <c r="A1560" s="3">
        <v>43159</v>
      </c>
      <c r="B1560" s="4">
        <v>30379</v>
      </c>
      <c r="C1560" s="4">
        <v>30310</v>
      </c>
      <c r="D1560" s="4">
        <v>30446</v>
      </c>
      <c r="E1560" s="4">
        <v>30287</v>
      </c>
      <c r="F1560" s="4" t="str">
        <v>7.48K</v>
      </c>
      <c r="G1560" s="4" t="str">
        <v>0.28%</v>
      </c>
      <c r="H1560" s="3">
        <v>43159</v>
      </c>
      <c r="I1560" s="4">
        <v>30366.5</v>
      </c>
    </row>
    <row r="1561" spans="1:9" x14ac:dyDescent="0.25">
      <c r="A1561" s="3">
        <v>43158</v>
      </c>
      <c r="B1561" s="4">
        <v>30295</v>
      </c>
      <c r="C1561" s="4">
        <v>30540</v>
      </c>
      <c r="D1561" s="4">
        <v>30610</v>
      </c>
      <c r="E1561" s="4">
        <v>30272</v>
      </c>
      <c r="F1561" s="4" t="str">
        <v>9.75K</v>
      </c>
      <c r="G1561" s="4" t="str">
        <v>-0.77%</v>
      </c>
      <c r="H1561" s="3">
        <v>43158</v>
      </c>
      <c r="I1561" s="4">
        <v>30441</v>
      </c>
    </row>
    <row r="1562" spans="1:9" x14ac:dyDescent="0.25">
      <c r="A1562" s="3">
        <v>43157</v>
      </c>
      <c r="B1562" s="4">
        <v>30531</v>
      </c>
      <c r="C1562" s="4">
        <v>30526</v>
      </c>
      <c r="D1562" s="4">
        <v>30644</v>
      </c>
      <c r="E1562" s="4">
        <v>30501</v>
      </c>
      <c r="F1562" s="4" t="str">
        <v>6.99K</v>
      </c>
      <c r="G1562" s="4" t="str">
        <v>0.07%</v>
      </c>
      <c r="H1562" s="3">
        <v>43157</v>
      </c>
      <c r="I1562" s="4">
        <v>30572.5</v>
      </c>
    </row>
    <row r="1563" spans="1:9" x14ac:dyDescent="0.25">
      <c r="A1563" s="3">
        <v>43154</v>
      </c>
      <c r="B1563" s="4">
        <v>30509</v>
      </c>
      <c r="C1563" s="4">
        <v>30501</v>
      </c>
      <c r="D1563" s="4">
        <v>30525</v>
      </c>
      <c r="E1563" s="4">
        <v>30427</v>
      </c>
      <c r="F1563" s="4" t="str">
        <v>5.68K</v>
      </c>
      <c r="G1563" s="4" t="str">
        <v>-0.21%</v>
      </c>
      <c r="H1563" s="3">
        <v>43154</v>
      </c>
      <c r="I1563" s="4">
        <v>30476</v>
      </c>
    </row>
    <row r="1564" spans="1:9" x14ac:dyDescent="0.25">
      <c r="A1564" s="3">
        <v>43153</v>
      </c>
      <c r="B1564" s="4">
        <v>30573</v>
      </c>
      <c r="C1564" s="4">
        <v>30459</v>
      </c>
      <c r="D1564" s="4">
        <v>30590</v>
      </c>
      <c r="E1564" s="4">
        <v>30400</v>
      </c>
      <c r="F1564" s="4" t="str">
        <v>7.36K</v>
      </c>
      <c r="G1564" s="4" t="str">
        <v>0.32%</v>
      </c>
      <c r="H1564" s="3">
        <v>43153</v>
      </c>
      <c r="I1564" s="4">
        <v>30495</v>
      </c>
    </row>
    <row r="1565" spans="1:9" x14ac:dyDescent="0.25">
      <c r="A1565" s="3">
        <v>43152</v>
      </c>
      <c r="B1565" s="4">
        <v>30476</v>
      </c>
      <c r="C1565" s="4">
        <v>30451</v>
      </c>
      <c r="D1565" s="4">
        <v>30539</v>
      </c>
      <c r="E1565" s="4">
        <v>30387</v>
      </c>
      <c r="F1565" s="4" t="str">
        <v>7.87K</v>
      </c>
      <c r="G1565" s="4" t="str">
        <v>-0.18%</v>
      </c>
      <c r="H1565" s="3">
        <v>43152</v>
      </c>
      <c r="I1565" s="4">
        <v>30463</v>
      </c>
    </row>
    <row r="1566" spans="1:9" x14ac:dyDescent="0.25">
      <c r="A1566" s="3">
        <v>43151</v>
      </c>
      <c r="B1566" s="4">
        <v>30532</v>
      </c>
      <c r="C1566" s="4">
        <v>30629</v>
      </c>
      <c r="D1566" s="4">
        <v>30774</v>
      </c>
      <c r="E1566" s="4">
        <v>30511</v>
      </c>
      <c r="F1566" s="4" t="str">
        <v>9.45K</v>
      </c>
      <c r="G1566" s="4" t="str">
        <v>-0.68%</v>
      </c>
      <c r="H1566" s="3">
        <v>43151</v>
      </c>
      <c r="I1566" s="4">
        <v>30642.5</v>
      </c>
    </row>
    <row r="1567" spans="1:9" x14ac:dyDescent="0.25">
      <c r="A1567" s="3">
        <v>43150</v>
      </c>
      <c r="B1567" s="4">
        <v>30742</v>
      </c>
      <c r="C1567" s="4">
        <v>30763</v>
      </c>
      <c r="D1567" s="4">
        <v>30792</v>
      </c>
      <c r="E1567" s="4">
        <v>30725</v>
      </c>
      <c r="F1567" s="4" t="str">
        <v>4.28K</v>
      </c>
      <c r="G1567" s="4" t="str">
        <v>-0.24%</v>
      </c>
      <c r="H1567" s="3">
        <v>43150</v>
      </c>
      <c r="I1567" s="4">
        <v>30758.5</v>
      </c>
    </row>
    <row r="1568" spans="1:9" x14ac:dyDescent="0.25">
      <c r="A1568" s="3">
        <v>43147</v>
      </c>
      <c r="B1568" s="4">
        <v>30816</v>
      </c>
      <c r="C1568" s="4">
        <v>30650</v>
      </c>
      <c r="D1568" s="4">
        <v>30839</v>
      </c>
      <c r="E1568" s="4">
        <v>30650</v>
      </c>
      <c r="F1568" s="4" t="str">
        <v>9.08K</v>
      </c>
      <c r="G1568" s="4" t="str">
        <v>0.78%</v>
      </c>
      <c r="H1568" s="3">
        <v>43147</v>
      </c>
      <c r="I1568" s="4">
        <v>30744.5</v>
      </c>
    </row>
    <row r="1569" spans="1:9" x14ac:dyDescent="0.25">
      <c r="A1569" s="3">
        <v>43146</v>
      </c>
      <c r="B1569" s="4">
        <v>30579</v>
      </c>
      <c r="C1569" s="4">
        <v>30641</v>
      </c>
      <c r="D1569" s="4">
        <v>30681</v>
      </c>
      <c r="E1569" s="4">
        <v>30531</v>
      </c>
      <c r="F1569" s="4" t="str">
        <v>8.33K</v>
      </c>
      <c r="G1569" s="4" t="str">
        <v>-0.15%</v>
      </c>
      <c r="H1569" s="3">
        <v>43146</v>
      </c>
      <c r="I1569" s="4">
        <v>30606</v>
      </c>
    </row>
    <row r="1570" spans="1:9" x14ac:dyDescent="0.25">
      <c r="A1570" s="3">
        <v>43145</v>
      </c>
      <c r="B1570" s="4">
        <v>30624</v>
      </c>
      <c r="C1570" s="4">
        <v>30250</v>
      </c>
      <c r="D1570" s="4">
        <v>30687</v>
      </c>
      <c r="E1570" s="4">
        <v>30043</v>
      </c>
      <c r="F1570" s="4" t="str">
        <v>11.44K</v>
      </c>
      <c r="G1570" s="4" t="str">
        <v>1.34%</v>
      </c>
      <c r="H1570" s="3">
        <v>43145</v>
      </c>
      <c r="I1570" s="4">
        <v>30365</v>
      </c>
    </row>
    <row r="1571" spans="1:9" x14ac:dyDescent="0.25">
      <c r="A1571" s="3">
        <v>43144</v>
      </c>
      <c r="B1571" s="4">
        <v>30218</v>
      </c>
      <c r="C1571" s="4">
        <v>30200</v>
      </c>
      <c r="D1571" s="4">
        <v>30250</v>
      </c>
      <c r="E1571" s="4">
        <v>30102</v>
      </c>
      <c r="F1571" s="4" t="str">
        <v>3.23K</v>
      </c>
      <c r="G1571" s="4" t="str">
        <v>0.22%</v>
      </c>
      <c r="H1571" s="3">
        <v>43144</v>
      </c>
      <c r="I1571" s="4">
        <v>30176</v>
      </c>
    </row>
    <row r="1572" spans="1:9" x14ac:dyDescent="0.25">
      <c r="A1572" s="3">
        <v>43143</v>
      </c>
      <c r="B1572" s="4">
        <v>30152</v>
      </c>
      <c r="C1572" s="4">
        <v>30118</v>
      </c>
      <c r="D1572" s="4">
        <v>30178</v>
      </c>
      <c r="E1572" s="4">
        <v>30030</v>
      </c>
      <c r="F1572" s="4" t="str">
        <v>5.84K</v>
      </c>
      <c r="G1572" s="4" t="str">
        <v>0.48%</v>
      </c>
      <c r="H1572" s="3">
        <v>43143</v>
      </c>
      <c r="I1572" s="4">
        <v>30104</v>
      </c>
    </row>
    <row r="1573" spans="1:9" x14ac:dyDescent="0.25">
      <c r="A1573" s="3">
        <v>43140</v>
      </c>
      <c r="B1573" s="4">
        <v>30009</v>
      </c>
      <c r="C1573" s="4">
        <v>30055</v>
      </c>
      <c r="D1573" s="4">
        <v>30102</v>
      </c>
      <c r="E1573" s="4">
        <v>29891</v>
      </c>
      <c r="F1573" s="4" t="str">
        <v>9.13K</v>
      </c>
      <c r="G1573" s="4" t="str">
        <v>-0.33%</v>
      </c>
      <c r="H1573" s="3">
        <v>43140</v>
      </c>
      <c r="I1573" s="4">
        <v>29996.5</v>
      </c>
    </row>
    <row r="1574" spans="1:9" x14ac:dyDescent="0.25">
      <c r="A1574" s="3">
        <v>43139</v>
      </c>
      <c r="B1574" s="4">
        <v>30107</v>
      </c>
      <c r="C1574" s="4">
        <v>29950</v>
      </c>
      <c r="D1574" s="4">
        <v>30173</v>
      </c>
      <c r="E1574" s="4">
        <v>29805</v>
      </c>
      <c r="F1574" s="4" t="str">
        <v>9.85K</v>
      </c>
      <c r="G1574" s="4" t="str">
        <v>0.37%</v>
      </c>
      <c r="H1574" s="3">
        <v>43139</v>
      </c>
      <c r="I1574" s="4">
        <v>29989</v>
      </c>
    </row>
    <row r="1575" spans="1:9" x14ac:dyDescent="0.25">
      <c r="A1575" s="3">
        <v>43138</v>
      </c>
      <c r="B1575" s="4">
        <v>29995</v>
      </c>
      <c r="C1575" s="4">
        <v>30223</v>
      </c>
      <c r="D1575" s="4">
        <v>30250</v>
      </c>
      <c r="E1575" s="4">
        <v>29972</v>
      </c>
      <c r="F1575" s="4" t="str">
        <v>8.27K</v>
      </c>
      <c r="G1575" s="4" t="str">
        <v>-0.64%</v>
      </c>
      <c r="H1575" s="3">
        <v>43138</v>
      </c>
      <c r="I1575" s="4">
        <v>30111</v>
      </c>
    </row>
    <row r="1576" spans="1:9" x14ac:dyDescent="0.25">
      <c r="A1576" s="3">
        <v>43137</v>
      </c>
      <c r="B1576" s="4">
        <v>30187</v>
      </c>
      <c r="C1576" s="4">
        <v>30350</v>
      </c>
      <c r="D1576" s="4">
        <v>30714</v>
      </c>
      <c r="E1576" s="4">
        <v>30165</v>
      </c>
      <c r="F1576" s="4" t="str">
        <v>11.15K</v>
      </c>
      <c r="G1576" s="4" t="str">
        <v>-0.25%</v>
      </c>
      <c r="H1576" s="3">
        <v>43137</v>
      </c>
      <c r="I1576" s="4">
        <v>30439.5</v>
      </c>
    </row>
    <row r="1577" spans="1:9" x14ac:dyDescent="0.25">
      <c r="A1577" s="3">
        <v>43136</v>
      </c>
      <c r="B1577" s="4">
        <v>30262</v>
      </c>
      <c r="C1577" s="4">
        <v>30420</v>
      </c>
      <c r="D1577" s="4">
        <v>30420</v>
      </c>
      <c r="E1577" s="4">
        <v>30222</v>
      </c>
      <c r="F1577" s="4" t="str">
        <v>0.29K</v>
      </c>
      <c r="G1577" s="4" t="str">
        <v>-0.35%</v>
      </c>
      <c r="H1577" s="3">
        <v>43136</v>
      </c>
      <c r="I1577" s="4">
        <v>30321</v>
      </c>
    </row>
    <row r="1578" spans="1:9" x14ac:dyDescent="0.25">
      <c r="A1578" s="3">
        <v>43133</v>
      </c>
      <c r="B1578" s="4">
        <v>30367</v>
      </c>
      <c r="C1578" s="4">
        <v>30660</v>
      </c>
      <c r="D1578" s="4">
        <v>30720</v>
      </c>
      <c r="E1578" s="4">
        <v>30244</v>
      </c>
      <c r="F1578" s="4" t="str">
        <v>0.77K</v>
      </c>
      <c r="G1578" s="4" t="str">
        <v>-0.45%</v>
      </c>
      <c r="H1578" s="3">
        <v>43133</v>
      </c>
      <c r="I1578" s="4">
        <v>30482</v>
      </c>
    </row>
    <row r="1579" spans="1:9" x14ac:dyDescent="0.25">
      <c r="A1579" s="3">
        <v>43132</v>
      </c>
      <c r="B1579" s="4">
        <v>30505</v>
      </c>
      <c r="C1579" s="4">
        <v>30189</v>
      </c>
      <c r="D1579" s="4">
        <v>30570</v>
      </c>
      <c r="E1579" s="4">
        <v>30041</v>
      </c>
      <c r="F1579" s="4" t="str">
        <v>1.54K</v>
      </c>
      <c r="G1579" s="4" t="str">
        <v>1.29%</v>
      </c>
      <c r="H1579" s="3">
        <v>43132</v>
      </c>
      <c r="I1579" s="4">
        <v>30305.5</v>
      </c>
    </row>
    <row r="1580" spans="1:9" x14ac:dyDescent="0.25">
      <c r="A1580" s="3">
        <v>43131</v>
      </c>
      <c r="B1580" s="4">
        <v>30117</v>
      </c>
      <c r="C1580" s="4">
        <v>30069</v>
      </c>
      <c r="D1580" s="4">
        <v>30167</v>
      </c>
      <c r="E1580" s="4">
        <v>30052</v>
      </c>
      <c r="F1580" s="4" t="str">
        <v>5.95K</v>
      </c>
      <c r="G1580" s="4" t="str">
        <v>0.22%</v>
      </c>
      <c r="H1580" s="3">
        <v>43131</v>
      </c>
      <c r="I1580" s="4">
        <v>30109.5</v>
      </c>
    </row>
    <row r="1581" spans="1:9" x14ac:dyDescent="0.25">
      <c r="A1581" s="3">
        <v>43130</v>
      </c>
      <c r="B1581" s="4">
        <v>30052</v>
      </c>
      <c r="C1581" s="4">
        <v>29978</v>
      </c>
      <c r="D1581" s="4">
        <v>30170</v>
      </c>
      <c r="E1581" s="4">
        <v>29954</v>
      </c>
      <c r="F1581" s="4" t="str">
        <v>8.58K</v>
      </c>
      <c r="G1581" s="4" t="str">
        <v>-0.03%</v>
      </c>
      <c r="H1581" s="3">
        <v>43130</v>
      </c>
      <c r="I1581" s="4">
        <v>30062</v>
      </c>
    </row>
    <row r="1582" spans="1:9" x14ac:dyDescent="0.25">
      <c r="A1582" s="3">
        <v>43129</v>
      </c>
      <c r="B1582" s="4">
        <v>30060</v>
      </c>
      <c r="C1582" s="4">
        <v>30150</v>
      </c>
      <c r="D1582" s="4">
        <v>30150</v>
      </c>
      <c r="E1582" s="4">
        <v>29980</v>
      </c>
      <c r="F1582" s="4" t="str">
        <v>6.91K</v>
      </c>
      <c r="G1582" s="4" t="str">
        <v>-0.99%</v>
      </c>
      <c r="H1582" s="3">
        <v>43129</v>
      </c>
      <c r="I1582" s="4">
        <v>30065</v>
      </c>
    </row>
    <row r="1583" spans="1:9" x14ac:dyDescent="0.25">
      <c r="A1583" s="3">
        <v>43125</v>
      </c>
      <c r="B1583" s="4">
        <v>30361</v>
      </c>
      <c r="C1583" s="4">
        <v>30300</v>
      </c>
      <c r="D1583" s="4">
        <v>30464</v>
      </c>
      <c r="E1583" s="4">
        <v>30170</v>
      </c>
      <c r="F1583" s="4" t="str">
        <v>7.04K</v>
      </c>
      <c r="G1583" s="4" t="str">
        <v>0.37%</v>
      </c>
      <c r="H1583" s="3">
        <v>43125</v>
      </c>
      <c r="I1583" s="4">
        <v>30317</v>
      </c>
    </row>
    <row r="1584" spans="1:9" x14ac:dyDescent="0.25">
      <c r="A1584" s="3">
        <v>43124</v>
      </c>
      <c r="B1584" s="4">
        <v>30249</v>
      </c>
      <c r="C1584" s="4">
        <v>29935</v>
      </c>
      <c r="D1584" s="4">
        <v>30291</v>
      </c>
      <c r="E1584" s="4">
        <v>29916</v>
      </c>
      <c r="F1584" s="4" t="str">
        <v>9.18K</v>
      </c>
      <c r="G1584" s="4" t="str">
        <v>1.13%</v>
      </c>
      <c r="H1584" s="3">
        <v>43124</v>
      </c>
      <c r="I1584" s="4">
        <v>30103.5</v>
      </c>
    </row>
    <row r="1585" spans="1:9" x14ac:dyDescent="0.25">
      <c r="A1585" s="3">
        <v>43123</v>
      </c>
      <c r="B1585" s="4">
        <v>29911</v>
      </c>
      <c r="C1585" s="4">
        <v>29873</v>
      </c>
      <c r="D1585" s="4">
        <v>29932</v>
      </c>
      <c r="E1585" s="4">
        <v>29781</v>
      </c>
      <c r="F1585" s="4" t="str">
        <v>6.74K</v>
      </c>
      <c r="G1585" s="4" t="str">
        <v>0.26%</v>
      </c>
      <c r="H1585" s="3">
        <v>43123</v>
      </c>
      <c r="I1585" s="4">
        <v>29856.5</v>
      </c>
    </row>
    <row r="1586" spans="1:9" x14ac:dyDescent="0.25">
      <c r="A1586" s="3">
        <v>43122</v>
      </c>
      <c r="B1586" s="4">
        <v>29834</v>
      </c>
      <c r="C1586" s="4">
        <v>29699</v>
      </c>
      <c r="D1586" s="4">
        <v>29863</v>
      </c>
      <c r="E1586" s="4">
        <v>29699</v>
      </c>
      <c r="F1586" s="4" t="str">
        <v>7.06K</v>
      </c>
      <c r="G1586" s="4" t="str">
        <v>0.27%</v>
      </c>
      <c r="H1586" s="3">
        <v>43122</v>
      </c>
      <c r="I1586" s="4">
        <v>29781</v>
      </c>
    </row>
    <row r="1587" spans="1:9" x14ac:dyDescent="0.25">
      <c r="A1587" s="3">
        <v>43119</v>
      </c>
      <c r="B1587" s="4">
        <v>29755</v>
      </c>
      <c r="C1587" s="4">
        <v>29601</v>
      </c>
      <c r="D1587" s="4">
        <v>29780</v>
      </c>
      <c r="E1587" s="4">
        <v>29595</v>
      </c>
      <c r="F1587" s="4" t="str">
        <v>5.57K</v>
      </c>
      <c r="G1587" s="4" t="str">
        <v>0.37%</v>
      </c>
      <c r="H1587" s="3">
        <v>43119</v>
      </c>
      <c r="I1587" s="4">
        <v>29687.5</v>
      </c>
    </row>
    <row r="1588" spans="1:9" x14ac:dyDescent="0.25">
      <c r="A1588" s="3">
        <v>43118</v>
      </c>
      <c r="B1588" s="4">
        <v>29645</v>
      </c>
      <c r="C1588" s="4">
        <v>29650</v>
      </c>
      <c r="D1588" s="4">
        <v>29700</v>
      </c>
      <c r="E1588" s="4">
        <v>29550</v>
      </c>
      <c r="F1588" s="4" t="str">
        <v>6.35K</v>
      </c>
      <c r="G1588" s="4" t="str">
        <v>-0.38%</v>
      </c>
      <c r="H1588" s="3">
        <v>43118</v>
      </c>
      <c r="I1588" s="4">
        <v>29625</v>
      </c>
    </row>
    <row r="1589" spans="1:9" x14ac:dyDescent="0.25">
      <c r="A1589" s="3">
        <v>43117</v>
      </c>
      <c r="B1589" s="4">
        <v>29757</v>
      </c>
      <c r="C1589" s="4">
        <v>29801</v>
      </c>
      <c r="D1589" s="4">
        <v>29829</v>
      </c>
      <c r="E1589" s="4">
        <v>29680</v>
      </c>
      <c r="F1589" s="4" t="str">
        <v>6.27K</v>
      </c>
      <c r="G1589" s="4" t="str">
        <v>-0.22%</v>
      </c>
      <c r="H1589" s="3">
        <v>43117</v>
      </c>
      <c r="I1589" s="4">
        <v>29754.5</v>
      </c>
    </row>
    <row r="1590" spans="1:9" x14ac:dyDescent="0.25">
      <c r="A1590" s="3">
        <v>43116</v>
      </c>
      <c r="B1590" s="4">
        <v>29822</v>
      </c>
      <c r="C1590" s="4">
        <v>29799</v>
      </c>
      <c r="D1590" s="4">
        <v>29850</v>
      </c>
      <c r="E1590" s="4">
        <v>29740</v>
      </c>
      <c r="F1590" s="4" t="str">
        <v>7.66K</v>
      </c>
      <c r="G1590" s="4" t="str">
        <v>0.24%</v>
      </c>
      <c r="H1590" s="3">
        <v>43116</v>
      </c>
      <c r="I1590" s="4">
        <v>29795</v>
      </c>
    </row>
    <row r="1591" spans="1:9" x14ac:dyDescent="0.25">
      <c r="A1591" s="3">
        <v>43115</v>
      </c>
      <c r="B1591" s="4">
        <v>29752</v>
      </c>
      <c r="C1591" s="4">
        <v>29600</v>
      </c>
      <c r="D1591" s="4">
        <v>29779</v>
      </c>
      <c r="E1591" s="4">
        <v>29600</v>
      </c>
      <c r="F1591" s="4" t="str">
        <v>5.50K</v>
      </c>
      <c r="G1591" s="4" t="str">
        <v>0.69%</v>
      </c>
      <c r="H1591" s="3">
        <v>43115</v>
      </c>
      <c r="I1591" s="4">
        <v>29689.5</v>
      </c>
    </row>
    <row r="1592" spans="1:9" x14ac:dyDescent="0.25">
      <c r="A1592" s="3">
        <v>43112</v>
      </c>
      <c r="B1592" s="4">
        <v>29547</v>
      </c>
      <c r="C1592" s="4">
        <v>29450</v>
      </c>
      <c r="D1592" s="4">
        <v>29580</v>
      </c>
      <c r="E1592" s="4">
        <v>29420</v>
      </c>
      <c r="F1592" s="4" t="str">
        <v>8.19K</v>
      </c>
      <c r="G1592" s="4" t="str">
        <v>0.53%</v>
      </c>
      <c r="H1592" s="3">
        <v>43112</v>
      </c>
      <c r="I1592" s="4">
        <v>29500</v>
      </c>
    </row>
    <row r="1593" spans="1:9" x14ac:dyDescent="0.25">
      <c r="A1593" s="3">
        <v>43111</v>
      </c>
      <c r="B1593" s="4">
        <v>29390</v>
      </c>
      <c r="C1593" s="4">
        <v>29309</v>
      </c>
      <c r="D1593" s="4">
        <v>29406</v>
      </c>
      <c r="E1593" s="4">
        <v>29293</v>
      </c>
      <c r="F1593" s="4" t="str">
        <v>6.58K</v>
      </c>
      <c r="G1593" s="4" t="str">
        <v>0.23%</v>
      </c>
      <c r="H1593" s="3">
        <v>43111</v>
      </c>
      <c r="I1593" s="4">
        <v>29349.5</v>
      </c>
    </row>
    <row r="1594" spans="1:9" x14ac:dyDescent="0.25">
      <c r="A1594" s="3">
        <v>43110</v>
      </c>
      <c r="B1594" s="4">
        <v>29324</v>
      </c>
      <c r="C1594" s="4">
        <v>29135</v>
      </c>
      <c r="D1594" s="4">
        <v>29430</v>
      </c>
      <c r="E1594" s="4">
        <v>29121</v>
      </c>
      <c r="F1594" s="4" t="str">
        <v>10.08K</v>
      </c>
      <c r="G1594" s="4" t="str">
        <v>0.58%</v>
      </c>
      <c r="H1594" s="3">
        <v>43110</v>
      </c>
      <c r="I1594" s="4">
        <v>29275.5</v>
      </c>
    </row>
    <row r="1595" spans="1:9" x14ac:dyDescent="0.25">
      <c r="A1595" s="3">
        <v>43109</v>
      </c>
      <c r="B1595" s="4">
        <v>29156</v>
      </c>
      <c r="C1595" s="4">
        <v>29258</v>
      </c>
      <c r="D1595" s="4">
        <v>29267</v>
      </c>
      <c r="E1595" s="4">
        <v>29140</v>
      </c>
      <c r="F1595" s="4" t="str">
        <v>6.24K</v>
      </c>
      <c r="G1595" s="4" t="str">
        <v>-0.36%</v>
      </c>
      <c r="H1595" s="3">
        <v>43109</v>
      </c>
      <c r="I1595" s="4">
        <v>29203.5</v>
      </c>
    </row>
    <row r="1596" spans="1:9" x14ac:dyDescent="0.25">
      <c r="A1596" s="3">
        <v>43108</v>
      </c>
      <c r="B1596" s="4">
        <v>29261</v>
      </c>
      <c r="C1596" s="4">
        <v>29193</v>
      </c>
      <c r="D1596" s="4">
        <v>29299</v>
      </c>
      <c r="E1596" s="4">
        <v>29165</v>
      </c>
      <c r="F1596" s="4" t="str">
        <v>5.64K</v>
      </c>
      <c r="G1596" s="4" t="str">
        <v>0.15%</v>
      </c>
      <c r="H1596" s="3">
        <v>43108</v>
      </c>
      <c r="I1596" s="4">
        <v>29232</v>
      </c>
    </row>
    <row r="1597" spans="1:9" x14ac:dyDescent="0.25">
      <c r="A1597" s="3">
        <v>43105</v>
      </c>
      <c r="B1597" s="4">
        <v>29217</v>
      </c>
      <c r="C1597" s="4">
        <v>29250</v>
      </c>
      <c r="D1597" s="4">
        <v>29284</v>
      </c>
      <c r="E1597" s="4">
        <v>29155</v>
      </c>
      <c r="F1597" s="4" t="str">
        <v>5.81K</v>
      </c>
      <c r="G1597" s="4" t="str">
        <v>-0.04%</v>
      </c>
      <c r="H1597" s="3">
        <v>43105</v>
      </c>
      <c r="I1597" s="4">
        <v>29219.5</v>
      </c>
    </row>
    <row r="1598" spans="1:9" x14ac:dyDescent="0.25">
      <c r="A1598" s="3">
        <v>43104</v>
      </c>
      <c r="B1598" s="4">
        <v>29230</v>
      </c>
      <c r="C1598" s="4">
        <v>29187</v>
      </c>
      <c r="D1598" s="4">
        <v>29245</v>
      </c>
      <c r="E1598" s="4">
        <v>29061</v>
      </c>
      <c r="F1598" s="4" t="str">
        <v>7.36K</v>
      </c>
      <c r="G1598" s="4" t="str">
        <v>0.02%</v>
      </c>
      <c r="H1598" s="3">
        <v>43104</v>
      </c>
      <c r="I1598" s="4">
        <v>29153</v>
      </c>
    </row>
    <row r="1599" spans="1:9" x14ac:dyDescent="0.25">
      <c r="A1599" s="3">
        <v>43103</v>
      </c>
      <c r="B1599" s="4">
        <v>29225</v>
      </c>
      <c r="C1599" s="4">
        <v>29193</v>
      </c>
      <c r="D1599" s="4">
        <v>29270</v>
      </c>
      <c r="E1599" s="4">
        <v>29165</v>
      </c>
      <c r="F1599" s="4" t="str">
        <v>5.89K</v>
      </c>
      <c r="G1599" s="4" t="str">
        <v>0.22%</v>
      </c>
      <c r="H1599" s="3">
        <v>43103</v>
      </c>
      <c r="I1599" s="4">
        <v>29217.5</v>
      </c>
    </row>
    <row r="1600" spans="1:9" x14ac:dyDescent="0.25">
      <c r="A1600" s="3">
        <v>43102</v>
      </c>
      <c r="B1600" s="4">
        <v>29162</v>
      </c>
      <c r="C1600" s="4">
        <v>29150</v>
      </c>
      <c r="D1600" s="4">
        <v>29225</v>
      </c>
      <c r="E1600" s="4">
        <v>29111</v>
      </c>
      <c r="F1600" s="4" t="str">
        <v>5.17K</v>
      </c>
      <c r="G1600" s="4" t="str">
        <v>0.13%</v>
      </c>
      <c r="H1600" s="3">
        <v>43102</v>
      </c>
      <c r="I1600" s="4">
        <v>29168</v>
      </c>
    </row>
    <row r="1601" spans="1:9" x14ac:dyDescent="0.25">
      <c r="A1601" s="3">
        <v>43101</v>
      </c>
      <c r="B1601" s="4">
        <v>29123</v>
      </c>
      <c r="C1601" s="4">
        <v>29160</v>
      </c>
      <c r="D1601" s="4">
        <v>29184</v>
      </c>
      <c r="E1601" s="4">
        <v>29101</v>
      </c>
      <c r="F1601" s="4" t="str">
        <v>1.47K</v>
      </c>
      <c r="G1601" s="4" t="str">
        <v>-0.11%</v>
      </c>
      <c r="H1601" s="3">
        <v>43101</v>
      </c>
      <c r="I1601" s="4">
        <v>29142.5</v>
      </c>
    </row>
    <row r="1602" spans="1:9" x14ac:dyDescent="0.25">
      <c r="A1602" s="3">
        <v>43098</v>
      </c>
      <c r="B1602" s="4">
        <v>29156</v>
      </c>
      <c r="C1602" s="4">
        <v>29030</v>
      </c>
      <c r="D1602" s="4">
        <v>29175</v>
      </c>
      <c r="E1602" s="4">
        <v>28955</v>
      </c>
      <c r="F1602" s="4" t="str">
        <v>6.90K</v>
      </c>
      <c r="G1602" s="4" t="str">
        <v>0.50%</v>
      </c>
      <c r="H1602" s="3">
        <v>43098</v>
      </c>
      <c r="I1602" s="4">
        <v>29065</v>
      </c>
    </row>
    <row r="1603" spans="1:9" x14ac:dyDescent="0.25">
      <c r="A1603" s="3">
        <v>43097</v>
      </c>
      <c r="B1603" s="4">
        <v>29012</v>
      </c>
      <c r="C1603" s="4">
        <v>28970</v>
      </c>
      <c r="D1603" s="4">
        <v>29078</v>
      </c>
      <c r="E1603" s="4">
        <v>28910</v>
      </c>
      <c r="F1603" s="4" t="str">
        <v>6.11K</v>
      </c>
      <c r="G1603" s="4" t="str">
        <v>0.24%</v>
      </c>
      <c r="H1603" s="3">
        <v>43097</v>
      </c>
      <c r="I1603" s="4">
        <v>28994</v>
      </c>
    </row>
    <row r="1604" spans="1:9" x14ac:dyDescent="0.25">
      <c r="A1604" s="3">
        <v>43096</v>
      </c>
      <c r="B1604" s="4">
        <v>28942</v>
      </c>
      <c r="C1604" s="4">
        <v>28805</v>
      </c>
      <c r="D1604" s="4">
        <v>28959</v>
      </c>
      <c r="E1604" s="4">
        <v>28805</v>
      </c>
      <c r="F1604" s="4" t="str">
        <v>5.53K</v>
      </c>
      <c r="G1604" s="4" t="str">
        <v>0.39%</v>
      </c>
      <c r="H1604" s="3">
        <v>43096</v>
      </c>
      <c r="I1604" s="4">
        <v>28882</v>
      </c>
    </row>
    <row r="1605" spans="1:9" x14ac:dyDescent="0.25">
      <c r="A1605" s="3">
        <v>43095</v>
      </c>
      <c r="B1605" s="4">
        <v>28829</v>
      </c>
      <c r="C1605" s="4">
        <v>28676</v>
      </c>
      <c r="D1605" s="4">
        <v>28839</v>
      </c>
      <c r="E1605" s="4">
        <v>28676</v>
      </c>
      <c r="F1605" s="4" t="str">
        <v>3.60K</v>
      </c>
      <c r="G1605" s="4" t="str">
        <v>0.61%</v>
      </c>
      <c r="H1605" s="3">
        <v>43095</v>
      </c>
      <c r="I1605" s="4">
        <v>28757.5</v>
      </c>
    </row>
    <row r="1606" spans="1:9" x14ac:dyDescent="0.25">
      <c r="A1606" s="3">
        <v>43091</v>
      </c>
      <c r="B1606" s="4">
        <v>28653</v>
      </c>
      <c r="C1606" s="4">
        <v>28484</v>
      </c>
      <c r="D1606" s="4">
        <v>28666</v>
      </c>
      <c r="E1606" s="4">
        <v>28465</v>
      </c>
      <c r="F1606" s="4" t="str">
        <v>5.38K</v>
      </c>
      <c r="G1606" s="4" t="str">
        <v>0.53%</v>
      </c>
      <c r="H1606" s="3">
        <v>43091</v>
      </c>
      <c r="I1606" s="4">
        <v>28565.5</v>
      </c>
    </row>
    <row r="1607" spans="1:9" x14ac:dyDescent="0.25">
      <c r="A1607" s="3">
        <v>43090</v>
      </c>
      <c r="B1607" s="4">
        <v>28501</v>
      </c>
      <c r="C1607" s="4">
        <v>28502</v>
      </c>
      <c r="D1607" s="4">
        <v>28550</v>
      </c>
      <c r="E1607" s="4">
        <v>28433</v>
      </c>
      <c r="F1607" s="4" t="str">
        <v>5.25K</v>
      </c>
      <c r="G1607" s="4" t="str">
        <v>0.03%</v>
      </c>
      <c r="H1607" s="3">
        <v>43090</v>
      </c>
      <c r="I1607" s="4">
        <v>28491.5</v>
      </c>
    </row>
    <row r="1608" spans="1:9" x14ac:dyDescent="0.25">
      <c r="A1608" s="3">
        <v>43089</v>
      </c>
      <c r="B1608" s="4">
        <v>28493</v>
      </c>
      <c r="C1608" s="4">
        <v>28452</v>
      </c>
      <c r="D1608" s="4">
        <v>28524</v>
      </c>
      <c r="E1608" s="4">
        <v>28438</v>
      </c>
      <c r="F1608" s="4" t="str">
        <v>5.02K</v>
      </c>
      <c r="G1608" s="4" t="str">
        <v>0.31%</v>
      </c>
      <c r="H1608" s="3">
        <v>43089</v>
      </c>
      <c r="I1608" s="4">
        <v>28481</v>
      </c>
    </row>
    <row r="1609" spans="1:9" x14ac:dyDescent="0.25">
      <c r="A1609" s="3">
        <v>43088</v>
      </c>
      <c r="B1609" s="4">
        <v>28405</v>
      </c>
      <c r="C1609" s="4">
        <v>28462</v>
      </c>
      <c r="D1609" s="4">
        <v>28494</v>
      </c>
      <c r="E1609" s="4">
        <v>28374</v>
      </c>
      <c r="F1609" s="4" t="str">
        <v>4.82K</v>
      </c>
      <c r="G1609" s="4" t="str">
        <v>-0.23%</v>
      </c>
      <c r="H1609" s="3">
        <v>43088</v>
      </c>
      <c r="I1609" s="4">
        <v>28434</v>
      </c>
    </row>
    <row r="1610" spans="1:9" x14ac:dyDescent="0.25">
      <c r="A1610" s="3">
        <v>43087</v>
      </c>
      <c r="B1610" s="4">
        <v>28470</v>
      </c>
      <c r="C1610" s="4">
        <v>28358</v>
      </c>
      <c r="D1610" s="4">
        <v>28490</v>
      </c>
      <c r="E1610" s="4">
        <v>28291</v>
      </c>
      <c r="F1610" s="4" t="str">
        <v>4.96K</v>
      </c>
      <c r="G1610" s="4" t="str">
        <v>0.76%</v>
      </c>
      <c r="H1610" s="3">
        <v>43087</v>
      </c>
      <c r="I1610" s="4">
        <v>28390.5</v>
      </c>
    </row>
    <row r="1611" spans="1:9" x14ac:dyDescent="0.25">
      <c r="A1611" s="3">
        <v>43084</v>
      </c>
      <c r="B1611" s="4">
        <v>28254</v>
      </c>
      <c r="C1611" s="4">
        <v>28273</v>
      </c>
      <c r="D1611" s="4">
        <v>28399</v>
      </c>
      <c r="E1611" s="4">
        <v>28205</v>
      </c>
      <c r="F1611" s="4" t="str">
        <v>5.29K</v>
      </c>
      <c r="G1611" s="4" t="str">
        <v>-0.22%</v>
      </c>
      <c r="H1611" s="3">
        <v>43084</v>
      </c>
      <c r="I1611" s="4">
        <v>28302</v>
      </c>
    </row>
    <row r="1612" spans="1:9" x14ac:dyDescent="0.25">
      <c r="A1612" s="3">
        <v>43083</v>
      </c>
      <c r="B1612" s="4">
        <v>28317</v>
      </c>
      <c r="C1612" s="4">
        <v>28365</v>
      </c>
      <c r="D1612" s="4">
        <v>28429</v>
      </c>
      <c r="E1612" s="4">
        <v>28221</v>
      </c>
      <c r="F1612" s="4" t="str">
        <v>6.59K</v>
      </c>
      <c r="G1612" s="4" t="str">
        <v>0.43%</v>
      </c>
      <c r="H1612" s="3">
        <v>43083</v>
      </c>
      <c r="I1612" s="4">
        <v>28325</v>
      </c>
    </row>
    <row r="1613" spans="1:9" x14ac:dyDescent="0.25">
      <c r="A1613" s="3">
        <v>43082</v>
      </c>
      <c r="B1613" s="4">
        <v>28195</v>
      </c>
      <c r="C1613" s="4">
        <v>28200</v>
      </c>
      <c r="D1613" s="4">
        <v>28254</v>
      </c>
      <c r="E1613" s="4">
        <v>28102</v>
      </c>
      <c r="F1613" s="4" t="str">
        <v>5.28K</v>
      </c>
      <c r="G1613" s="4" t="str">
        <v>0.19%</v>
      </c>
      <c r="H1613" s="3">
        <v>43082</v>
      </c>
      <c r="I1613" s="4">
        <v>28178</v>
      </c>
    </row>
    <row r="1614" spans="1:9" x14ac:dyDescent="0.25">
      <c r="A1614" s="3">
        <v>43081</v>
      </c>
      <c r="B1614" s="4">
        <v>28142</v>
      </c>
      <c r="C1614" s="4">
        <v>28365</v>
      </c>
      <c r="D1614" s="4">
        <v>28368</v>
      </c>
      <c r="E1614" s="4">
        <v>28055</v>
      </c>
      <c r="F1614" s="4" t="str">
        <v>7.64K</v>
      </c>
      <c r="G1614" s="4" t="str">
        <v>-0.72%</v>
      </c>
      <c r="H1614" s="3">
        <v>43081</v>
      </c>
      <c r="I1614" s="4">
        <v>28211.5</v>
      </c>
    </row>
    <row r="1615" spans="1:9" x14ac:dyDescent="0.25">
      <c r="A1615" s="3">
        <v>43080</v>
      </c>
      <c r="B1615" s="4">
        <v>28347</v>
      </c>
      <c r="C1615" s="4">
        <v>28535</v>
      </c>
      <c r="D1615" s="4">
        <v>28535</v>
      </c>
      <c r="E1615" s="4">
        <v>28334</v>
      </c>
      <c r="F1615" s="4" t="str">
        <v>6.26K</v>
      </c>
      <c r="G1615" s="4" t="str">
        <v>-0.65%</v>
      </c>
      <c r="H1615" s="3">
        <v>43080</v>
      </c>
      <c r="I1615" s="4">
        <v>28434.5</v>
      </c>
    </row>
    <row r="1616" spans="1:9" x14ac:dyDescent="0.25">
      <c r="A1616" s="3">
        <v>43077</v>
      </c>
      <c r="B1616" s="4">
        <v>28533</v>
      </c>
      <c r="C1616" s="4">
        <v>28650</v>
      </c>
      <c r="D1616" s="4">
        <v>28650</v>
      </c>
      <c r="E1616" s="4">
        <v>28471</v>
      </c>
      <c r="F1616" s="4" t="str">
        <v>7.47K</v>
      </c>
      <c r="G1616" s="4" t="str">
        <v>-0.47%</v>
      </c>
      <c r="H1616" s="3">
        <v>43077</v>
      </c>
      <c r="I1616" s="4">
        <v>28560.5</v>
      </c>
    </row>
    <row r="1617" spans="1:9" x14ac:dyDescent="0.25">
      <c r="A1617" s="3">
        <v>43076</v>
      </c>
      <c r="B1617" s="4">
        <v>28667</v>
      </c>
      <c r="C1617" s="4">
        <v>28916</v>
      </c>
      <c r="D1617" s="4">
        <v>28924</v>
      </c>
      <c r="E1617" s="4">
        <v>28653</v>
      </c>
      <c r="F1617" s="4" t="str">
        <v>7.41K</v>
      </c>
      <c r="G1617" s="4" t="str">
        <v>-1.04%</v>
      </c>
      <c r="H1617" s="3">
        <v>43076</v>
      </c>
      <c r="I1617" s="4">
        <v>28788.5</v>
      </c>
    </row>
    <row r="1618" spans="1:9" x14ac:dyDescent="0.25">
      <c r="A1618" s="3">
        <v>43075</v>
      </c>
      <c r="B1618" s="4">
        <v>28967</v>
      </c>
      <c r="C1618" s="4">
        <v>28960</v>
      </c>
      <c r="D1618" s="4">
        <v>29046</v>
      </c>
      <c r="E1618" s="4">
        <v>28931</v>
      </c>
      <c r="F1618" s="4" t="str">
        <v>5.83K</v>
      </c>
      <c r="G1618" s="4" t="str">
        <v>0.12%</v>
      </c>
      <c r="H1618" s="3">
        <v>43075</v>
      </c>
      <c r="I1618" s="4">
        <v>28988.5</v>
      </c>
    </row>
    <row r="1619" spans="1:9" x14ac:dyDescent="0.25">
      <c r="A1619" s="3">
        <v>43074</v>
      </c>
      <c r="B1619" s="4">
        <v>28932</v>
      </c>
      <c r="C1619" s="4">
        <v>29068</v>
      </c>
      <c r="D1619" s="4">
        <v>29109</v>
      </c>
      <c r="E1619" s="4">
        <v>28800</v>
      </c>
      <c r="F1619" s="4" t="str">
        <v>0.01K</v>
      </c>
      <c r="G1619" s="4" t="str">
        <v>-0.33%</v>
      </c>
      <c r="H1619" s="3">
        <v>43074</v>
      </c>
      <c r="I1619" s="4">
        <v>28954.5</v>
      </c>
    </row>
    <row r="1620" spans="1:9" x14ac:dyDescent="0.25">
      <c r="A1620" s="3">
        <v>43073</v>
      </c>
      <c r="B1620" s="4">
        <v>29027</v>
      </c>
      <c r="C1620" s="4">
        <v>29029</v>
      </c>
      <c r="D1620" s="4">
        <v>29187</v>
      </c>
      <c r="E1620" s="4">
        <v>29000</v>
      </c>
      <c r="F1620" s="4" t="str">
        <v>0.05K</v>
      </c>
      <c r="G1620" s="4" t="str">
        <v>-0.62%</v>
      </c>
      <c r="H1620" s="3">
        <v>43073</v>
      </c>
      <c r="I1620" s="4">
        <v>29093.5</v>
      </c>
    </row>
    <row r="1621" spans="1:9" x14ac:dyDescent="0.25">
      <c r="A1621" s="3">
        <v>43070</v>
      </c>
      <c r="B1621" s="4">
        <v>29209</v>
      </c>
      <c r="C1621" s="4">
        <v>29099</v>
      </c>
      <c r="D1621" s="4">
        <v>29269</v>
      </c>
      <c r="E1621" s="4">
        <v>29040</v>
      </c>
      <c r="F1621" s="4" t="str">
        <v>0.89K</v>
      </c>
      <c r="G1621" s="4" t="str">
        <v>0.68%</v>
      </c>
      <c r="H1621" s="3">
        <v>43070</v>
      </c>
      <c r="I1621" s="4">
        <v>29154.5</v>
      </c>
    </row>
    <row r="1622" spans="1:9" x14ac:dyDescent="0.25">
      <c r="A1622" s="3">
        <v>43069</v>
      </c>
      <c r="B1622" s="4">
        <v>29012</v>
      </c>
      <c r="C1622" s="4">
        <v>29205</v>
      </c>
      <c r="D1622" s="4">
        <v>29276</v>
      </c>
      <c r="E1622" s="4">
        <v>28950</v>
      </c>
      <c r="F1622" s="4" t="str">
        <v>5.67K</v>
      </c>
      <c r="G1622" s="4" t="str">
        <v>-0.72%</v>
      </c>
      <c r="H1622" s="3">
        <v>43069</v>
      </c>
      <c r="I1622" s="4">
        <v>29113</v>
      </c>
    </row>
    <row r="1623" spans="1:9" x14ac:dyDescent="0.25">
      <c r="A1623" s="3">
        <v>43068</v>
      </c>
      <c r="B1623" s="4">
        <v>29223</v>
      </c>
      <c r="C1623" s="4">
        <v>29438</v>
      </c>
      <c r="D1623" s="4">
        <v>29457</v>
      </c>
      <c r="E1623" s="4">
        <v>29200</v>
      </c>
      <c r="F1623" s="4" t="str">
        <v>6.74K</v>
      </c>
      <c r="G1623" s="4" t="str">
        <v>-0.58%</v>
      </c>
      <c r="H1623" s="3">
        <v>43068</v>
      </c>
      <c r="I1623" s="4">
        <v>29328.5</v>
      </c>
    </row>
    <row r="1624" spans="1:9" x14ac:dyDescent="0.25">
      <c r="A1624" s="3">
        <v>43067</v>
      </c>
      <c r="B1624" s="4">
        <v>29393</v>
      </c>
      <c r="C1624" s="4">
        <v>29480</v>
      </c>
      <c r="D1624" s="4">
        <v>29489</v>
      </c>
      <c r="E1624" s="4">
        <v>29368</v>
      </c>
      <c r="F1624" s="4" t="str">
        <v>6.05K</v>
      </c>
      <c r="G1624" s="4" t="str">
        <v>-0.35%</v>
      </c>
      <c r="H1624" s="3">
        <v>43067</v>
      </c>
      <c r="I1624" s="4">
        <v>29428.5</v>
      </c>
    </row>
    <row r="1625" spans="1:9" x14ac:dyDescent="0.25">
      <c r="A1625" s="3">
        <v>43066</v>
      </c>
      <c r="B1625" s="4">
        <v>29497</v>
      </c>
      <c r="C1625" s="4">
        <v>29430</v>
      </c>
      <c r="D1625" s="4">
        <v>29533</v>
      </c>
      <c r="E1625" s="4">
        <v>29410</v>
      </c>
      <c r="F1625" s="4" t="str">
        <v>6.58K</v>
      </c>
      <c r="G1625" s="4" t="str">
        <v>0.40%</v>
      </c>
      <c r="H1625" s="3">
        <v>43066</v>
      </c>
      <c r="I1625" s="4">
        <v>29471.5</v>
      </c>
    </row>
    <row r="1626" spans="1:9" x14ac:dyDescent="0.25">
      <c r="A1626" s="3">
        <v>43063</v>
      </c>
      <c r="B1626" s="4">
        <v>29380</v>
      </c>
      <c r="C1626" s="4">
        <v>29507</v>
      </c>
      <c r="D1626" s="4">
        <v>29527</v>
      </c>
      <c r="E1626" s="4">
        <v>29367</v>
      </c>
      <c r="F1626" s="4" t="str">
        <v>4.96K</v>
      </c>
      <c r="G1626" s="4" t="str">
        <v>-0.20%</v>
      </c>
      <c r="H1626" s="3">
        <v>43063</v>
      </c>
      <c r="I1626" s="4">
        <v>29447</v>
      </c>
    </row>
    <row r="1627" spans="1:9" x14ac:dyDescent="0.25">
      <c r="A1627" s="3">
        <v>43062</v>
      </c>
      <c r="B1627" s="4">
        <v>29439</v>
      </c>
      <c r="C1627" s="4">
        <v>29515</v>
      </c>
      <c r="D1627" s="4">
        <v>29533</v>
      </c>
      <c r="E1627" s="4">
        <v>29410</v>
      </c>
      <c r="F1627" s="4" t="str">
        <v>4.72K</v>
      </c>
      <c r="G1627" s="4" t="str">
        <v>-0.31%</v>
      </c>
      <c r="H1627" s="3">
        <v>43062</v>
      </c>
      <c r="I1627" s="4">
        <v>29471.5</v>
      </c>
    </row>
    <row r="1628" spans="1:9" x14ac:dyDescent="0.25">
      <c r="A1628" s="3">
        <v>43061</v>
      </c>
      <c r="B1628" s="4">
        <v>29530</v>
      </c>
      <c r="C1628" s="4">
        <v>29324</v>
      </c>
      <c r="D1628" s="4">
        <v>29549</v>
      </c>
      <c r="E1628" s="4">
        <v>29285</v>
      </c>
      <c r="F1628" s="4" t="str">
        <v>6.69K</v>
      </c>
      <c r="G1628" s="4" t="str">
        <v>0.62%</v>
      </c>
      <c r="H1628" s="3">
        <v>43061</v>
      </c>
      <c r="I1628" s="4">
        <v>29417</v>
      </c>
    </row>
    <row r="1629" spans="1:9" x14ac:dyDescent="0.25">
      <c r="A1629" s="3">
        <v>43060</v>
      </c>
      <c r="B1629" s="4">
        <v>29347</v>
      </c>
      <c r="C1629" s="4">
        <v>29408</v>
      </c>
      <c r="D1629" s="4">
        <v>29440</v>
      </c>
      <c r="E1629" s="4">
        <v>29276</v>
      </c>
      <c r="F1629" s="4" t="str">
        <v>7.20K</v>
      </c>
      <c r="G1629" s="4" t="str">
        <v>-0.08%</v>
      </c>
      <c r="H1629" s="3">
        <v>43060</v>
      </c>
      <c r="I1629" s="4">
        <v>29358</v>
      </c>
    </row>
    <row r="1630" spans="1:9" x14ac:dyDescent="0.25">
      <c r="A1630" s="3">
        <v>43059</v>
      </c>
      <c r="B1630" s="4">
        <v>29370</v>
      </c>
      <c r="C1630" s="4">
        <v>29646</v>
      </c>
      <c r="D1630" s="4">
        <v>29725</v>
      </c>
      <c r="E1630" s="4">
        <v>29344</v>
      </c>
      <c r="F1630" s="4" t="str">
        <v>8.00K</v>
      </c>
      <c r="G1630" s="4" t="str">
        <v>-1.08%</v>
      </c>
      <c r="H1630" s="3">
        <v>43059</v>
      </c>
      <c r="I1630" s="4">
        <v>29534.5</v>
      </c>
    </row>
    <row r="1631" spans="1:9" x14ac:dyDescent="0.25">
      <c r="A1631" s="3">
        <v>43056</v>
      </c>
      <c r="B1631" s="4">
        <v>29690</v>
      </c>
      <c r="C1631" s="4">
        <v>29420</v>
      </c>
      <c r="D1631" s="4">
        <v>29725</v>
      </c>
      <c r="E1631" s="4">
        <v>29351</v>
      </c>
      <c r="F1631" s="4" t="str">
        <v>7.75K</v>
      </c>
      <c r="G1631" s="4" t="str">
        <v>0.63%</v>
      </c>
      <c r="H1631" s="3">
        <v>43056</v>
      </c>
      <c r="I1631" s="4">
        <v>29538</v>
      </c>
    </row>
    <row r="1632" spans="1:9" x14ac:dyDescent="0.25">
      <c r="A1632" s="3">
        <v>43055</v>
      </c>
      <c r="B1632" s="4">
        <v>29503</v>
      </c>
      <c r="C1632" s="4">
        <v>29501</v>
      </c>
      <c r="D1632" s="4">
        <v>29536</v>
      </c>
      <c r="E1632" s="4">
        <v>29445</v>
      </c>
      <c r="F1632" s="4" t="str">
        <v>5.56K</v>
      </c>
      <c r="G1632" s="4" t="str">
        <v>-0.07%</v>
      </c>
      <c r="H1632" s="3">
        <v>43055</v>
      </c>
      <c r="I1632" s="4">
        <v>29490.5</v>
      </c>
    </row>
    <row r="1633" spans="1:9" x14ac:dyDescent="0.25">
      <c r="A1633" s="3">
        <v>43054</v>
      </c>
      <c r="B1633" s="4">
        <v>29525</v>
      </c>
      <c r="C1633" s="4">
        <v>29600</v>
      </c>
      <c r="D1633" s="4">
        <v>29745</v>
      </c>
      <c r="E1633" s="4">
        <v>29500</v>
      </c>
      <c r="F1633" s="4" t="str">
        <v>7.98K</v>
      </c>
      <c r="G1633" s="4" t="str">
        <v>-0.33%</v>
      </c>
      <c r="H1633" s="3">
        <v>43054</v>
      </c>
      <c r="I1633" s="4">
        <v>29622.5</v>
      </c>
    </row>
    <row r="1634" spans="1:9" x14ac:dyDescent="0.25">
      <c r="A1634" s="3">
        <v>43053</v>
      </c>
      <c r="B1634" s="4">
        <v>29622</v>
      </c>
      <c r="C1634" s="4">
        <v>29502</v>
      </c>
      <c r="D1634" s="4">
        <v>29662</v>
      </c>
      <c r="E1634" s="4">
        <v>29427</v>
      </c>
      <c r="F1634" s="4" t="str">
        <v>8.74K</v>
      </c>
      <c r="G1634" s="4" t="str">
        <v>0.04%</v>
      </c>
      <c r="H1634" s="3">
        <v>43053</v>
      </c>
      <c r="I1634" s="4">
        <v>29544.5</v>
      </c>
    </row>
    <row r="1635" spans="1:9" x14ac:dyDescent="0.25">
      <c r="A1635" s="3">
        <v>43052</v>
      </c>
      <c r="B1635" s="4">
        <v>29611</v>
      </c>
      <c r="C1635" s="4">
        <v>29482</v>
      </c>
      <c r="D1635" s="4">
        <v>29624</v>
      </c>
      <c r="E1635" s="4">
        <v>29463</v>
      </c>
      <c r="F1635" s="4" t="str">
        <v>5.65K</v>
      </c>
      <c r="G1635" s="4" t="str">
        <v>0.41%</v>
      </c>
      <c r="H1635" s="3">
        <v>43052</v>
      </c>
      <c r="I1635" s="4">
        <v>29543.5</v>
      </c>
    </row>
    <row r="1636" spans="1:9" x14ac:dyDescent="0.25">
      <c r="A1636" s="3">
        <v>43049</v>
      </c>
      <c r="B1636" s="4">
        <v>29491</v>
      </c>
      <c r="C1636" s="4">
        <v>29625</v>
      </c>
      <c r="D1636" s="4">
        <v>29696</v>
      </c>
      <c r="E1636" s="4">
        <v>29466</v>
      </c>
      <c r="F1636" s="4" t="str">
        <v>7.66K</v>
      </c>
      <c r="G1636" s="4" t="str">
        <v>-0.57%</v>
      </c>
      <c r="H1636" s="3">
        <v>43049</v>
      </c>
      <c r="I1636" s="4">
        <v>29581</v>
      </c>
    </row>
    <row r="1637" spans="1:9" x14ac:dyDescent="0.25">
      <c r="A1637" s="3">
        <v>43048</v>
      </c>
      <c r="B1637" s="4">
        <v>29661</v>
      </c>
      <c r="C1637" s="4">
        <v>29467</v>
      </c>
      <c r="D1637" s="4">
        <v>29687</v>
      </c>
      <c r="E1637" s="4">
        <v>29454</v>
      </c>
      <c r="F1637" s="4" t="str">
        <v>8.45K</v>
      </c>
      <c r="G1637" s="4" t="str">
        <v>0.43%</v>
      </c>
      <c r="H1637" s="3">
        <v>43048</v>
      </c>
      <c r="I1637" s="4">
        <v>29570.5</v>
      </c>
    </row>
    <row r="1638" spans="1:9" x14ac:dyDescent="0.25">
      <c r="A1638" s="3">
        <v>43047</v>
      </c>
      <c r="B1638" s="4">
        <v>29535</v>
      </c>
      <c r="C1638" s="4">
        <v>29474</v>
      </c>
      <c r="D1638" s="4">
        <v>29583</v>
      </c>
      <c r="E1638" s="4">
        <v>29420</v>
      </c>
      <c r="F1638" s="4" t="str">
        <v>6.89K</v>
      </c>
      <c r="G1638" s="4" t="str">
        <v>0.33%</v>
      </c>
      <c r="H1638" s="3">
        <v>43047</v>
      </c>
      <c r="I1638" s="4">
        <v>29501.5</v>
      </c>
    </row>
    <row r="1639" spans="1:9" x14ac:dyDescent="0.25">
      <c r="A1639" s="3">
        <v>43046</v>
      </c>
      <c r="B1639" s="4">
        <v>29437</v>
      </c>
      <c r="C1639" s="4">
        <v>29318</v>
      </c>
      <c r="D1639" s="4">
        <v>29470</v>
      </c>
      <c r="E1639" s="4">
        <v>29316</v>
      </c>
      <c r="F1639" s="4" t="str">
        <v>7.34K</v>
      </c>
      <c r="G1639" s="4" t="str">
        <v>0.32%</v>
      </c>
      <c r="H1639" s="3">
        <v>43046</v>
      </c>
      <c r="I1639" s="4">
        <v>29393</v>
      </c>
    </row>
    <row r="1640" spans="1:9" x14ac:dyDescent="0.25">
      <c r="A1640" s="3">
        <v>43045</v>
      </c>
      <c r="B1640" s="4">
        <v>29344</v>
      </c>
      <c r="C1640" s="4">
        <v>29200</v>
      </c>
      <c r="D1640" s="4">
        <v>29372</v>
      </c>
      <c r="E1640" s="4">
        <v>29109</v>
      </c>
      <c r="F1640" s="4" t="str">
        <v>6.47K</v>
      </c>
      <c r="G1640" s="4" t="str">
        <v>0.88%</v>
      </c>
      <c r="H1640" s="3">
        <v>43045</v>
      </c>
      <c r="I1640" s="4">
        <v>29240.5</v>
      </c>
    </row>
    <row r="1641" spans="1:9" x14ac:dyDescent="0.25">
      <c r="A1641" s="3">
        <v>43042</v>
      </c>
      <c r="B1641" s="4">
        <v>29088</v>
      </c>
      <c r="C1641" s="4">
        <v>29253</v>
      </c>
      <c r="D1641" s="4">
        <v>29280</v>
      </c>
      <c r="E1641" s="4">
        <v>29069</v>
      </c>
      <c r="F1641" s="4" t="str">
        <v>7.07K</v>
      </c>
      <c r="G1641" s="4" t="str">
        <v>-0.53%</v>
      </c>
      <c r="H1641" s="3">
        <v>43042</v>
      </c>
      <c r="I1641" s="4">
        <v>29174.5</v>
      </c>
    </row>
    <row r="1642" spans="1:9" x14ac:dyDescent="0.25">
      <c r="A1642" s="3">
        <v>43041</v>
      </c>
      <c r="B1642" s="4">
        <v>29244</v>
      </c>
      <c r="C1642" s="4">
        <v>29214</v>
      </c>
      <c r="D1642" s="4">
        <v>29370</v>
      </c>
      <c r="E1642" s="4">
        <v>29200</v>
      </c>
      <c r="F1642" s="4" t="str">
        <v>7.47K</v>
      </c>
      <c r="G1642" s="4" t="str">
        <v>0.08%</v>
      </c>
      <c r="H1642" s="3">
        <v>43041</v>
      </c>
      <c r="I1642" s="4">
        <v>29285</v>
      </c>
    </row>
    <row r="1643" spans="1:9" x14ac:dyDescent="0.25">
      <c r="A1643" s="3">
        <v>43040</v>
      </c>
      <c r="B1643" s="4">
        <v>29221</v>
      </c>
      <c r="C1643" s="4">
        <v>29150</v>
      </c>
      <c r="D1643" s="4">
        <v>29342</v>
      </c>
      <c r="E1643" s="4">
        <v>29090</v>
      </c>
      <c r="F1643" s="4" t="str">
        <v>8.77K</v>
      </c>
      <c r="G1643" s="4" t="str">
        <v>0.23%</v>
      </c>
      <c r="H1643" s="3">
        <v>43040</v>
      </c>
      <c r="I1643" s="4">
        <v>29216</v>
      </c>
    </row>
    <row r="1644" spans="1:9" x14ac:dyDescent="0.25">
      <c r="A1644" s="3">
        <v>43039</v>
      </c>
      <c r="B1644" s="4">
        <v>29153</v>
      </c>
      <c r="C1644" s="4">
        <v>29330</v>
      </c>
      <c r="D1644" s="4">
        <v>29368</v>
      </c>
      <c r="E1644" s="4">
        <v>29136</v>
      </c>
      <c r="F1644" s="4" t="str">
        <v>8.31K</v>
      </c>
      <c r="G1644" s="4" t="str">
        <v>-0.79%</v>
      </c>
      <c r="H1644" s="3">
        <v>43039</v>
      </c>
      <c r="I1644" s="4">
        <v>29252</v>
      </c>
    </row>
    <row r="1645" spans="1:9" x14ac:dyDescent="0.25">
      <c r="A1645" s="3">
        <v>43038</v>
      </c>
      <c r="B1645" s="4">
        <v>29384</v>
      </c>
      <c r="C1645" s="4">
        <v>29295</v>
      </c>
      <c r="D1645" s="4">
        <v>29410</v>
      </c>
      <c r="E1645" s="4">
        <v>29229</v>
      </c>
      <c r="F1645" s="4" t="str">
        <v>6.01K</v>
      </c>
      <c r="G1645" s="4" t="str">
        <v>0.23%</v>
      </c>
      <c r="H1645" s="3">
        <v>43038</v>
      </c>
      <c r="I1645" s="4">
        <v>29319.5</v>
      </c>
    </row>
    <row r="1646" spans="1:9" x14ac:dyDescent="0.25">
      <c r="A1646" s="3">
        <v>43035</v>
      </c>
      <c r="B1646" s="4">
        <v>29318</v>
      </c>
      <c r="C1646" s="4">
        <v>29250</v>
      </c>
      <c r="D1646" s="4">
        <v>29340</v>
      </c>
      <c r="E1646" s="4">
        <v>29209</v>
      </c>
      <c r="F1646" s="4" t="str">
        <v>7.35K</v>
      </c>
      <c r="G1646" s="4" t="str">
        <v>0.16%</v>
      </c>
      <c r="H1646" s="3">
        <v>43035</v>
      </c>
      <c r="I1646" s="4">
        <v>29274.5</v>
      </c>
    </row>
    <row r="1647" spans="1:9" x14ac:dyDescent="0.25">
      <c r="A1647" s="3">
        <v>43034</v>
      </c>
      <c r="B1647" s="4">
        <v>29270</v>
      </c>
      <c r="C1647" s="4">
        <v>29393</v>
      </c>
      <c r="D1647" s="4">
        <v>29470</v>
      </c>
      <c r="E1647" s="4">
        <v>29242</v>
      </c>
      <c r="F1647" s="4" t="str">
        <v>8.30K</v>
      </c>
      <c r="G1647" s="4" t="str">
        <v>-0.42%</v>
      </c>
      <c r="H1647" s="3">
        <v>43034</v>
      </c>
      <c r="I1647" s="4">
        <v>29356</v>
      </c>
    </row>
    <row r="1648" spans="1:9" x14ac:dyDescent="0.25">
      <c r="A1648" s="3">
        <v>43033</v>
      </c>
      <c r="B1648" s="4">
        <v>29394</v>
      </c>
      <c r="C1648" s="4">
        <v>29463</v>
      </c>
      <c r="D1648" s="4">
        <v>29472</v>
      </c>
      <c r="E1648" s="4">
        <v>29306</v>
      </c>
      <c r="F1648" s="4" t="str">
        <v>8.92K</v>
      </c>
      <c r="G1648" s="4" t="str">
        <v>-0.50%</v>
      </c>
      <c r="H1648" s="3">
        <v>43033</v>
      </c>
      <c r="I1648" s="4">
        <v>29389</v>
      </c>
    </row>
    <row r="1649" spans="1:9" x14ac:dyDescent="0.25">
      <c r="A1649" s="3">
        <v>43032</v>
      </c>
      <c r="B1649" s="4">
        <v>29541</v>
      </c>
      <c r="C1649" s="4">
        <v>29571</v>
      </c>
      <c r="D1649" s="4">
        <v>29574</v>
      </c>
      <c r="E1649" s="4">
        <v>29467</v>
      </c>
      <c r="F1649" s="4" t="str">
        <v>6.51K</v>
      </c>
      <c r="G1649" s="4" t="str">
        <v>0.01%</v>
      </c>
      <c r="H1649" s="3">
        <v>43032</v>
      </c>
      <c r="I1649" s="4">
        <v>29520.5</v>
      </c>
    </row>
    <row r="1650" spans="1:9" x14ac:dyDescent="0.25">
      <c r="A1650" s="3">
        <v>43031</v>
      </c>
      <c r="B1650" s="4">
        <v>29537</v>
      </c>
      <c r="C1650" s="4">
        <v>29500</v>
      </c>
      <c r="D1650" s="4">
        <v>29591</v>
      </c>
      <c r="E1650" s="4">
        <v>29384</v>
      </c>
      <c r="F1650" s="4" t="str">
        <v>6.62K</v>
      </c>
      <c r="G1650" s="4" t="str">
        <v>-0.06%</v>
      </c>
      <c r="H1650" s="3">
        <v>43031</v>
      </c>
      <c r="I1650" s="4">
        <v>29487.5</v>
      </c>
    </row>
    <row r="1651" spans="1:9" x14ac:dyDescent="0.25">
      <c r="A1651" s="3">
        <v>43028</v>
      </c>
      <c r="B1651" s="4">
        <v>29554</v>
      </c>
      <c r="C1651" s="4">
        <v>29572</v>
      </c>
      <c r="D1651" s="4">
        <v>29637</v>
      </c>
      <c r="E1651" s="4">
        <v>29535</v>
      </c>
      <c r="F1651" s="4" t="str">
        <v>2.64K</v>
      </c>
      <c r="G1651" s="4" t="str">
        <v>-0.42%</v>
      </c>
      <c r="H1651" s="3">
        <v>43028</v>
      </c>
      <c r="I1651" s="4">
        <v>29586</v>
      </c>
    </row>
    <row r="1652" spans="1:9" x14ac:dyDescent="0.25">
      <c r="A1652" s="3">
        <v>43027</v>
      </c>
      <c r="B1652" s="4">
        <v>29679</v>
      </c>
      <c r="C1652" s="4">
        <v>29631</v>
      </c>
      <c r="D1652" s="4">
        <v>29697</v>
      </c>
      <c r="E1652" s="4">
        <v>29612</v>
      </c>
      <c r="F1652" s="4" t="str">
        <v>1.52K</v>
      </c>
      <c r="G1652" s="4" t="str">
        <v>0.38%</v>
      </c>
      <c r="H1652" s="3">
        <v>43027</v>
      </c>
      <c r="I1652" s="4">
        <v>29654.5</v>
      </c>
    </row>
    <row r="1653" spans="1:9" x14ac:dyDescent="0.25">
      <c r="A1653" s="3">
        <v>43026</v>
      </c>
      <c r="B1653" s="4">
        <v>29568</v>
      </c>
      <c r="C1653" s="4">
        <v>29647</v>
      </c>
      <c r="D1653" s="4">
        <v>29677</v>
      </c>
      <c r="E1653" s="4">
        <v>29522</v>
      </c>
      <c r="F1653" s="4" t="str">
        <v>4.73K</v>
      </c>
      <c r="G1653" s="4" t="str">
        <v>-0.10%</v>
      </c>
      <c r="H1653" s="3">
        <v>43026</v>
      </c>
      <c r="I1653" s="4">
        <v>29599.5</v>
      </c>
    </row>
    <row r="1654" spans="1:9" x14ac:dyDescent="0.25">
      <c r="A1654" s="3">
        <v>43025</v>
      </c>
      <c r="B1654" s="4">
        <v>29598</v>
      </c>
      <c r="C1654" s="4">
        <v>29810</v>
      </c>
      <c r="D1654" s="4">
        <v>29810</v>
      </c>
      <c r="E1654" s="4">
        <v>29570</v>
      </c>
      <c r="F1654" s="4" t="str">
        <v>7.48K</v>
      </c>
      <c r="G1654" s="4" t="str">
        <v>-0.86%</v>
      </c>
      <c r="H1654" s="3">
        <v>43025</v>
      </c>
      <c r="I1654" s="4">
        <v>29690</v>
      </c>
    </row>
    <row r="1655" spans="1:9" x14ac:dyDescent="0.25">
      <c r="A1655" s="3">
        <v>43024</v>
      </c>
      <c r="B1655" s="4">
        <v>29854</v>
      </c>
      <c r="C1655" s="4">
        <v>29839</v>
      </c>
      <c r="D1655" s="4">
        <v>29955</v>
      </c>
      <c r="E1655" s="4">
        <v>29813</v>
      </c>
      <c r="F1655" s="4" t="str">
        <v>6.20K</v>
      </c>
      <c r="G1655" s="4" t="str">
        <v>0.01%</v>
      </c>
      <c r="H1655" s="3">
        <v>43024</v>
      </c>
      <c r="I1655" s="4">
        <v>29884</v>
      </c>
    </row>
    <row r="1656" spans="1:9" x14ac:dyDescent="0.25">
      <c r="A1656" s="3">
        <v>43021</v>
      </c>
      <c r="B1656" s="4">
        <v>29851</v>
      </c>
      <c r="C1656" s="4">
        <v>29805</v>
      </c>
      <c r="D1656" s="4">
        <v>29868</v>
      </c>
      <c r="E1656" s="4">
        <v>29720</v>
      </c>
      <c r="F1656" s="4" t="str">
        <v>8.19K</v>
      </c>
      <c r="G1656" s="4" t="str">
        <v>0.12%</v>
      </c>
      <c r="H1656" s="3">
        <v>43021</v>
      </c>
      <c r="I1656" s="4">
        <v>29794</v>
      </c>
    </row>
    <row r="1657" spans="1:9" x14ac:dyDescent="0.25">
      <c r="A1657" s="3">
        <v>43020</v>
      </c>
      <c r="B1657" s="4">
        <v>29814</v>
      </c>
      <c r="C1657" s="4">
        <v>29775</v>
      </c>
      <c r="D1657" s="4">
        <v>29900</v>
      </c>
      <c r="E1657" s="4">
        <v>29710</v>
      </c>
      <c r="F1657" s="4" t="str">
        <v>6.81K</v>
      </c>
      <c r="G1657" s="4" t="str">
        <v>0.36%</v>
      </c>
      <c r="H1657" s="3">
        <v>43020</v>
      </c>
      <c r="I1657" s="4">
        <v>29805</v>
      </c>
    </row>
    <row r="1658" spans="1:9" x14ac:dyDescent="0.25">
      <c r="A1658" s="3">
        <v>43019</v>
      </c>
      <c r="B1658" s="4">
        <v>29707</v>
      </c>
      <c r="C1658" s="4">
        <v>29780</v>
      </c>
      <c r="D1658" s="4">
        <v>29822</v>
      </c>
      <c r="E1658" s="4">
        <v>29690</v>
      </c>
      <c r="F1658" s="4" t="str">
        <v>6.10K</v>
      </c>
      <c r="G1658" s="4" t="str">
        <v>-0.40%</v>
      </c>
      <c r="H1658" s="3">
        <v>43019</v>
      </c>
      <c r="I1658" s="4">
        <v>29756</v>
      </c>
    </row>
    <row r="1659" spans="1:9" x14ac:dyDescent="0.25">
      <c r="A1659" s="3">
        <v>43018</v>
      </c>
      <c r="B1659" s="4">
        <v>29825</v>
      </c>
      <c r="C1659" s="4">
        <v>29780</v>
      </c>
      <c r="D1659" s="4">
        <v>29859</v>
      </c>
      <c r="E1659" s="4">
        <v>29751</v>
      </c>
      <c r="F1659" s="4" t="str">
        <v>7.04K</v>
      </c>
      <c r="G1659" s="4" t="str">
        <v>0.31%</v>
      </c>
      <c r="H1659" s="3">
        <v>43018</v>
      </c>
      <c r="I1659" s="4">
        <v>29805</v>
      </c>
    </row>
    <row r="1660" spans="1:9" x14ac:dyDescent="0.25">
      <c r="A1660" s="3">
        <v>43017</v>
      </c>
      <c r="B1660" s="4">
        <v>29732</v>
      </c>
      <c r="C1660" s="4">
        <v>29698</v>
      </c>
      <c r="D1660" s="4">
        <v>29772</v>
      </c>
      <c r="E1660" s="4">
        <v>29664</v>
      </c>
      <c r="F1660" s="4" t="str">
        <v>5.83K</v>
      </c>
      <c r="G1660" s="4" t="str">
        <v>0.54%</v>
      </c>
      <c r="H1660" s="3">
        <v>43017</v>
      </c>
      <c r="I1660" s="4">
        <v>29718</v>
      </c>
    </row>
    <row r="1661" spans="1:9" x14ac:dyDescent="0.25">
      <c r="A1661" s="3">
        <v>43014</v>
      </c>
      <c r="B1661" s="4">
        <v>29573</v>
      </c>
      <c r="C1661" s="4">
        <v>29361</v>
      </c>
      <c r="D1661" s="4">
        <v>29598</v>
      </c>
      <c r="E1661" s="4">
        <v>29312</v>
      </c>
      <c r="F1661" s="4" t="str">
        <v>10.41K</v>
      </c>
      <c r="G1661" s="4" t="str">
        <v>0.80%</v>
      </c>
      <c r="H1661" s="3">
        <v>43014</v>
      </c>
      <c r="I1661" s="4">
        <v>29455</v>
      </c>
    </row>
    <row r="1662" spans="1:9" x14ac:dyDescent="0.25">
      <c r="A1662" s="3">
        <v>43013</v>
      </c>
      <c r="B1662" s="4">
        <v>29337</v>
      </c>
      <c r="C1662" s="4">
        <v>29367</v>
      </c>
      <c r="D1662" s="4">
        <v>29430</v>
      </c>
      <c r="E1662" s="4">
        <v>29310</v>
      </c>
      <c r="F1662" s="4" t="str">
        <v>0.08K</v>
      </c>
      <c r="G1662" s="4" t="str">
        <v>0.16%</v>
      </c>
      <c r="H1662" s="3">
        <v>43013</v>
      </c>
      <c r="I1662" s="4">
        <v>29370</v>
      </c>
    </row>
    <row r="1663" spans="1:9" x14ac:dyDescent="0.25">
      <c r="A1663" s="3">
        <v>43012</v>
      </c>
      <c r="B1663" s="4">
        <v>29290</v>
      </c>
      <c r="C1663" s="4">
        <v>29413</v>
      </c>
      <c r="D1663" s="4">
        <v>29455</v>
      </c>
      <c r="E1663" s="4">
        <v>29260</v>
      </c>
      <c r="F1663" s="4" t="str">
        <v>0.31K</v>
      </c>
      <c r="G1663" s="4" t="str">
        <v>-0.22%</v>
      </c>
      <c r="H1663" s="3">
        <v>43012</v>
      </c>
      <c r="I1663" s="4">
        <v>29357.5</v>
      </c>
    </row>
    <row r="1664" spans="1:9" x14ac:dyDescent="0.25">
      <c r="A1664" s="3">
        <v>43011</v>
      </c>
      <c r="B1664" s="4">
        <v>29355</v>
      </c>
      <c r="C1664" s="4">
        <v>29500</v>
      </c>
      <c r="D1664" s="4">
        <v>29500</v>
      </c>
      <c r="E1664" s="4">
        <v>29300</v>
      </c>
      <c r="F1664" s="4" t="str">
        <v>1.05K</v>
      </c>
      <c r="G1664" s="4" t="str">
        <v>-0.68%</v>
      </c>
      <c r="H1664" s="3">
        <v>43011</v>
      </c>
      <c r="I1664" s="4">
        <v>29400</v>
      </c>
    </row>
    <row r="1665" spans="1:9" x14ac:dyDescent="0.25">
      <c r="A1665" s="3">
        <v>43007</v>
      </c>
      <c r="B1665" s="4">
        <v>29557</v>
      </c>
      <c r="C1665" s="4">
        <v>29604</v>
      </c>
      <c r="D1665" s="4">
        <v>29671</v>
      </c>
      <c r="E1665" s="4">
        <v>29526</v>
      </c>
      <c r="F1665" s="4" t="str">
        <v>7.79K</v>
      </c>
      <c r="G1665" s="4" t="str">
        <v>-0.17%</v>
      </c>
      <c r="H1665" s="3">
        <v>43007</v>
      </c>
      <c r="I1665" s="4">
        <v>29598.5</v>
      </c>
    </row>
    <row r="1666" spans="1:9" x14ac:dyDescent="0.25">
      <c r="A1666" s="3">
        <v>43006</v>
      </c>
      <c r="B1666" s="4">
        <v>29608</v>
      </c>
      <c r="C1666" s="4">
        <v>29663</v>
      </c>
      <c r="D1666" s="4">
        <v>29686</v>
      </c>
      <c r="E1666" s="4">
        <v>29522</v>
      </c>
      <c r="F1666" s="4" t="str">
        <v>8.43K</v>
      </c>
      <c r="G1666" s="4" t="str">
        <v>-0.17%</v>
      </c>
      <c r="H1666" s="3">
        <v>43006</v>
      </c>
      <c r="I1666" s="4">
        <v>29604</v>
      </c>
    </row>
    <row r="1667" spans="1:9" x14ac:dyDescent="0.25">
      <c r="A1667" s="3">
        <v>43005</v>
      </c>
      <c r="B1667" s="4">
        <v>29658</v>
      </c>
      <c r="C1667" s="4">
        <v>29840</v>
      </c>
      <c r="D1667" s="4">
        <v>29928</v>
      </c>
      <c r="E1667" s="4">
        <v>29626</v>
      </c>
      <c r="F1667" s="4" t="str">
        <v>9.28K</v>
      </c>
      <c r="G1667" s="4" t="str">
        <v>-0.72%</v>
      </c>
      <c r="H1667" s="3">
        <v>43005</v>
      </c>
      <c r="I1667" s="4">
        <v>29777</v>
      </c>
    </row>
    <row r="1668" spans="1:9" x14ac:dyDescent="0.25">
      <c r="A1668" s="3">
        <v>43004</v>
      </c>
      <c r="B1668" s="4">
        <v>29872</v>
      </c>
      <c r="C1668" s="4">
        <v>30100</v>
      </c>
      <c r="D1668" s="4">
        <v>30169</v>
      </c>
      <c r="E1668" s="4">
        <v>29780</v>
      </c>
      <c r="F1668" s="4" t="str">
        <v>11.18K</v>
      </c>
      <c r="G1668" s="4" t="str">
        <v>-0.56%</v>
      </c>
      <c r="H1668" s="3">
        <v>43004</v>
      </c>
      <c r="I1668" s="4">
        <v>29974.5</v>
      </c>
    </row>
    <row r="1669" spans="1:9" x14ac:dyDescent="0.25">
      <c r="A1669" s="3">
        <v>43003</v>
      </c>
      <c r="B1669" s="4">
        <v>30039</v>
      </c>
      <c r="C1669" s="4">
        <v>29510</v>
      </c>
      <c r="D1669" s="4">
        <v>30129</v>
      </c>
      <c r="E1669" s="4">
        <v>29510</v>
      </c>
      <c r="F1669" s="4" t="str">
        <v>10.18K</v>
      </c>
      <c r="G1669" s="4" t="str">
        <v>1.53%</v>
      </c>
      <c r="H1669" s="3">
        <v>43003</v>
      </c>
      <c r="I1669" s="4">
        <v>29819.5</v>
      </c>
    </row>
    <row r="1670" spans="1:9" x14ac:dyDescent="0.25">
      <c r="A1670" s="3">
        <v>43000</v>
      </c>
      <c r="B1670" s="4">
        <v>29585</v>
      </c>
      <c r="C1670" s="4">
        <v>29650</v>
      </c>
      <c r="D1670" s="4">
        <v>29746</v>
      </c>
      <c r="E1670" s="4">
        <v>29556</v>
      </c>
      <c r="F1670" s="4" t="str">
        <v>8.58K</v>
      </c>
      <c r="G1670" s="4" t="str">
        <v>0.07%</v>
      </c>
      <c r="H1670" s="3">
        <v>43000</v>
      </c>
      <c r="I1670" s="4">
        <v>29651</v>
      </c>
    </row>
    <row r="1671" spans="1:9" x14ac:dyDescent="0.25">
      <c r="A1671" s="3">
        <v>42999</v>
      </c>
      <c r="B1671" s="4">
        <v>29564</v>
      </c>
      <c r="C1671" s="4">
        <v>29555</v>
      </c>
      <c r="D1671" s="4">
        <v>29623</v>
      </c>
      <c r="E1671" s="4">
        <v>29443</v>
      </c>
      <c r="F1671" s="4" t="str">
        <v>11.62K</v>
      </c>
      <c r="G1671" s="4" t="str">
        <v>-0.71%</v>
      </c>
      <c r="H1671" s="3">
        <v>42999</v>
      </c>
      <c r="I1671" s="4">
        <v>29533</v>
      </c>
    </row>
    <row r="1672" spans="1:9" x14ac:dyDescent="0.25">
      <c r="A1672" s="3">
        <v>42998</v>
      </c>
      <c r="B1672" s="4">
        <v>29774</v>
      </c>
      <c r="C1672" s="4">
        <v>29693</v>
      </c>
      <c r="D1672" s="4">
        <v>29799</v>
      </c>
      <c r="E1672" s="4">
        <v>29680</v>
      </c>
      <c r="F1672" s="4" t="str">
        <v>7.92K</v>
      </c>
      <c r="G1672" s="4" t="str">
        <v>0.52%</v>
      </c>
      <c r="H1672" s="3">
        <v>42998</v>
      </c>
      <c r="I1672" s="4">
        <v>29739.5</v>
      </c>
    </row>
    <row r="1673" spans="1:9" x14ac:dyDescent="0.25">
      <c r="A1673" s="3">
        <v>42997</v>
      </c>
      <c r="B1673" s="4">
        <v>29621</v>
      </c>
      <c r="C1673" s="4">
        <v>29566</v>
      </c>
      <c r="D1673" s="4">
        <v>29682</v>
      </c>
      <c r="E1673" s="4">
        <v>29546</v>
      </c>
      <c r="F1673" s="4" t="str">
        <v>8.62K</v>
      </c>
      <c r="G1673" s="4" t="str">
        <v>0.25%</v>
      </c>
      <c r="H1673" s="3">
        <v>42997</v>
      </c>
      <c r="I1673" s="4">
        <v>29614</v>
      </c>
    </row>
    <row r="1674" spans="1:9" x14ac:dyDescent="0.25">
      <c r="A1674" s="3">
        <v>42996</v>
      </c>
      <c r="B1674" s="4">
        <v>29547</v>
      </c>
      <c r="C1674" s="4">
        <v>29820</v>
      </c>
      <c r="D1674" s="4">
        <v>29820</v>
      </c>
      <c r="E1674" s="4">
        <v>29538</v>
      </c>
      <c r="F1674" s="4" t="str">
        <v>9.04K</v>
      </c>
      <c r="G1674" s="4" t="str">
        <v>-1.03%</v>
      </c>
      <c r="H1674" s="3">
        <v>42996</v>
      </c>
      <c r="I1674" s="4">
        <v>29679</v>
      </c>
    </row>
    <row r="1675" spans="1:9" x14ac:dyDescent="0.25">
      <c r="A1675" s="3">
        <v>42993</v>
      </c>
      <c r="B1675" s="4">
        <v>29856</v>
      </c>
      <c r="C1675" s="4">
        <v>30022</v>
      </c>
      <c r="D1675" s="4">
        <v>30040</v>
      </c>
      <c r="E1675" s="4">
        <v>29825</v>
      </c>
      <c r="F1675" s="4" t="str">
        <v>9.54K</v>
      </c>
      <c r="G1675" s="4" t="str">
        <v>-0.51%</v>
      </c>
      <c r="H1675" s="3">
        <v>42993</v>
      </c>
      <c r="I1675" s="4">
        <v>29932.5</v>
      </c>
    </row>
    <row r="1676" spans="1:9" x14ac:dyDescent="0.25">
      <c r="A1676" s="3">
        <v>42992</v>
      </c>
      <c r="B1676" s="4">
        <v>30010</v>
      </c>
      <c r="C1676" s="4">
        <v>29807</v>
      </c>
      <c r="D1676" s="4">
        <v>30050</v>
      </c>
      <c r="E1676" s="4">
        <v>29765</v>
      </c>
      <c r="F1676" s="4" t="str">
        <v>11.10K</v>
      </c>
      <c r="G1676" s="4" t="str">
        <v>0.41%</v>
      </c>
      <c r="H1676" s="3">
        <v>42992</v>
      </c>
      <c r="I1676" s="4">
        <v>29907.5</v>
      </c>
    </row>
    <row r="1677" spans="1:9" x14ac:dyDescent="0.25">
      <c r="A1677" s="3">
        <v>42991</v>
      </c>
      <c r="B1677" s="4">
        <v>29886</v>
      </c>
      <c r="C1677" s="4">
        <v>29999</v>
      </c>
      <c r="D1677" s="4">
        <v>30058</v>
      </c>
      <c r="E1677" s="4">
        <v>29820</v>
      </c>
      <c r="F1677" s="4" t="str">
        <v>9.71K</v>
      </c>
      <c r="G1677" s="4" t="str">
        <v>-0.19%</v>
      </c>
      <c r="H1677" s="3">
        <v>42991</v>
      </c>
      <c r="I1677" s="4">
        <v>29939</v>
      </c>
    </row>
    <row r="1678" spans="1:9" x14ac:dyDescent="0.25">
      <c r="A1678" s="3">
        <v>42990</v>
      </c>
      <c r="B1678" s="4">
        <v>29943</v>
      </c>
      <c r="C1678" s="4">
        <v>29911</v>
      </c>
      <c r="D1678" s="4">
        <v>29971</v>
      </c>
      <c r="E1678" s="4">
        <v>29820</v>
      </c>
      <c r="F1678" s="4" t="str">
        <v>8.28K</v>
      </c>
      <c r="G1678" s="4" t="str">
        <v>0.03%</v>
      </c>
      <c r="H1678" s="3">
        <v>42990</v>
      </c>
      <c r="I1678" s="4">
        <v>29895.5</v>
      </c>
    </row>
    <row r="1679" spans="1:9" x14ac:dyDescent="0.25">
      <c r="A1679" s="3">
        <v>42989</v>
      </c>
      <c r="B1679" s="4">
        <v>29933</v>
      </c>
      <c r="C1679" s="4">
        <v>30200</v>
      </c>
      <c r="D1679" s="4">
        <v>30200</v>
      </c>
      <c r="E1679" s="4">
        <v>29917</v>
      </c>
      <c r="F1679" s="4" t="str">
        <v>7.59K</v>
      </c>
      <c r="G1679" s="4" t="str">
        <v>-1.11%</v>
      </c>
      <c r="H1679" s="3">
        <v>42989</v>
      </c>
      <c r="I1679" s="4">
        <v>30058.5</v>
      </c>
    </row>
    <row r="1680" spans="1:9" x14ac:dyDescent="0.25">
      <c r="A1680" s="3">
        <v>42986</v>
      </c>
      <c r="B1680" s="4">
        <v>30268</v>
      </c>
      <c r="C1680" s="4">
        <v>30382</v>
      </c>
      <c r="D1680" s="4">
        <v>30474</v>
      </c>
      <c r="E1680" s="4">
        <v>30210</v>
      </c>
      <c r="F1680" s="4" t="str">
        <v>10.51K</v>
      </c>
      <c r="G1680" s="4" t="str">
        <v>-0.05%</v>
      </c>
      <c r="H1680" s="3">
        <v>42986</v>
      </c>
      <c r="I1680" s="4">
        <v>30342</v>
      </c>
    </row>
    <row r="1681" spans="1:9" x14ac:dyDescent="0.25">
      <c r="A1681" s="3">
        <v>42985</v>
      </c>
      <c r="B1681" s="4">
        <v>30282</v>
      </c>
      <c r="C1681" s="4">
        <v>30076</v>
      </c>
      <c r="D1681" s="4">
        <v>30368</v>
      </c>
      <c r="E1681" s="4">
        <v>30055</v>
      </c>
      <c r="F1681" s="4" t="str">
        <v>10.83K</v>
      </c>
      <c r="G1681" s="4" t="str">
        <v>0.69%</v>
      </c>
      <c r="H1681" s="3">
        <v>42985</v>
      </c>
      <c r="I1681" s="4">
        <v>30211.5</v>
      </c>
    </row>
    <row r="1682" spans="1:9" x14ac:dyDescent="0.25">
      <c r="A1682" s="3">
        <v>42984</v>
      </c>
      <c r="B1682" s="4">
        <v>30075</v>
      </c>
      <c r="C1682" s="4">
        <v>30245</v>
      </c>
      <c r="D1682" s="4">
        <v>30286</v>
      </c>
      <c r="E1682" s="4">
        <v>30035</v>
      </c>
      <c r="F1682" s="4" t="str">
        <v>9.03K</v>
      </c>
      <c r="G1682" s="4" t="str">
        <v>-0.49%</v>
      </c>
      <c r="H1682" s="3">
        <v>42984</v>
      </c>
      <c r="I1682" s="4">
        <v>30160.5</v>
      </c>
    </row>
    <row r="1683" spans="1:9" x14ac:dyDescent="0.25">
      <c r="A1683" s="3">
        <v>42983</v>
      </c>
      <c r="B1683" s="4">
        <v>30223</v>
      </c>
      <c r="C1683" s="4">
        <v>30178</v>
      </c>
      <c r="D1683" s="4">
        <v>30243</v>
      </c>
      <c r="E1683" s="4">
        <v>29955</v>
      </c>
      <c r="F1683" s="4" t="str">
        <v>12.05K</v>
      </c>
      <c r="G1683" s="4" t="str">
        <v>0.39%</v>
      </c>
      <c r="H1683" s="3">
        <v>42983</v>
      </c>
      <c r="I1683" s="4">
        <v>30099</v>
      </c>
    </row>
    <row r="1684" spans="1:9" x14ac:dyDescent="0.25">
      <c r="A1684" s="3">
        <v>42982</v>
      </c>
      <c r="B1684" s="4">
        <v>30105</v>
      </c>
      <c r="C1684" s="4">
        <v>30011</v>
      </c>
      <c r="D1684" s="4">
        <v>30267</v>
      </c>
      <c r="E1684" s="4">
        <v>30011</v>
      </c>
      <c r="F1684" s="4" t="str">
        <v>8.89K</v>
      </c>
      <c r="G1684" s="4" t="str">
        <v>0.95%</v>
      </c>
      <c r="H1684" s="3">
        <v>42982</v>
      </c>
      <c r="I1684" s="4">
        <v>30139</v>
      </c>
    </row>
    <row r="1685" spans="1:9" x14ac:dyDescent="0.25">
      <c r="A1685" s="3">
        <v>42979</v>
      </c>
      <c r="B1685" s="4">
        <v>29823</v>
      </c>
      <c r="C1685" s="4">
        <v>29735</v>
      </c>
      <c r="D1685" s="4">
        <v>29880</v>
      </c>
      <c r="E1685" s="4">
        <v>29688</v>
      </c>
      <c r="F1685" s="4" t="str">
        <v>9.75K</v>
      </c>
      <c r="G1685" s="4" t="str">
        <v>0.26%</v>
      </c>
      <c r="H1685" s="3">
        <v>42979</v>
      </c>
      <c r="I1685" s="4">
        <v>29784</v>
      </c>
    </row>
    <row r="1686" spans="1:9" x14ac:dyDescent="0.25">
      <c r="A1686" s="3">
        <v>42978</v>
      </c>
      <c r="B1686" s="4">
        <v>29745</v>
      </c>
      <c r="C1686" s="4">
        <v>29500</v>
      </c>
      <c r="D1686" s="4">
        <v>29767</v>
      </c>
      <c r="E1686" s="4">
        <v>29412</v>
      </c>
      <c r="F1686" s="4" t="str">
        <v>10.31K</v>
      </c>
      <c r="G1686" s="4" t="str">
        <v>0.64%</v>
      </c>
      <c r="H1686" s="3">
        <v>42978</v>
      </c>
      <c r="I1686" s="4">
        <v>29589.5</v>
      </c>
    </row>
    <row r="1687" spans="1:9" x14ac:dyDescent="0.25">
      <c r="A1687" s="3">
        <v>42977</v>
      </c>
      <c r="B1687" s="4">
        <v>29555</v>
      </c>
      <c r="C1687" s="4">
        <v>29641</v>
      </c>
      <c r="D1687" s="4">
        <v>29641</v>
      </c>
      <c r="E1687" s="4">
        <v>29466</v>
      </c>
      <c r="F1687" s="4" t="str">
        <v>10.39K</v>
      </c>
      <c r="G1687" s="4" t="str">
        <v>-0.36%</v>
      </c>
      <c r="H1687" s="3">
        <v>42977</v>
      </c>
      <c r="I1687" s="4">
        <v>29553.5</v>
      </c>
    </row>
    <row r="1688" spans="1:9" x14ac:dyDescent="0.25">
      <c r="A1688" s="3">
        <v>42976</v>
      </c>
      <c r="B1688" s="4">
        <v>29662</v>
      </c>
      <c r="C1688" s="4">
        <v>29550</v>
      </c>
      <c r="D1688" s="4">
        <v>29937</v>
      </c>
      <c r="E1688" s="4">
        <v>29550</v>
      </c>
      <c r="F1688" s="4" t="str">
        <v>13.13K</v>
      </c>
      <c r="G1688" s="4" t="str">
        <v>0.54%</v>
      </c>
      <c r="H1688" s="3">
        <v>42976</v>
      </c>
      <c r="I1688" s="4">
        <v>29743.5</v>
      </c>
    </row>
    <row r="1689" spans="1:9" x14ac:dyDescent="0.25">
      <c r="A1689" s="3">
        <v>42975</v>
      </c>
      <c r="B1689" s="4">
        <v>29503</v>
      </c>
      <c r="C1689" s="4">
        <v>29195</v>
      </c>
      <c r="D1689" s="4">
        <v>29518</v>
      </c>
      <c r="E1689" s="4">
        <v>29173</v>
      </c>
      <c r="F1689" s="4" t="str">
        <v>10.80K</v>
      </c>
      <c r="G1689" s="4" t="str">
        <v>1.15%</v>
      </c>
      <c r="H1689" s="3">
        <v>42975</v>
      </c>
      <c r="I1689" s="4">
        <v>29345.5</v>
      </c>
    </row>
    <row r="1690" spans="1:9" x14ac:dyDescent="0.25">
      <c r="A1690" s="3">
        <v>42972</v>
      </c>
      <c r="B1690" s="4">
        <v>29167</v>
      </c>
      <c r="C1690" s="4">
        <v>29096</v>
      </c>
      <c r="D1690" s="4">
        <v>29224</v>
      </c>
      <c r="E1690" s="4">
        <v>28777</v>
      </c>
      <c r="F1690" s="4" t="str">
        <v>7.63K</v>
      </c>
      <c r="G1690" s="4" t="str">
        <v>0.23%</v>
      </c>
      <c r="H1690" s="3">
        <v>42972</v>
      </c>
      <c r="I1690" s="4">
        <v>29000.5</v>
      </c>
    </row>
    <row r="1691" spans="1:9" x14ac:dyDescent="0.25">
      <c r="A1691" s="3">
        <v>42971</v>
      </c>
      <c r="B1691" s="4">
        <v>29099</v>
      </c>
      <c r="C1691" s="4">
        <v>29142</v>
      </c>
      <c r="D1691" s="4">
        <v>29182</v>
      </c>
      <c r="E1691" s="4">
        <v>29046</v>
      </c>
      <c r="F1691" s="4" t="str">
        <v>7.54K</v>
      </c>
      <c r="G1691" s="4" t="str">
        <v>-0.22%</v>
      </c>
      <c r="H1691" s="3">
        <v>42971</v>
      </c>
      <c r="I1691" s="4">
        <v>29114</v>
      </c>
    </row>
    <row r="1692" spans="1:9" x14ac:dyDescent="0.25">
      <c r="A1692" s="3">
        <v>42970</v>
      </c>
      <c r="B1692" s="4">
        <v>29164</v>
      </c>
      <c r="C1692" s="4">
        <v>29106</v>
      </c>
      <c r="D1692" s="4">
        <v>29214</v>
      </c>
      <c r="E1692" s="4">
        <v>29074</v>
      </c>
      <c r="F1692" s="4" t="str">
        <v>8.27K</v>
      </c>
      <c r="G1692" s="4" t="str">
        <v>0.20%</v>
      </c>
      <c r="H1692" s="3">
        <v>42970</v>
      </c>
      <c r="I1692" s="4">
        <v>29144</v>
      </c>
    </row>
    <row r="1693" spans="1:9" x14ac:dyDescent="0.25">
      <c r="A1693" s="3">
        <v>42969</v>
      </c>
      <c r="B1693" s="4">
        <v>29105</v>
      </c>
      <c r="C1693" s="4">
        <v>29238</v>
      </c>
      <c r="D1693" s="4">
        <v>29238</v>
      </c>
      <c r="E1693" s="4">
        <v>29036</v>
      </c>
      <c r="F1693" s="4" t="str">
        <v>10.05K</v>
      </c>
      <c r="G1693" s="4" t="str">
        <v>-0.61%</v>
      </c>
      <c r="H1693" s="3">
        <v>42969</v>
      </c>
      <c r="I1693" s="4">
        <v>29137</v>
      </c>
    </row>
    <row r="1694" spans="1:9" x14ac:dyDescent="0.25">
      <c r="A1694" s="3">
        <v>42968</v>
      </c>
      <c r="B1694" s="4">
        <v>29283</v>
      </c>
      <c r="C1694" s="4">
        <v>29125</v>
      </c>
      <c r="D1694" s="4">
        <v>29314</v>
      </c>
      <c r="E1694" s="4">
        <v>29079</v>
      </c>
      <c r="F1694" s="4" t="str">
        <v>9.85K</v>
      </c>
      <c r="G1694" s="4" t="str">
        <v>0.41%</v>
      </c>
      <c r="H1694" s="3">
        <v>42968</v>
      </c>
      <c r="I1694" s="4">
        <v>29196.5</v>
      </c>
    </row>
    <row r="1695" spans="1:9" x14ac:dyDescent="0.25">
      <c r="A1695" s="3">
        <v>42965</v>
      </c>
      <c r="B1695" s="4">
        <v>29163</v>
      </c>
      <c r="C1695" s="4">
        <v>29170</v>
      </c>
      <c r="D1695" s="4">
        <v>29443</v>
      </c>
      <c r="E1695" s="4">
        <v>29075</v>
      </c>
      <c r="F1695" s="4" t="str">
        <v>13.29K</v>
      </c>
      <c r="G1695" s="4" t="str">
        <v>0.04%</v>
      </c>
      <c r="H1695" s="3">
        <v>42965</v>
      </c>
      <c r="I1695" s="4">
        <v>29259</v>
      </c>
    </row>
    <row r="1696" spans="1:9" x14ac:dyDescent="0.25">
      <c r="A1696" s="3">
        <v>42964</v>
      </c>
      <c r="B1696" s="4">
        <v>29151</v>
      </c>
      <c r="C1696" s="4">
        <v>29050</v>
      </c>
      <c r="D1696" s="4">
        <v>29229</v>
      </c>
      <c r="E1696" s="4">
        <v>29050</v>
      </c>
      <c r="F1696" s="4" t="str">
        <v>9.18K</v>
      </c>
      <c r="G1696" s="4" t="str">
        <v>0.69%</v>
      </c>
      <c r="H1696" s="3">
        <v>42964</v>
      </c>
      <c r="I1696" s="4">
        <v>29139.5</v>
      </c>
    </row>
    <row r="1697" spans="1:9" x14ac:dyDescent="0.25">
      <c r="A1697" s="3">
        <v>42963</v>
      </c>
      <c r="B1697" s="4">
        <v>28952</v>
      </c>
      <c r="C1697" s="4">
        <v>28950</v>
      </c>
      <c r="D1697" s="4">
        <v>28970</v>
      </c>
      <c r="E1697" s="4">
        <v>28800</v>
      </c>
      <c r="F1697" s="4" t="str">
        <v>9.71K</v>
      </c>
      <c r="G1697" s="4" t="str">
        <v>-0.44%</v>
      </c>
      <c r="H1697" s="3">
        <v>42963</v>
      </c>
      <c r="I1697" s="4">
        <v>28885</v>
      </c>
    </row>
    <row r="1698" spans="1:9" x14ac:dyDescent="0.25">
      <c r="A1698" s="3">
        <v>42961</v>
      </c>
      <c r="B1698" s="4">
        <v>29080</v>
      </c>
      <c r="C1698" s="4">
        <v>29114</v>
      </c>
      <c r="D1698" s="4">
        <v>29163</v>
      </c>
      <c r="E1698" s="4">
        <v>29023</v>
      </c>
      <c r="F1698" s="4" t="str">
        <v>7.63K</v>
      </c>
      <c r="G1698" s="4" t="str">
        <v>-0.42%</v>
      </c>
      <c r="H1698" s="3">
        <v>42961</v>
      </c>
      <c r="I1698" s="4">
        <v>29093</v>
      </c>
    </row>
    <row r="1699" spans="1:9" x14ac:dyDescent="0.25">
      <c r="A1699" s="3">
        <v>42958</v>
      </c>
      <c r="B1699" s="4">
        <v>29203</v>
      </c>
      <c r="C1699" s="4">
        <v>29199</v>
      </c>
      <c r="D1699" s="4">
        <v>29295</v>
      </c>
      <c r="E1699" s="4">
        <v>29071</v>
      </c>
      <c r="F1699" s="4" t="str">
        <v>10.91K</v>
      </c>
      <c r="G1699" s="4" t="str">
        <v>0.09%</v>
      </c>
      <c r="H1699" s="3">
        <v>42958</v>
      </c>
      <c r="I1699" s="4">
        <v>29183</v>
      </c>
    </row>
    <row r="1700" spans="1:9" x14ac:dyDescent="0.25">
      <c r="A1700" s="3">
        <v>42957</v>
      </c>
      <c r="B1700" s="4">
        <v>29176</v>
      </c>
      <c r="C1700" s="4">
        <v>28900</v>
      </c>
      <c r="D1700" s="4">
        <v>29223</v>
      </c>
      <c r="E1700" s="4">
        <v>28900</v>
      </c>
      <c r="F1700" s="4" t="str">
        <v>11.25K</v>
      </c>
      <c r="G1700" s="4" t="str">
        <v>1.15%</v>
      </c>
      <c r="H1700" s="3">
        <v>42957</v>
      </c>
      <c r="I1700" s="4">
        <v>29061.5</v>
      </c>
    </row>
    <row r="1701" spans="1:9" x14ac:dyDescent="0.25">
      <c r="A1701" s="3">
        <v>42956</v>
      </c>
      <c r="B1701" s="4">
        <v>28844</v>
      </c>
      <c r="C1701" s="4">
        <v>28520</v>
      </c>
      <c r="D1701" s="4">
        <v>28865</v>
      </c>
      <c r="E1701" s="4">
        <v>28520</v>
      </c>
      <c r="F1701" s="4" t="str">
        <v>10.51K</v>
      </c>
      <c r="G1701" s="4" t="str">
        <v>1.64%</v>
      </c>
      <c r="H1701" s="3">
        <v>42956</v>
      </c>
      <c r="I1701" s="4">
        <v>28692.5</v>
      </c>
    </row>
    <row r="1702" spans="1:9" x14ac:dyDescent="0.25">
      <c r="A1702" s="3">
        <v>42955</v>
      </c>
      <c r="B1702" s="4">
        <v>28379</v>
      </c>
      <c r="C1702" s="4">
        <v>28462</v>
      </c>
      <c r="D1702" s="4">
        <v>28529</v>
      </c>
      <c r="E1702" s="4">
        <v>28300</v>
      </c>
      <c r="F1702" s="4" t="str">
        <v>8.52K</v>
      </c>
      <c r="G1702" s="4" t="str">
        <v>-0.27%</v>
      </c>
      <c r="H1702" s="3">
        <v>42955</v>
      </c>
      <c r="I1702" s="4">
        <v>28414.5</v>
      </c>
    </row>
    <row r="1703" spans="1:9" x14ac:dyDescent="0.25">
      <c r="A1703" s="3">
        <v>42954</v>
      </c>
      <c r="B1703" s="4">
        <v>28457</v>
      </c>
      <c r="C1703" s="4">
        <v>28389</v>
      </c>
      <c r="D1703" s="4">
        <v>28488</v>
      </c>
      <c r="E1703" s="4">
        <v>28372</v>
      </c>
      <c r="F1703" s="4" t="str">
        <v>5.20K</v>
      </c>
      <c r="G1703" s="4" t="str">
        <v>-0.41%</v>
      </c>
      <c r="H1703" s="3">
        <v>42954</v>
      </c>
      <c r="I1703" s="4">
        <v>28430</v>
      </c>
    </row>
    <row r="1704" spans="1:9" x14ac:dyDescent="0.25">
      <c r="A1704" s="3">
        <v>42951</v>
      </c>
      <c r="B1704" s="4">
        <v>28573</v>
      </c>
      <c r="C1704" s="4">
        <v>28487</v>
      </c>
      <c r="D1704" s="4">
        <v>28666</v>
      </c>
      <c r="E1704" s="4">
        <v>28435</v>
      </c>
      <c r="F1704" s="4" t="str">
        <v>0.09K</v>
      </c>
      <c r="G1704" s="4" t="str">
        <v>0.30%</v>
      </c>
      <c r="H1704" s="3">
        <v>42951</v>
      </c>
      <c r="I1704" s="4">
        <v>28550.5</v>
      </c>
    </row>
    <row r="1705" spans="1:9" x14ac:dyDescent="0.25">
      <c r="A1705" s="3">
        <v>42950</v>
      </c>
      <c r="B1705" s="4">
        <v>28487</v>
      </c>
      <c r="C1705" s="4">
        <v>28383</v>
      </c>
      <c r="D1705" s="4">
        <v>28499</v>
      </c>
      <c r="E1705" s="4">
        <v>28300</v>
      </c>
      <c r="F1705" s="4" t="str">
        <v>0.07K</v>
      </c>
      <c r="G1705" s="4" t="str">
        <v>0.18%</v>
      </c>
      <c r="H1705" s="3">
        <v>42950</v>
      </c>
      <c r="I1705" s="4">
        <v>28399.5</v>
      </c>
    </row>
    <row r="1706" spans="1:9" x14ac:dyDescent="0.25">
      <c r="A1706" s="3">
        <v>42949</v>
      </c>
      <c r="B1706" s="4">
        <v>28437</v>
      </c>
      <c r="C1706" s="4">
        <v>28420</v>
      </c>
      <c r="D1706" s="4">
        <v>28509</v>
      </c>
      <c r="E1706" s="4">
        <v>28400</v>
      </c>
      <c r="F1706" s="4" t="str">
        <v>0.41K</v>
      </c>
      <c r="G1706" s="4" t="str">
        <v>0.12%</v>
      </c>
      <c r="H1706" s="3">
        <v>42949</v>
      </c>
      <c r="I1706" s="4">
        <v>28454.5</v>
      </c>
    </row>
    <row r="1707" spans="1:9" x14ac:dyDescent="0.25">
      <c r="A1707" s="3">
        <v>42948</v>
      </c>
      <c r="B1707" s="4">
        <v>28404</v>
      </c>
      <c r="C1707" s="4">
        <v>28521</v>
      </c>
      <c r="D1707" s="4">
        <v>28569</v>
      </c>
      <c r="E1707" s="4">
        <v>28350</v>
      </c>
      <c r="F1707" s="4" t="str">
        <v>1.03K</v>
      </c>
      <c r="G1707" s="4" t="str">
        <v>-0.54%</v>
      </c>
      <c r="H1707" s="3">
        <v>42948</v>
      </c>
      <c r="I1707" s="4">
        <v>28459.5</v>
      </c>
    </row>
    <row r="1708" spans="1:9" x14ac:dyDescent="0.25">
      <c r="A1708" s="3">
        <v>42947</v>
      </c>
      <c r="B1708" s="4">
        <v>28557</v>
      </c>
      <c r="C1708" s="4">
        <v>28473</v>
      </c>
      <c r="D1708" s="4">
        <v>28620</v>
      </c>
      <c r="E1708" s="4">
        <v>28467</v>
      </c>
      <c r="F1708" s="4" t="str">
        <v>5.80K</v>
      </c>
      <c r="G1708" s="4" t="str">
        <v>-0.08%</v>
      </c>
      <c r="H1708" s="3">
        <v>42947</v>
      </c>
      <c r="I1708" s="4">
        <v>28543.5</v>
      </c>
    </row>
    <row r="1709" spans="1:9" x14ac:dyDescent="0.25">
      <c r="A1709" s="3">
        <v>42944</v>
      </c>
      <c r="B1709" s="4">
        <v>28580</v>
      </c>
      <c r="C1709" s="4">
        <v>28477</v>
      </c>
      <c r="D1709" s="4">
        <v>28595</v>
      </c>
      <c r="E1709" s="4">
        <v>28395</v>
      </c>
      <c r="F1709" s="4" t="str">
        <v>7.42K</v>
      </c>
      <c r="G1709" s="4" t="str">
        <v>0.37%</v>
      </c>
      <c r="H1709" s="3">
        <v>42944</v>
      </c>
      <c r="I1709" s="4">
        <v>28495</v>
      </c>
    </row>
    <row r="1710" spans="1:9" x14ac:dyDescent="0.25">
      <c r="A1710" s="3">
        <v>42943</v>
      </c>
      <c r="B1710" s="4">
        <v>28476</v>
      </c>
      <c r="C1710" s="4">
        <v>28600</v>
      </c>
      <c r="D1710" s="4">
        <v>28607</v>
      </c>
      <c r="E1710" s="4">
        <v>28367</v>
      </c>
      <c r="F1710" s="4" t="str">
        <v>9.93K</v>
      </c>
      <c r="G1710" s="4" t="str">
        <v>0.32%</v>
      </c>
      <c r="H1710" s="3">
        <v>42943</v>
      </c>
      <c r="I1710" s="4">
        <v>28487</v>
      </c>
    </row>
    <row r="1711" spans="1:9" x14ac:dyDescent="0.25">
      <c r="A1711" s="3">
        <v>42942</v>
      </c>
      <c r="B1711" s="4">
        <v>28384</v>
      </c>
      <c r="C1711" s="4">
        <v>28400</v>
      </c>
      <c r="D1711" s="4">
        <v>28403</v>
      </c>
      <c r="E1711" s="4">
        <v>28304</v>
      </c>
      <c r="F1711" s="4" t="str">
        <v>7.81K</v>
      </c>
      <c r="G1711" s="4" t="str">
        <v>-0.33%</v>
      </c>
      <c r="H1711" s="3">
        <v>42942</v>
      </c>
      <c r="I1711" s="4">
        <v>28353.5</v>
      </c>
    </row>
    <row r="1712" spans="1:9" x14ac:dyDescent="0.25">
      <c r="A1712" s="3">
        <v>42941</v>
      </c>
      <c r="B1712" s="4">
        <v>28478</v>
      </c>
      <c r="C1712" s="4">
        <v>28538</v>
      </c>
      <c r="D1712" s="4">
        <v>28579</v>
      </c>
      <c r="E1712" s="4">
        <v>28392</v>
      </c>
      <c r="F1712" s="4" t="str">
        <v>9.36K</v>
      </c>
      <c r="G1712" s="4" t="str">
        <v>-0.13%</v>
      </c>
      <c r="H1712" s="3">
        <v>42941</v>
      </c>
      <c r="I1712" s="4">
        <v>28485.5</v>
      </c>
    </row>
    <row r="1713" spans="1:9" x14ac:dyDescent="0.25">
      <c r="A1713" s="3">
        <v>42940</v>
      </c>
      <c r="B1713" s="4">
        <v>28516</v>
      </c>
      <c r="C1713" s="4">
        <v>28563</v>
      </c>
      <c r="D1713" s="4">
        <v>28610</v>
      </c>
      <c r="E1713" s="4">
        <v>28500</v>
      </c>
      <c r="F1713" s="4" t="str">
        <v>7.13K</v>
      </c>
      <c r="G1713" s="4" t="str">
        <v>-0.09%</v>
      </c>
      <c r="H1713" s="3">
        <v>42940</v>
      </c>
      <c r="I1713" s="4">
        <v>28555</v>
      </c>
    </row>
    <row r="1714" spans="1:9" x14ac:dyDescent="0.25">
      <c r="A1714" s="3">
        <v>42937</v>
      </c>
      <c r="B1714" s="4">
        <v>28541</v>
      </c>
      <c r="C1714" s="4">
        <v>28327</v>
      </c>
      <c r="D1714" s="4">
        <v>28559</v>
      </c>
      <c r="E1714" s="4">
        <v>28283</v>
      </c>
      <c r="F1714" s="4" t="str">
        <v>7.65K</v>
      </c>
      <c r="G1714" s="4" t="str">
        <v>0.74%</v>
      </c>
      <c r="H1714" s="3">
        <v>42937</v>
      </c>
      <c r="I1714" s="4">
        <v>28421</v>
      </c>
    </row>
    <row r="1715" spans="1:9" x14ac:dyDescent="0.25">
      <c r="A1715" s="3">
        <v>42936</v>
      </c>
      <c r="B1715" s="4">
        <v>28331</v>
      </c>
      <c r="C1715" s="4">
        <v>28217</v>
      </c>
      <c r="D1715" s="4">
        <v>28380</v>
      </c>
      <c r="E1715" s="4">
        <v>28131</v>
      </c>
      <c r="F1715" s="4" t="str">
        <v>10.72K</v>
      </c>
      <c r="G1715" s="4" t="str">
        <v>0.29%</v>
      </c>
      <c r="H1715" s="3">
        <v>42936</v>
      </c>
      <c r="I1715" s="4">
        <v>28255.5</v>
      </c>
    </row>
    <row r="1716" spans="1:9" x14ac:dyDescent="0.25">
      <c r="A1716" s="3">
        <v>42935</v>
      </c>
      <c r="B1716" s="4">
        <v>28250</v>
      </c>
      <c r="C1716" s="4">
        <v>28255</v>
      </c>
      <c r="D1716" s="4">
        <v>28260</v>
      </c>
      <c r="E1716" s="4">
        <v>28121</v>
      </c>
      <c r="F1716" s="4" t="str">
        <v>8.18K</v>
      </c>
      <c r="G1716" s="4" t="str">
        <v>-0.01%</v>
      </c>
      <c r="H1716" s="3">
        <v>42935</v>
      </c>
      <c r="I1716" s="4">
        <v>28190.5</v>
      </c>
    </row>
    <row r="1717" spans="1:9" x14ac:dyDescent="0.25">
      <c r="A1717" s="3">
        <v>42934</v>
      </c>
      <c r="B1717" s="4">
        <v>28253</v>
      </c>
      <c r="C1717" s="4">
        <v>28138</v>
      </c>
      <c r="D1717" s="4">
        <v>28285</v>
      </c>
      <c r="E1717" s="4">
        <v>28125</v>
      </c>
      <c r="F1717" s="4" t="str">
        <v>8.88K</v>
      </c>
      <c r="G1717" s="4" t="str">
        <v>0.47%</v>
      </c>
      <c r="H1717" s="3">
        <v>42934</v>
      </c>
      <c r="I1717" s="4">
        <v>28205</v>
      </c>
    </row>
    <row r="1718" spans="1:9" x14ac:dyDescent="0.25">
      <c r="A1718" s="3">
        <v>42933</v>
      </c>
      <c r="B1718" s="4">
        <v>28120</v>
      </c>
      <c r="C1718" s="4">
        <v>28050</v>
      </c>
      <c r="D1718" s="4">
        <v>28143</v>
      </c>
      <c r="E1718" s="4">
        <v>28025</v>
      </c>
      <c r="F1718" s="4" t="str">
        <v>8.85K</v>
      </c>
      <c r="G1718" s="4" t="str">
        <v>0.44%</v>
      </c>
      <c r="H1718" s="3">
        <v>42933</v>
      </c>
      <c r="I1718" s="4">
        <v>28084</v>
      </c>
    </row>
    <row r="1719" spans="1:9" x14ac:dyDescent="0.25">
      <c r="A1719" s="3">
        <v>42930</v>
      </c>
      <c r="B1719" s="4">
        <v>27996</v>
      </c>
      <c r="C1719" s="4">
        <v>27823</v>
      </c>
      <c r="D1719" s="4">
        <v>28073</v>
      </c>
      <c r="E1719" s="4">
        <v>27771</v>
      </c>
      <c r="F1719" s="4" t="str">
        <v>10.35K</v>
      </c>
      <c r="G1719" s="4" t="str">
        <v>0.57%</v>
      </c>
      <c r="H1719" s="3">
        <v>42930</v>
      </c>
      <c r="I1719" s="4">
        <v>27922</v>
      </c>
    </row>
    <row r="1720" spans="1:9" x14ac:dyDescent="0.25">
      <c r="A1720" s="3">
        <v>42929</v>
      </c>
      <c r="B1720" s="4">
        <v>27837</v>
      </c>
      <c r="C1720" s="4">
        <v>27950</v>
      </c>
      <c r="D1720" s="4">
        <v>27957</v>
      </c>
      <c r="E1720" s="4">
        <v>27812</v>
      </c>
      <c r="F1720" s="4" t="str">
        <v>7.67K</v>
      </c>
      <c r="G1720" s="4" t="str">
        <v>-0.05%</v>
      </c>
      <c r="H1720" s="3">
        <v>42929</v>
      </c>
      <c r="I1720" s="4">
        <v>27884.5</v>
      </c>
    </row>
    <row r="1721" spans="1:9" x14ac:dyDescent="0.25">
      <c r="A1721" s="3">
        <v>42928</v>
      </c>
      <c r="B1721" s="4">
        <v>27851</v>
      </c>
      <c r="C1721" s="4">
        <v>27915</v>
      </c>
      <c r="D1721" s="4">
        <v>27977</v>
      </c>
      <c r="E1721" s="4">
        <v>27802</v>
      </c>
      <c r="F1721" s="4" t="str">
        <v>9.29K</v>
      </c>
      <c r="G1721" s="4" t="str">
        <v>0.06%</v>
      </c>
      <c r="H1721" s="3">
        <v>42928</v>
      </c>
      <c r="I1721" s="4">
        <v>27889.5</v>
      </c>
    </row>
    <row r="1722" spans="1:9" x14ac:dyDescent="0.25">
      <c r="A1722" s="3">
        <v>42927</v>
      </c>
      <c r="B1722" s="4">
        <v>27834</v>
      </c>
      <c r="C1722" s="4">
        <v>27742</v>
      </c>
      <c r="D1722" s="4">
        <v>27870</v>
      </c>
      <c r="E1722" s="4">
        <v>27678</v>
      </c>
      <c r="F1722" s="4" t="str">
        <v>8.99K</v>
      </c>
      <c r="G1722" s="4" t="str">
        <v>0.14%</v>
      </c>
      <c r="H1722" s="3">
        <v>42927</v>
      </c>
      <c r="I1722" s="4">
        <v>27774</v>
      </c>
    </row>
    <row r="1723" spans="1:9" x14ac:dyDescent="0.25">
      <c r="A1723" s="3">
        <v>42926</v>
      </c>
      <c r="B1723" s="4">
        <v>27794</v>
      </c>
      <c r="C1723" s="4">
        <v>27732</v>
      </c>
      <c r="D1723" s="4">
        <v>27820</v>
      </c>
      <c r="E1723" s="4">
        <v>27603</v>
      </c>
      <c r="F1723" s="4" t="str">
        <v>11.05K</v>
      </c>
      <c r="G1723" s="4" t="str">
        <v>0.04%</v>
      </c>
      <c r="H1723" s="3">
        <v>42926</v>
      </c>
      <c r="I1723" s="4">
        <v>27711.5</v>
      </c>
    </row>
    <row r="1724" spans="1:9" x14ac:dyDescent="0.25">
      <c r="A1724" s="3">
        <v>42923</v>
      </c>
      <c r="B1724" s="4">
        <v>27784</v>
      </c>
      <c r="C1724" s="4">
        <v>28050</v>
      </c>
      <c r="D1724" s="4">
        <v>28118</v>
      </c>
      <c r="E1724" s="4">
        <v>27724</v>
      </c>
      <c r="F1724" s="4" t="str">
        <v>13.70K</v>
      </c>
      <c r="G1724" s="4" t="str">
        <v>-1.18%</v>
      </c>
      <c r="H1724" s="3">
        <v>42923</v>
      </c>
      <c r="I1724" s="4">
        <v>27921</v>
      </c>
    </row>
    <row r="1725" spans="1:9" x14ac:dyDescent="0.25">
      <c r="A1725" s="3">
        <v>42922</v>
      </c>
      <c r="B1725" s="4">
        <v>28116</v>
      </c>
      <c r="C1725" s="4">
        <v>28170</v>
      </c>
      <c r="D1725" s="4">
        <v>28188</v>
      </c>
      <c r="E1725" s="4">
        <v>28092</v>
      </c>
      <c r="F1725" s="4" t="str">
        <v>8.58K</v>
      </c>
      <c r="G1725" s="4" t="str">
        <v>0.03%</v>
      </c>
      <c r="H1725" s="3">
        <v>42922</v>
      </c>
      <c r="I1725" s="4">
        <v>28140</v>
      </c>
    </row>
    <row r="1726" spans="1:9" x14ac:dyDescent="0.25">
      <c r="A1726" s="3">
        <v>42921</v>
      </c>
      <c r="B1726" s="4">
        <v>28107</v>
      </c>
      <c r="C1726" s="4">
        <v>28170</v>
      </c>
      <c r="D1726" s="4">
        <v>28191</v>
      </c>
      <c r="E1726" s="4">
        <v>28005</v>
      </c>
      <c r="F1726" s="4" t="str">
        <v>11.93K</v>
      </c>
      <c r="G1726" s="4" t="str">
        <v>-0.03%</v>
      </c>
      <c r="H1726" s="3">
        <v>42921</v>
      </c>
      <c r="I1726" s="4">
        <v>28098</v>
      </c>
    </row>
    <row r="1727" spans="1:9" x14ac:dyDescent="0.25">
      <c r="A1727" s="3">
        <v>42920</v>
      </c>
      <c r="B1727" s="4">
        <v>28115</v>
      </c>
      <c r="C1727" s="4">
        <v>28073</v>
      </c>
      <c r="D1727" s="4">
        <v>28213</v>
      </c>
      <c r="E1727" s="4">
        <v>28073</v>
      </c>
      <c r="F1727" s="4" t="str">
        <v>7.97K</v>
      </c>
      <c r="G1727" s="4" t="str">
        <v>0.10%</v>
      </c>
      <c r="H1727" s="3">
        <v>42920</v>
      </c>
      <c r="I1727" s="4">
        <v>28143</v>
      </c>
    </row>
    <row r="1728" spans="1:9" x14ac:dyDescent="0.25">
      <c r="A1728" s="3">
        <v>42919</v>
      </c>
      <c r="B1728" s="4">
        <v>28086</v>
      </c>
      <c r="C1728" s="4">
        <v>28421</v>
      </c>
      <c r="D1728" s="4">
        <v>28421</v>
      </c>
      <c r="E1728" s="4">
        <v>28067</v>
      </c>
      <c r="F1728" s="4" t="str">
        <v>13.17K</v>
      </c>
      <c r="G1728" s="4" t="str">
        <v>-1.24%</v>
      </c>
      <c r="H1728" s="3">
        <v>42919</v>
      </c>
      <c r="I1728" s="4">
        <v>28244</v>
      </c>
    </row>
    <row r="1729" spans="1:9" x14ac:dyDescent="0.25">
      <c r="A1729" s="3">
        <v>42916</v>
      </c>
      <c r="B1729" s="4">
        <v>28439</v>
      </c>
      <c r="C1729" s="4">
        <v>28609</v>
      </c>
      <c r="D1729" s="4">
        <v>28609</v>
      </c>
      <c r="E1729" s="4">
        <v>28405</v>
      </c>
      <c r="F1729" s="4" t="str">
        <v>9.16K</v>
      </c>
      <c r="G1729" s="4" t="str">
        <v>-0.59%</v>
      </c>
      <c r="H1729" s="3">
        <v>42916</v>
      </c>
      <c r="I1729" s="4">
        <v>28507</v>
      </c>
    </row>
    <row r="1730" spans="1:9" x14ac:dyDescent="0.25">
      <c r="A1730" s="3">
        <v>42915</v>
      </c>
      <c r="B1730" s="4">
        <v>28608</v>
      </c>
      <c r="C1730" s="4">
        <v>28623</v>
      </c>
      <c r="D1730" s="4">
        <v>28629</v>
      </c>
      <c r="E1730" s="4">
        <v>28431</v>
      </c>
      <c r="F1730" s="4" t="str">
        <v>10.70K</v>
      </c>
      <c r="G1730" s="4" t="str">
        <v>0.14%</v>
      </c>
      <c r="H1730" s="3">
        <v>42915</v>
      </c>
      <c r="I1730" s="4">
        <v>28530</v>
      </c>
    </row>
    <row r="1731" spans="1:9" x14ac:dyDescent="0.25">
      <c r="A1731" s="3">
        <v>42914</v>
      </c>
      <c r="B1731" s="4">
        <v>28567</v>
      </c>
      <c r="C1731" s="4">
        <v>28610</v>
      </c>
      <c r="D1731" s="4">
        <v>28725</v>
      </c>
      <c r="E1731" s="4">
        <v>28508</v>
      </c>
      <c r="F1731" s="4" t="str">
        <v>9.94K</v>
      </c>
      <c r="G1731" s="4" t="str">
        <v>0.05%</v>
      </c>
      <c r="H1731" s="3">
        <v>42914</v>
      </c>
      <c r="I1731" s="4">
        <v>28616.5</v>
      </c>
    </row>
    <row r="1732" spans="1:9" x14ac:dyDescent="0.25">
      <c r="A1732" s="3">
        <v>42913</v>
      </c>
      <c r="B1732" s="4">
        <v>28553</v>
      </c>
      <c r="C1732" s="4">
        <v>28480</v>
      </c>
      <c r="D1732" s="4">
        <v>28648</v>
      </c>
      <c r="E1732" s="4">
        <v>28473</v>
      </c>
      <c r="F1732" s="4" t="str">
        <v>9.56K</v>
      </c>
      <c r="G1732" s="4" t="str">
        <v>0.15%</v>
      </c>
      <c r="H1732" s="3">
        <v>42913</v>
      </c>
      <c r="I1732" s="4">
        <v>28560.5</v>
      </c>
    </row>
    <row r="1733" spans="1:9" x14ac:dyDescent="0.25">
      <c r="A1733" s="3">
        <v>42912</v>
      </c>
      <c r="B1733" s="4">
        <v>28510</v>
      </c>
      <c r="C1733" s="4">
        <v>28450</v>
      </c>
      <c r="D1733" s="4">
        <v>28527</v>
      </c>
      <c r="E1733" s="4">
        <v>28350</v>
      </c>
      <c r="F1733" s="4" t="str">
        <v>5.24K</v>
      </c>
      <c r="G1733" s="4" t="str">
        <v>-0.78%</v>
      </c>
      <c r="H1733" s="3">
        <v>42912</v>
      </c>
      <c r="I1733" s="4">
        <v>28438.5</v>
      </c>
    </row>
    <row r="1734" spans="1:9" x14ac:dyDescent="0.25">
      <c r="A1734" s="3">
        <v>42909</v>
      </c>
      <c r="B1734" s="4">
        <v>28734</v>
      </c>
      <c r="C1734" s="4">
        <v>28683</v>
      </c>
      <c r="D1734" s="4">
        <v>28820</v>
      </c>
      <c r="E1734" s="4">
        <v>28680</v>
      </c>
      <c r="F1734" s="4" t="str">
        <v>7.13K</v>
      </c>
      <c r="G1734" s="4" t="str">
        <v>0.37%</v>
      </c>
      <c r="H1734" s="3">
        <v>42909</v>
      </c>
      <c r="I1734" s="4">
        <v>28750</v>
      </c>
    </row>
    <row r="1735" spans="1:9" x14ac:dyDescent="0.25">
      <c r="A1735" s="3">
        <v>42908</v>
      </c>
      <c r="B1735" s="4">
        <v>28629</v>
      </c>
      <c r="C1735" s="4">
        <v>28645</v>
      </c>
      <c r="D1735" s="4">
        <v>28749</v>
      </c>
      <c r="E1735" s="4">
        <v>28620</v>
      </c>
      <c r="F1735" s="4" t="str">
        <v>7.35K</v>
      </c>
      <c r="G1735" s="4" t="str">
        <v>0.18%</v>
      </c>
      <c r="H1735" s="3">
        <v>42908</v>
      </c>
      <c r="I1735" s="4">
        <v>28684.5</v>
      </c>
    </row>
    <row r="1736" spans="1:9" x14ac:dyDescent="0.25">
      <c r="A1736" s="3">
        <v>42907</v>
      </c>
      <c r="B1736" s="4">
        <v>28577</v>
      </c>
      <c r="C1736" s="4">
        <v>28590</v>
      </c>
      <c r="D1736" s="4">
        <v>28634</v>
      </c>
      <c r="E1736" s="4">
        <v>28448</v>
      </c>
      <c r="F1736" s="4" t="str">
        <v>8.44K</v>
      </c>
      <c r="G1736" s="4" t="str">
        <v>0.18%</v>
      </c>
      <c r="H1736" s="3">
        <v>42907</v>
      </c>
      <c r="I1736" s="4">
        <v>28541</v>
      </c>
    </row>
    <row r="1737" spans="1:9" x14ac:dyDescent="0.25">
      <c r="A1737" s="3">
        <v>42906</v>
      </c>
      <c r="B1737" s="4">
        <v>28526</v>
      </c>
      <c r="C1737" s="4">
        <v>28533</v>
      </c>
      <c r="D1737" s="4">
        <v>28599</v>
      </c>
      <c r="E1737" s="4">
        <v>28487</v>
      </c>
      <c r="F1737" s="4" t="str">
        <v>8.39K</v>
      </c>
      <c r="G1737" s="4" t="str">
        <v>-0.06%</v>
      </c>
      <c r="H1737" s="3">
        <v>42906</v>
      </c>
      <c r="I1737" s="4">
        <v>28543</v>
      </c>
    </row>
    <row r="1738" spans="1:9" x14ac:dyDescent="0.25">
      <c r="A1738" s="3">
        <v>42905</v>
      </c>
      <c r="B1738" s="4">
        <v>28542</v>
      </c>
      <c r="C1738" s="4">
        <v>28650</v>
      </c>
      <c r="D1738" s="4">
        <v>28650</v>
      </c>
      <c r="E1738" s="4">
        <v>28526</v>
      </c>
      <c r="F1738" s="4" t="str">
        <v>7.62K</v>
      </c>
      <c r="G1738" s="4" t="str">
        <v>-0.52%</v>
      </c>
      <c r="H1738" s="3">
        <v>42905</v>
      </c>
      <c r="I1738" s="4">
        <v>28588</v>
      </c>
    </row>
    <row r="1739" spans="1:9" x14ac:dyDescent="0.25">
      <c r="A1739" s="3">
        <v>42902</v>
      </c>
      <c r="B1739" s="4">
        <v>28690</v>
      </c>
      <c r="C1739" s="4">
        <v>28770</v>
      </c>
      <c r="D1739" s="4">
        <v>28799</v>
      </c>
      <c r="E1739" s="4">
        <v>28675</v>
      </c>
      <c r="F1739" s="4" t="str">
        <v>6.66K</v>
      </c>
      <c r="G1739" s="4" t="str">
        <v>-0.27%</v>
      </c>
      <c r="H1739" s="3">
        <v>42902</v>
      </c>
      <c r="I1739" s="4">
        <v>28737</v>
      </c>
    </row>
    <row r="1740" spans="1:9" x14ac:dyDescent="0.25">
      <c r="A1740" s="3">
        <v>42901</v>
      </c>
      <c r="B1740" s="4">
        <v>28768</v>
      </c>
      <c r="C1740" s="4">
        <v>28950</v>
      </c>
      <c r="D1740" s="4">
        <v>28950</v>
      </c>
      <c r="E1740" s="4">
        <v>28705</v>
      </c>
      <c r="F1740" s="4" t="str">
        <v>10.43K</v>
      </c>
      <c r="G1740" s="4" t="str">
        <v>-0.90%</v>
      </c>
      <c r="H1740" s="3">
        <v>42901</v>
      </c>
      <c r="I1740" s="4">
        <v>28827.5</v>
      </c>
    </row>
    <row r="1741" spans="1:9" x14ac:dyDescent="0.25">
      <c r="A1741" s="3">
        <v>42900</v>
      </c>
      <c r="B1741" s="4">
        <v>29030</v>
      </c>
      <c r="C1741" s="4">
        <v>29050</v>
      </c>
      <c r="D1741" s="4">
        <v>29087</v>
      </c>
      <c r="E1741" s="4">
        <v>28880</v>
      </c>
      <c r="F1741" s="4" t="str">
        <v>9.73K</v>
      </c>
      <c r="G1741" s="4" t="str">
        <v>0.30%</v>
      </c>
      <c r="H1741" s="3">
        <v>42900</v>
      </c>
      <c r="I1741" s="4">
        <v>28983.5</v>
      </c>
    </row>
    <row r="1742" spans="1:9" x14ac:dyDescent="0.25">
      <c r="A1742" s="3">
        <v>42899</v>
      </c>
      <c r="B1742" s="4">
        <v>28944</v>
      </c>
      <c r="C1742" s="4">
        <v>28987</v>
      </c>
      <c r="D1742" s="4">
        <v>28991</v>
      </c>
      <c r="E1742" s="4">
        <v>28810</v>
      </c>
      <c r="F1742" s="4" t="str">
        <v>8.36K</v>
      </c>
      <c r="G1742" s="4" t="str">
        <v>-0.17%</v>
      </c>
      <c r="H1742" s="3">
        <v>42899</v>
      </c>
      <c r="I1742" s="4">
        <v>28900.5</v>
      </c>
    </row>
    <row r="1743" spans="1:9" x14ac:dyDescent="0.25">
      <c r="A1743" s="3">
        <v>42898</v>
      </c>
      <c r="B1743" s="4">
        <v>28993</v>
      </c>
      <c r="C1743" s="4">
        <v>28951</v>
      </c>
      <c r="D1743" s="4">
        <v>29049</v>
      </c>
      <c r="E1743" s="4">
        <v>28930</v>
      </c>
      <c r="F1743" s="4" t="str">
        <v>8.85K</v>
      </c>
      <c r="G1743" s="4" t="str">
        <v>-0.09%</v>
      </c>
      <c r="H1743" s="3">
        <v>42898</v>
      </c>
      <c r="I1743" s="4">
        <v>28989.5</v>
      </c>
    </row>
    <row r="1744" spans="1:9" x14ac:dyDescent="0.25">
      <c r="A1744" s="3">
        <v>42895</v>
      </c>
      <c r="B1744" s="4">
        <v>29019</v>
      </c>
      <c r="C1744" s="4">
        <v>29101</v>
      </c>
      <c r="D1744" s="4">
        <v>29101</v>
      </c>
      <c r="E1744" s="4">
        <v>28905</v>
      </c>
      <c r="F1744" s="4" t="str">
        <v>9.19K</v>
      </c>
      <c r="G1744" s="4" t="str">
        <v>-0.38%</v>
      </c>
      <c r="H1744" s="3">
        <v>42895</v>
      </c>
      <c r="I1744" s="4">
        <v>29003</v>
      </c>
    </row>
    <row r="1745" spans="1:9" x14ac:dyDescent="0.25">
      <c r="A1745" s="3">
        <v>42894</v>
      </c>
      <c r="B1745" s="4">
        <v>29131</v>
      </c>
      <c r="C1745" s="4">
        <v>29350</v>
      </c>
      <c r="D1745" s="4">
        <v>29405</v>
      </c>
      <c r="E1745" s="4">
        <v>29020</v>
      </c>
      <c r="F1745" s="4" t="str">
        <v>11.50K</v>
      </c>
      <c r="G1745" s="4" t="str">
        <v>-1.05%</v>
      </c>
      <c r="H1745" s="3">
        <v>42894</v>
      </c>
      <c r="I1745" s="4">
        <v>29212.5</v>
      </c>
    </row>
    <row r="1746" spans="1:9" x14ac:dyDescent="0.25">
      <c r="A1746" s="3">
        <v>42893</v>
      </c>
      <c r="B1746" s="4">
        <v>29440</v>
      </c>
      <c r="C1746" s="4">
        <v>29524</v>
      </c>
      <c r="D1746" s="4">
        <v>29544</v>
      </c>
      <c r="E1746" s="4">
        <v>29388</v>
      </c>
      <c r="F1746" s="4" t="str">
        <v>9.48K</v>
      </c>
      <c r="G1746" s="4" t="str">
        <v>-0.43%</v>
      </c>
      <c r="H1746" s="3">
        <v>42893</v>
      </c>
      <c r="I1746" s="4">
        <v>29466</v>
      </c>
    </row>
    <row r="1747" spans="1:9" x14ac:dyDescent="0.25">
      <c r="A1747" s="3">
        <v>42892</v>
      </c>
      <c r="B1747" s="4">
        <v>29567</v>
      </c>
      <c r="C1747" s="4">
        <v>29280</v>
      </c>
      <c r="D1747" s="4">
        <v>29585</v>
      </c>
      <c r="E1747" s="4">
        <v>29280</v>
      </c>
      <c r="F1747" s="4" t="str">
        <v>10.75K</v>
      </c>
      <c r="G1747" s="4" t="str">
        <v>1.87%</v>
      </c>
      <c r="H1747" s="3">
        <v>42892</v>
      </c>
      <c r="I1747" s="4">
        <v>29432.5</v>
      </c>
    </row>
    <row r="1748" spans="1:9" x14ac:dyDescent="0.25">
      <c r="A1748" s="3">
        <v>42891</v>
      </c>
      <c r="B1748" s="4">
        <v>29024</v>
      </c>
      <c r="C1748" s="4">
        <v>29074</v>
      </c>
      <c r="D1748" s="4">
        <v>29080</v>
      </c>
      <c r="E1748" s="4">
        <v>28953</v>
      </c>
      <c r="F1748" s="4" t="str">
        <v>0.04K</v>
      </c>
      <c r="G1748" s="4" t="str">
        <v>0.53%</v>
      </c>
      <c r="H1748" s="3">
        <v>42891</v>
      </c>
      <c r="I1748" s="4">
        <v>29016.5</v>
      </c>
    </row>
    <row r="1749" spans="1:9" x14ac:dyDescent="0.25">
      <c r="A1749" s="3">
        <v>42888</v>
      </c>
      <c r="B1749" s="4">
        <v>28871</v>
      </c>
      <c r="C1749" s="4">
        <v>28629</v>
      </c>
      <c r="D1749" s="4">
        <v>28905</v>
      </c>
      <c r="E1749" s="4">
        <v>28600</v>
      </c>
      <c r="F1749" s="4" t="str">
        <v>0.11K</v>
      </c>
      <c r="G1749" s="4" t="str">
        <v>0.76%</v>
      </c>
      <c r="H1749" s="3">
        <v>42888</v>
      </c>
      <c r="I1749" s="4">
        <v>28752.5</v>
      </c>
    </row>
    <row r="1750" spans="1:9" x14ac:dyDescent="0.25">
      <c r="A1750" s="3">
        <v>42887</v>
      </c>
      <c r="B1750" s="4">
        <v>28652</v>
      </c>
      <c r="C1750" s="4">
        <v>28770</v>
      </c>
      <c r="D1750" s="4">
        <v>28777</v>
      </c>
      <c r="E1750" s="4">
        <v>28550</v>
      </c>
      <c r="F1750" s="4" t="str">
        <v>0.81K</v>
      </c>
      <c r="G1750" s="4" t="str">
        <v>-0.66%</v>
      </c>
      <c r="H1750" s="3">
        <v>42887</v>
      </c>
      <c r="I1750" s="4">
        <v>28663.5</v>
      </c>
    </row>
    <row r="1751" spans="1:9" x14ac:dyDescent="0.25">
      <c r="A1751" s="3">
        <v>42886</v>
      </c>
      <c r="B1751" s="4">
        <v>28843</v>
      </c>
      <c r="C1751" s="4">
        <v>28705</v>
      </c>
      <c r="D1751" s="4">
        <v>28880</v>
      </c>
      <c r="E1751" s="4">
        <v>28643</v>
      </c>
      <c r="F1751" s="4" t="str">
        <v>5.62K</v>
      </c>
      <c r="G1751" s="4" t="str">
        <v>0.35%</v>
      </c>
      <c r="H1751" s="3">
        <v>42886</v>
      </c>
      <c r="I1751" s="4">
        <v>28761.5</v>
      </c>
    </row>
    <row r="1752" spans="1:9" x14ac:dyDescent="0.25">
      <c r="A1752" s="3">
        <v>42885</v>
      </c>
      <c r="B1752" s="4">
        <v>28741</v>
      </c>
      <c r="C1752" s="4">
        <v>28949</v>
      </c>
      <c r="D1752" s="4">
        <v>28986</v>
      </c>
      <c r="E1752" s="4">
        <v>28712</v>
      </c>
      <c r="F1752" s="4" t="str">
        <v>8.65K</v>
      </c>
      <c r="G1752" s="4" t="str">
        <v>-0.55%</v>
      </c>
      <c r="H1752" s="3">
        <v>42885</v>
      </c>
      <c r="I1752" s="4">
        <v>28849</v>
      </c>
    </row>
    <row r="1753" spans="1:9" x14ac:dyDescent="0.25">
      <c r="A1753" s="3">
        <v>42884</v>
      </c>
      <c r="B1753" s="4">
        <v>28900</v>
      </c>
      <c r="C1753" s="4">
        <v>28870</v>
      </c>
      <c r="D1753" s="4">
        <v>28941</v>
      </c>
      <c r="E1753" s="4">
        <v>28832</v>
      </c>
      <c r="F1753" s="4" t="str">
        <v>4.76K</v>
      </c>
      <c r="G1753" s="4" t="str">
        <v>0.04%</v>
      </c>
      <c r="H1753" s="3">
        <v>42884</v>
      </c>
      <c r="I1753" s="4">
        <v>28886.5</v>
      </c>
    </row>
    <row r="1754" spans="1:9" x14ac:dyDescent="0.25">
      <c r="A1754" s="3">
        <v>42881</v>
      </c>
      <c r="B1754" s="4">
        <v>28888</v>
      </c>
      <c r="C1754" s="4">
        <v>28715</v>
      </c>
      <c r="D1754" s="4">
        <v>28904</v>
      </c>
      <c r="E1754" s="4">
        <v>28705</v>
      </c>
      <c r="F1754" s="4" t="str">
        <v>8.63K</v>
      </c>
      <c r="G1754" s="4" t="str">
        <v>0.79%</v>
      </c>
      <c r="H1754" s="3">
        <v>42881</v>
      </c>
      <c r="I1754" s="4">
        <v>28804.5</v>
      </c>
    </row>
    <row r="1755" spans="1:9" x14ac:dyDescent="0.25">
      <c r="A1755" s="3">
        <v>42880</v>
      </c>
      <c r="B1755" s="4">
        <v>28661</v>
      </c>
      <c r="C1755" s="4">
        <v>28750</v>
      </c>
      <c r="D1755" s="4">
        <v>28765</v>
      </c>
      <c r="E1755" s="4">
        <v>28630</v>
      </c>
      <c r="F1755" s="4" t="str">
        <v>7.82K</v>
      </c>
      <c r="G1755" s="4" t="str">
        <v>-0.18%</v>
      </c>
      <c r="H1755" s="3">
        <v>42880</v>
      </c>
      <c r="I1755" s="4">
        <v>28697.5</v>
      </c>
    </row>
    <row r="1756" spans="1:9" x14ac:dyDescent="0.25">
      <c r="A1756" s="3">
        <v>42879</v>
      </c>
      <c r="B1756" s="4">
        <v>28713</v>
      </c>
      <c r="C1756" s="4">
        <v>28750</v>
      </c>
      <c r="D1756" s="4">
        <v>28760</v>
      </c>
      <c r="E1756" s="4">
        <v>28645</v>
      </c>
      <c r="F1756" s="4" t="str">
        <v>8.03K</v>
      </c>
      <c r="G1756" s="4" t="str">
        <v>-0.34%</v>
      </c>
      <c r="H1756" s="3">
        <v>42879</v>
      </c>
      <c r="I1756" s="4">
        <v>28702.5</v>
      </c>
    </row>
    <row r="1757" spans="1:9" x14ac:dyDescent="0.25">
      <c r="A1757" s="3">
        <v>42878</v>
      </c>
      <c r="B1757" s="4">
        <v>28811</v>
      </c>
      <c r="C1757" s="4">
        <v>28850</v>
      </c>
      <c r="D1757" s="4">
        <v>28935</v>
      </c>
      <c r="E1757" s="4">
        <v>28755</v>
      </c>
      <c r="F1757" s="4" t="str">
        <v>10.16K</v>
      </c>
      <c r="G1757" s="4" t="str">
        <v>0.09%</v>
      </c>
      <c r="H1757" s="3">
        <v>42878</v>
      </c>
      <c r="I1757" s="4">
        <v>28845</v>
      </c>
    </row>
    <row r="1758" spans="1:9" x14ac:dyDescent="0.25">
      <c r="A1758" s="3">
        <v>42877</v>
      </c>
      <c r="B1758" s="4">
        <v>28785</v>
      </c>
      <c r="C1758" s="4">
        <v>28593</v>
      </c>
      <c r="D1758" s="4">
        <v>28800</v>
      </c>
      <c r="E1758" s="4">
        <v>28564</v>
      </c>
      <c r="F1758" s="4" t="str">
        <v>8.15K</v>
      </c>
      <c r="G1758" s="4" t="str">
        <v>0.52%</v>
      </c>
      <c r="H1758" s="3">
        <v>42877</v>
      </c>
      <c r="I1758" s="4">
        <v>28682</v>
      </c>
    </row>
    <row r="1759" spans="1:9" x14ac:dyDescent="0.25">
      <c r="A1759" s="3">
        <v>42874</v>
      </c>
      <c r="B1759" s="4">
        <v>28635</v>
      </c>
      <c r="C1759" s="4">
        <v>28647</v>
      </c>
      <c r="D1759" s="4">
        <v>28785</v>
      </c>
      <c r="E1759" s="4">
        <v>28530</v>
      </c>
      <c r="F1759" s="4" t="str">
        <v>9.63K</v>
      </c>
      <c r="G1759" s="4" t="str">
        <v>-0.24%</v>
      </c>
      <c r="H1759" s="3">
        <v>42874</v>
      </c>
      <c r="I1759" s="4">
        <v>28657.5</v>
      </c>
    </row>
    <row r="1760" spans="1:9" x14ac:dyDescent="0.25">
      <c r="A1760" s="3">
        <v>42873</v>
      </c>
      <c r="B1760" s="4">
        <v>28705</v>
      </c>
      <c r="C1760" s="4">
        <v>28650</v>
      </c>
      <c r="D1760" s="4">
        <v>29004</v>
      </c>
      <c r="E1760" s="4">
        <v>28567</v>
      </c>
      <c r="F1760" s="4" t="str">
        <v>17.26K</v>
      </c>
      <c r="G1760" s="4" t="str">
        <v>0.30%</v>
      </c>
      <c r="H1760" s="3">
        <v>42873</v>
      </c>
      <c r="I1760" s="4">
        <v>28785.5</v>
      </c>
    </row>
    <row r="1761" spans="1:9" x14ac:dyDescent="0.25">
      <c r="A1761" s="3">
        <v>42872</v>
      </c>
      <c r="B1761" s="4">
        <v>28619</v>
      </c>
      <c r="C1761" s="4">
        <v>28150</v>
      </c>
      <c r="D1761" s="4">
        <v>28645</v>
      </c>
      <c r="E1761" s="4">
        <v>28150</v>
      </c>
      <c r="F1761" s="4" t="str">
        <v>12.48K</v>
      </c>
      <c r="G1761" s="4" t="str">
        <v>1.87%</v>
      </c>
      <c r="H1761" s="3">
        <v>42872</v>
      </c>
      <c r="I1761" s="4">
        <v>28397.5</v>
      </c>
    </row>
    <row r="1762" spans="1:9" x14ac:dyDescent="0.25">
      <c r="A1762" s="3">
        <v>42871</v>
      </c>
      <c r="B1762" s="4">
        <v>28094</v>
      </c>
      <c r="C1762" s="4">
        <v>28020</v>
      </c>
      <c r="D1762" s="4">
        <v>28135</v>
      </c>
      <c r="E1762" s="4">
        <v>28020</v>
      </c>
      <c r="F1762" s="4" t="str">
        <v>7.84K</v>
      </c>
      <c r="G1762" s="4" t="str">
        <v>0.36%</v>
      </c>
      <c r="H1762" s="3">
        <v>42871</v>
      </c>
      <c r="I1762" s="4">
        <v>28077.5</v>
      </c>
    </row>
    <row r="1763" spans="1:9" x14ac:dyDescent="0.25">
      <c r="A1763" s="3">
        <v>42870</v>
      </c>
      <c r="B1763" s="4">
        <v>27992</v>
      </c>
      <c r="C1763" s="4">
        <v>28024</v>
      </c>
      <c r="D1763" s="4">
        <v>28142</v>
      </c>
      <c r="E1763" s="4">
        <v>27982</v>
      </c>
      <c r="F1763" s="4" t="str">
        <v>9.57K</v>
      </c>
      <c r="G1763" s="4" t="str">
        <v>-0.05%</v>
      </c>
      <c r="H1763" s="3">
        <v>42870</v>
      </c>
      <c r="I1763" s="4">
        <v>28062</v>
      </c>
    </row>
    <row r="1764" spans="1:9" x14ac:dyDescent="0.25">
      <c r="A1764" s="3">
        <v>42867</v>
      </c>
      <c r="B1764" s="4">
        <v>28005</v>
      </c>
      <c r="C1764" s="4">
        <v>28008</v>
      </c>
      <c r="D1764" s="4">
        <v>28129</v>
      </c>
      <c r="E1764" s="4">
        <v>27972</v>
      </c>
      <c r="F1764" s="4" t="str">
        <v>7.93K</v>
      </c>
      <c r="G1764" s="4" t="str">
        <v>0.00%</v>
      </c>
      <c r="H1764" s="3">
        <v>42867</v>
      </c>
      <c r="I1764" s="4">
        <v>28050.5</v>
      </c>
    </row>
    <row r="1765" spans="1:9" x14ac:dyDescent="0.25">
      <c r="A1765" s="3">
        <v>42866</v>
      </c>
      <c r="B1765" s="4">
        <v>28004</v>
      </c>
      <c r="C1765" s="4">
        <v>27984</v>
      </c>
      <c r="D1765" s="4">
        <v>28093</v>
      </c>
      <c r="E1765" s="4">
        <v>27932</v>
      </c>
      <c r="F1765" s="4" t="str">
        <v>8.90K</v>
      </c>
      <c r="G1765" s="4" t="str">
        <v>0.03%</v>
      </c>
      <c r="H1765" s="3">
        <v>42866</v>
      </c>
      <c r="I1765" s="4">
        <v>28012.5</v>
      </c>
    </row>
    <row r="1766" spans="1:9" x14ac:dyDescent="0.25">
      <c r="A1766" s="3">
        <v>42865</v>
      </c>
      <c r="B1766" s="4">
        <v>27996</v>
      </c>
      <c r="C1766" s="4">
        <v>28086</v>
      </c>
      <c r="D1766" s="4">
        <v>28145</v>
      </c>
      <c r="E1766" s="4">
        <v>27970</v>
      </c>
      <c r="F1766" s="4" t="str">
        <v>7.40K</v>
      </c>
      <c r="G1766" s="4" t="str">
        <v>0.09%</v>
      </c>
      <c r="H1766" s="3">
        <v>42865</v>
      </c>
      <c r="I1766" s="4">
        <v>28057.5</v>
      </c>
    </row>
    <row r="1767" spans="1:9" x14ac:dyDescent="0.25">
      <c r="A1767" s="3">
        <v>42864</v>
      </c>
      <c r="B1767" s="4">
        <v>27971</v>
      </c>
      <c r="C1767" s="4">
        <v>28141</v>
      </c>
      <c r="D1767" s="4">
        <v>28174</v>
      </c>
      <c r="E1767" s="4">
        <v>27951</v>
      </c>
      <c r="F1767" s="4" t="str">
        <v>10.88K</v>
      </c>
      <c r="G1767" s="4" t="str">
        <v>-0.43%</v>
      </c>
      <c r="H1767" s="3">
        <v>42864</v>
      </c>
      <c r="I1767" s="4">
        <v>28062.5</v>
      </c>
    </row>
    <row r="1768" spans="1:9" x14ac:dyDescent="0.25">
      <c r="A1768" s="3">
        <v>42863</v>
      </c>
      <c r="B1768" s="4">
        <v>28091</v>
      </c>
      <c r="C1768" s="4">
        <v>28118</v>
      </c>
      <c r="D1768" s="4">
        <v>28237</v>
      </c>
      <c r="E1768" s="4">
        <v>28071</v>
      </c>
      <c r="F1768" s="4" t="str">
        <v>7.87K</v>
      </c>
      <c r="G1768" s="4" t="str">
        <v>0.07%</v>
      </c>
      <c r="H1768" s="3">
        <v>42863</v>
      </c>
      <c r="I1768" s="4">
        <v>28154</v>
      </c>
    </row>
    <row r="1769" spans="1:9" x14ac:dyDescent="0.25">
      <c r="A1769" s="3">
        <v>42860</v>
      </c>
      <c r="B1769" s="4">
        <v>28072</v>
      </c>
      <c r="C1769" s="4">
        <v>28140</v>
      </c>
      <c r="D1769" s="4">
        <v>28250</v>
      </c>
      <c r="E1769" s="4">
        <v>28055</v>
      </c>
      <c r="F1769" s="4" t="str">
        <v>9.84K</v>
      </c>
      <c r="G1769" s="4" t="str">
        <v>0.00%</v>
      </c>
      <c r="H1769" s="3">
        <v>42860</v>
      </c>
      <c r="I1769" s="4">
        <v>28152.5</v>
      </c>
    </row>
    <row r="1770" spans="1:9" x14ac:dyDescent="0.25">
      <c r="A1770" s="3">
        <v>42859</v>
      </c>
      <c r="B1770" s="4">
        <v>28072</v>
      </c>
      <c r="C1770" s="4">
        <v>28371</v>
      </c>
      <c r="D1770" s="4">
        <v>28371</v>
      </c>
      <c r="E1770" s="4">
        <v>28020</v>
      </c>
      <c r="F1770" s="4" t="str">
        <v>11.10K</v>
      </c>
      <c r="G1770" s="4" t="str">
        <v>-1.40%</v>
      </c>
      <c r="H1770" s="3">
        <v>42859</v>
      </c>
      <c r="I1770" s="4">
        <v>28195.5</v>
      </c>
    </row>
    <row r="1771" spans="1:9" x14ac:dyDescent="0.25">
      <c r="A1771" s="3">
        <v>42858</v>
      </c>
      <c r="B1771" s="4">
        <v>28472</v>
      </c>
      <c r="C1771" s="4">
        <v>28572</v>
      </c>
      <c r="D1771" s="4">
        <v>28597</v>
      </c>
      <c r="E1771" s="4">
        <v>28405</v>
      </c>
      <c r="F1771" s="4" t="str">
        <v>8.52K</v>
      </c>
      <c r="G1771" s="4" t="str">
        <v>-0.38%</v>
      </c>
      <c r="H1771" s="3">
        <v>42858</v>
      </c>
      <c r="I1771" s="4">
        <v>28501</v>
      </c>
    </row>
    <row r="1772" spans="1:9" x14ac:dyDescent="0.25">
      <c r="A1772" s="3">
        <v>42857</v>
      </c>
      <c r="B1772" s="4">
        <v>28582</v>
      </c>
      <c r="C1772" s="4">
        <v>28620</v>
      </c>
      <c r="D1772" s="4">
        <v>28646</v>
      </c>
      <c r="E1772" s="4">
        <v>28554</v>
      </c>
      <c r="F1772" s="4" t="str">
        <v>7.28K</v>
      </c>
      <c r="G1772" s="4" t="str">
        <v>-0.25%</v>
      </c>
      <c r="H1772" s="3">
        <v>42857</v>
      </c>
      <c r="I1772" s="4">
        <v>28600</v>
      </c>
    </row>
    <row r="1773" spans="1:9" x14ac:dyDescent="0.25">
      <c r="A1773" s="3">
        <v>42856</v>
      </c>
      <c r="B1773" s="4">
        <v>28653</v>
      </c>
      <c r="C1773" s="4">
        <v>28777</v>
      </c>
      <c r="D1773" s="4">
        <v>28894</v>
      </c>
      <c r="E1773" s="4">
        <v>28636</v>
      </c>
      <c r="F1773" s="4" t="str">
        <v>5.32K</v>
      </c>
      <c r="G1773" s="4" t="str">
        <v>-0.76%</v>
      </c>
      <c r="H1773" s="3">
        <v>42856</v>
      </c>
      <c r="I1773" s="4">
        <v>28765</v>
      </c>
    </row>
    <row r="1774" spans="1:9" x14ac:dyDescent="0.25">
      <c r="A1774" s="3">
        <v>42853</v>
      </c>
      <c r="B1774" s="4">
        <v>28873</v>
      </c>
      <c r="C1774" s="4">
        <v>28813</v>
      </c>
      <c r="D1774" s="4">
        <v>28897</v>
      </c>
      <c r="E1774" s="4">
        <v>28790</v>
      </c>
      <c r="F1774" s="4" t="str">
        <v>6.49K</v>
      </c>
      <c r="G1774" s="4" t="str">
        <v>0.36%</v>
      </c>
      <c r="H1774" s="3">
        <v>42853</v>
      </c>
      <c r="I1774" s="4">
        <v>28843.5</v>
      </c>
    </row>
    <row r="1775" spans="1:9" x14ac:dyDescent="0.25">
      <c r="A1775" s="3">
        <v>42852</v>
      </c>
      <c r="B1775" s="4">
        <v>28769</v>
      </c>
      <c r="C1775" s="4">
        <v>28789</v>
      </c>
      <c r="D1775" s="4">
        <v>28817</v>
      </c>
      <c r="E1775" s="4">
        <v>28703</v>
      </c>
      <c r="F1775" s="4" t="str">
        <v>7.70K</v>
      </c>
      <c r="G1775" s="4" t="str">
        <v>0.17%</v>
      </c>
      <c r="H1775" s="3">
        <v>42852</v>
      </c>
      <c r="I1775" s="4">
        <v>28760</v>
      </c>
    </row>
    <row r="1776" spans="1:9" x14ac:dyDescent="0.25">
      <c r="A1776" s="3">
        <v>42851</v>
      </c>
      <c r="B1776" s="4">
        <v>28719</v>
      </c>
      <c r="C1776" s="4">
        <v>28753</v>
      </c>
      <c r="D1776" s="4">
        <v>28821</v>
      </c>
      <c r="E1776" s="4">
        <v>28660</v>
      </c>
      <c r="F1776" s="4" t="str">
        <v>9.21K</v>
      </c>
      <c r="G1776" s="4" t="str">
        <v>-0.33%</v>
      </c>
      <c r="H1776" s="3">
        <v>42851</v>
      </c>
      <c r="I1776" s="4">
        <v>28740.5</v>
      </c>
    </row>
    <row r="1777" spans="1:9" x14ac:dyDescent="0.25">
      <c r="A1777" s="3">
        <v>42850</v>
      </c>
      <c r="B1777" s="4">
        <v>28814</v>
      </c>
      <c r="C1777" s="4">
        <v>29070</v>
      </c>
      <c r="D1777" s="4">
        <v>29070</v>
      </c>
      <c r="E1777" s="4">
        <v>28765</v>
      </c>
      <c r="F1777" s="4" t="str">
        <v>10.43K</v>
      </c>
      <c r="G1777" s="4" t="str">
        <v>-1.09%</v>
      </c>
      <c r="H1777" s="3">
        <v>42850</v>
      </c>
      <c r="I1777" s="4">
        <v>28917.5</v>
      </c>
    </row>
    <row r="1778" spans="1:9" x14ac:dyDescent="0.25">
      <c r="A1778" s="3">
        <v>42849</v>
      </c>
      <c r="B1778" s="4">
        <v>29131</v>
      </c>
      <c r="C1778" s="4">
        <v>29250</v>
      </c>
      <c r="D1778" s="4">
        <v>29250</v>
      </c>
      <c r="E1778" s="4">
        <v>28960</v>
      </c>
      <c r="F1778" s="4" t="str">
        <v>11.02K</v>
      </c>
      <c r="G1778" s="4" t="str">
        <v>-0.98%</v>
      </c>
      <c r="H1778" s="3">
        <v>42849</v>
      </c>
      <c r="I1778" s="4">
        <v>29105</v>
      </c>
    </row>
    <row r="1779" spans="1:9" x14ac:dyDescent="0.25">
      <c r="A1779" s="3">
        <v>42846</v>
      </c>
      <c r="B1779" s="4">
        <v>29418</v>
      </c>
      <c r="C1779" s="4">
        <v>29273</v>
      </c>
      <c r="D1779" s="4">
        <v>29447</v>
      </c>
      <c r="E1779" s="4">
        <v>29223</v>
      </c>
      <c r="F1779" s="4" t="str">
        <v>8.15K</v>
      </c>
      <c r="G1779" s="4" t="str">
        <v>0.42%</v>
      </c>
      <c r="H1779" s="3">
        <v>42846</v>
      </c>
      <c r="I1779" s="4">
        <v>29335</v>
      </c>
    </row>
    <row r="1780" spans="1:9" x14ac:dyDescent="0.25">
      <c r="A1780" s="3">
        <v>42845</v>
      </c>
      <c r="B1780" s="4">
        <v>29295</v>
      </c>
      <c r="C1780" s="4">
        <v>29254</v>
      </c>
      <c r="D1780" s="4">
        <v>29342</v>
      </c>
      <c r="E1780" s="4">
        <v>29203</v>
      </c>
      <c r="F1780" s="4" t="str">
        <v>8.58K</v>
      </c>
      <c r="G1780" s="4" t="str">
        <v>-0.03%</v>
      </c>
      <c r="H1780" s="3">
        <v>42845</v>
      </c>
      <c r="I1780" s="4">
        <v>29272.5</v>
      </c>
    </row>
    <row r="1781" spans="1:9" x14ac:dyDescent="0.25">
      <c r="A1781" s="3">
        <v>42844</v>
      </c>
      <c r="B1781" s="4">
        <v>29305</v>
      </c>
      <c r="C1781" s="4">
        <v>29414</v>
      </c>
      <c r="D1781" s="4">
        <v>29414</v>
      </c>
      <c r="E1781" s="4">
        <v>29201</v>
      </c>
      <c r="F1781" s="4" t="str">
        <v>9.08K</v>
      </c>
      <c r="G1781" s="4" t="str">
        <v>-0.71%</v>
      </c>
      <c r="H1781" s="3">
        <v>42844</v>
      </c>
      <c r="I1781" s="4">
        <v>29307.5</v>
      </c>
    </row>
    <row r="1782" spans="1:9" x14ac:dyDescent="0.25">
      <c r="A1782" s="3">
        <v>42843</v>
      </c>
      <c r="B1782" s="4">
        <v>29514</v>
      </c>
      <c r="C1782" s="4">
        <v>29401</v>
      </c>
      <c r="D1782" s="4">
        <v>29539</v>
      </c>
      <c r="E1782" s="4">
        <v>29252</v>
      </c>
      <c r="F1782" s="4" t="str">
        <v>11.90K</v>
      </c>
      <c r="G1782" s="4" t="str">
        <v>0.29%</v>
      </c>
      <c r="H1782" s="3">
        <v>42843</v>
      </c>
      <c r="I1782" s="4">
        <v>29395.5</v>
      </c>
    </row>
    <row r="1783" spans="1:9" x14ac:dyDescent="0.25">
      <c r="A1783" s="3">
        <v>42842</v>
      </c>
      <c r="B1783" s="4">
        <v>29430</v>
      </c>
      <c r="C1783" s="4">
        <v>29450</v>
      </c>
      <c r="D1783" s="4">
        <v>29483</v>
      </c>
      <c r="E1783" s="4">
        <v>29370</v>
      </c>
      <c r="F1783" s="4" t="str">
        <v>9.12K</v>
      </c>
      <c r="G1783" s="4" t="str">
        <v>0.07%</v>
      </c>
      <c r="H1783" s="3">
        <v>42842</v>
      </c>
      <c r="I1783" s="4">
        <v>29426.5</v>
      </c>
    </row>
    <row r="1784" spans="1:9" x14ac:dyDescent="0.25">
      <c r="A1784" s="3">
        <v>42838</v>
      </c>
      <c r="B1784" s="4">
        <v>29409</v>
      </c>
      <c r="C1784" s="4">
        <v>29300</v>
      </c>
      <c r="D1784" s="4">
        <v>29433</v>
      </c>
      <c r="E1784" s="4">
        <v>29281</v>
      </c>
      <c r="F1784" s="4" t="str">
        <v>9.28K</v>
      </c>
      <c r="G1784" s="4" t="str">
        <v>0.62%</v>
      </c>
      <c r="H1784" s="3">
        <v>42838</v>
      </c>
      <c r="I1784" s="4">
        <v>29357</v>
      </c>
    </row>
    <row r="1785" spans="1:9" x14ac:dyDescent="0.25">
      <c r="A1785" s="3">
        <v>42837</v>
      </c>
      <c r="B1785" s="4">
        <v>29229</v>
      </c>
      <c r="C1785" s="4">
        <v>29216</v>
      </c>
      <c r="D1785" s="4">
        <v>29297</v>
      </c>
      <c r="E1785" s="4">
        <v>29167</v>
      </c>
      <c r="F1785" s="4" t="str">
        <v>9.08K</v>
      </c>
      <c r="G1785" s="4" t="str">
        <v>0.12%</v>
      </c>
      <c r="H1785" s="3">
        <v>42837</v>
      </c>
      <c r="I1785" s="4">
        <v>29232</v>
      </c>
    </row>
    <row r="1786" spans="1:9" x14ac:dyDescent="0.25">
      <c r="A1786" s="3">
        <v>42836</v>
      </c>
      <c r="B1786" s="4">
        <v>29193</v>
      </c>
      <c r="C1786" s="4">
        <v>28840</v>
      </c>
      <c r="D1786" s="4">
        <v>29229</v>
      </c>
      <c r="E1786" s="4">
        <v>28765</v>
      </c>
      <c r="F1786" s="4" t="str">
        <v>12.36K</v>
      </c>
      <c r="G1786" s="4" t="str">
        <v>1.58%</v>
      </c>
      <c r="H1786" s="3">
        <v>42836</v>
      </c>
      <c r="I1786" s="4">
        <v>28997</v>
      </c>
    </row>
    <row r="1787" spans="1:9" x14ac:dyDescent="0.25">
      <c r="A1787" s="3">
        <v>42835</v>
      </c>
      <c r="B1787" s="4">
        <v>28739</v>
      </c>
      <c r="C1787" s="4">
        <v>28682</v>
      </c>
      <c r="D1787" s="4">
        <v>28800</v>
      </c>
      <c r="E1787" s="4">
        <v>28621</v>
      </c>
      <c r="F1787" s="4" t="str">
        <v>8.04K</v>
      </c>
      <c r="G1787" s="4" t="str">
        <v>0.19%</v>
      </c>
      <c r="H1787" s="3">
        <v>42835</v>
      </c>
      <c r="I1787" s="4">
        <v>28710.5</v>
      </c>
    </row>
    <row r="1788" spans="1:9" x14ac:dyDescent="0.25">
      <c r="A1788" s="3">
        <v>42832</v>
      </c>
      <c r="B1788" s="4">
        <v>28684</v>
      </c>
      <c r="C1788" s="4">
        <v>28884</v>
      </c>
      <c r="D1788" s="4">
        <v>29000</v>
      </c>
      <c r="E1788" s="4">
        <v>28661</v>
      </c>
      <c r="F1788" s="4" t="str">
        <v>12.23K</v>
      </c>
      <c r="G1788" s="4" t="str">
        <v>-0.13%</v>
      </c>
      <c r="H1788" s="3">
        <v>42832</v>
      </c>
      <c r="I1788" s="4">
        <v>28830.5</v>
      </c>
    </row>
    <row r="1789" spans="1:9" x14ac:dyDescent="0.25">
      <c r="A1789" s="3">
        <v>42831</v>
      </c>
      <c r="B1789" s="4">
        <v>28721</v>
      </c>
      <c r="C1789" s="4">
        <v>28935</v>
      </c>
      <c r="D1789" s="4">
        <v>28950</v>
      </c>
      <c r="E1789" s="4">
        <v>28701</v>
      </c>
      <c r="F1789" s="4" t="str">
        <v>8.22K</v>
      </c>
      <c r="G1789" s="4" t="str">
        <v>0.15%</v>
      </c>
      <c r="H1789" s="3">
        <v>42831</v>
      </c>
      <c r="I1789" s="4">
        <v>28825.5</v>
      </c>
    </row>
    <row r="1790" spans="1:9" x14ac:dyDescent="0.25">
      <c r="A1790" s="3">
        <v>42830</v>
      </c>
      <c r="B1790" s="4">
        <v>28677</v>
      </c>
      <c r="C1790" s="4">
        <v>28860</v>
      </c>
      <c r="D1790" s="4">
        <v>28890</v>
      </c>
      <c r="E1790" s="4">
        <v>28635</v>
      </c>
      <c r="F1790" s="4" t="str">
        <v>0.30K</v>
      </c>
      <c r="G1790" s="4" t="str">
        <v>-0.64%</v>
      </c>
      <c r="H1790" s="3">
        <v>42830</v>
      </c>
      <c r="I1790" s="4">
        <v>28762.5</v>
      </c>
    </row>
    <row r="1791" spans="1:9" x14ac:dyDescent="0.25">
      <c r="A1791" s="3">
        <v>42829</v>
      </c>
      <c r="B1791" s="4">
        <v>28862</v>
      </c>
      <c r="C1791" s="4">
        <v>28820</v>
      </c>
      <c r="D1791" s="4">
        <v>28963</v>
      </c>
      <c r="E1791" s="4">
        <v>28816</v>
      </c>
      <c r="F1791" s="4" t="str">
        <v>0.27K</v>
      </c>
      <c r="G1791" s="4" t="str">
        <v>0.56%</v>
      </c>
      <c r="H1791" s="3">
        <v>42829</v>
      </c>
      <c r="I1791" s="4">
        <v>28889.5</v>
      </c>
    </row>
    <row r="1792" spans="1:9" x14ac:dyDescent="0.25">
      <c r="A1792" s="3">
        <v>42828</v>
      </c>
      <c r="B1792" s="4">
        <v>28702</v>
      </c>
      <c r="C1792" s="4">
        <v>28420</v>
      </c>
      <c r="D1792" s="4">
        <v>28734</v>
      </c>
      <c r="E1792" s="4">
        <v>28404</v>
      </c>
      <c r="F1792" s="4" t="str">
        <v>0.86K</v>
      </c>
      <c r="G1792" s="4" t="str">
        <v>0.84%</v>
      </c>
      <c r="H1792" s="3">
        <v>42828</v>
      </c>
      <c r="I1792" s="4">
        <v>28569</v>
      </c>
    </row>
    <row r="1793" spans="1:9" x14ac:dyDescent="0.25">
      <c r="A1793" s="3">
        <v>42825</v>
      </c>
      <c r="B1793" s="4">
        <v>28463</v>
      </c>
      <c r="C1793" s="4">
        <v>28460</v>
      </c>
      <c r="D1793" s="4">
        <v>28527</v>
      </c>
      <c r="E1793" s="4">
        <v>28420</v>
      </c>
      <c r="F1793" s="4" t="str">
        <v>4.87K</v>
      </c>
      <c r="G1793" s="4" t="str">
        <v>-0.28%</v>
      </c>
      <c r="H1793" s="3">
        <v>42825</v>
      </c>
      <c r="I1793" s="4">
        <v>28473.5</v>
      </c>
    </row>
    <row r="1794" spans="1:9" x14ac:dyDescent="0.25">
      <c r="A1794" s="3">
        <v>42824</v>
      </c>
      <c r="B1794" s="4">
        <v>28542</v>
      </c>
      <c r="C1794" s="4">
        <v>28695</v>
      </c>
      <c r="D1794" s="4">
        <v>28720</v>
      </c>
      <c r="E1794" s="4">
        <v>28501</v>
      </c>
      <c r="F1794" s="4" t="str">
        <v>6.60K</v>
      </c>
      <c r="G1794" s="4" t="str">
        <v>-0.56%</v>
      </c>
      <c r="H1794" s="3">
        <v>42824</v>
      </c>
      <c r="I1794" s="4">
        <v>28610.5</v>
      </c>
    </row>
    <row r="1795" spans="1:9" x14ac:dyDescent="0.25">
      <c r="A1795" s="3">
        <v>42823</v>
      </c>
      <c r="B1795" s="4">
        <v>28703</v>
      </c>
      <c r="C1795" s="4">
        <v>28751</v>
      </c>
      <c r="D1795" s="4">
        <v>28751</v>
      </c>
      <c r="E1795" s="4">
        <v>28626</v>
      </c>
      <c r="F1795" s="4" t="str">
        <v>7.50K</v>
      </c>
      <c r="G1795" s="4" t="str">
        <v>-0.50%</v>
      </c>
      <c r="H1795" s="3">
        <v>42823</v>
      </c>
      <c r="I1795" s="4">
        <v>28688.5</v>
      </c>
    </row>
    <row r="1796" spans="1:9" x14ac:dyDescent="0.25">
      <c r="A1796" s="3">
        <v>42822</v>
      </c>
      <c r="B1796" s="4">
        <v>28848</v>
      </c>
      <c r="C1796" s="4">
        <v>28799</v>
      </c>
      <c r="D1796" s="4">
        <v>28892</v>
      </c>
      <c r="E1796" s="4">
        <v>28760</v>
      </c>
      <c r="F1796" s="4" t="str">
        <v>7.43K</v>
      </c>
      <c r="G1796" s="4" t="str">
        <v>0.14%</v>
      </c>
      <c r="H1796" s="3">
        <v>42822</v>
      </c>
      <c r="I1796" s="4">
        <v>28826</v>
      </c>
    </row>
    <row r="1797" spans="1:9" x14ac:dyDescent="0.25">
      <c r="A1797" s="3">
        <v>42821</v>
      </c>
      <c r="B1797" s="4">
        <v>28807</v>
      </c>
      <c r="C1797" s="4">
        <v>28870</v>
      </c>
      <c r="D1797" s="4">
        <v>28938</v>
      </c>
      <c r="E1797" s="4">
        <v>28762</v>
      </c>
      <c r="F1797" s="4" t="str">
        <v>6.51K</v>
      </c>
      <c r="G1797" s="4" t="str">
        <v>0.05%</v>
      </c>
      <c r="H1797" s="3">
        <v>42821</v>
      </c>
      <c r="I1797" s="4">
        <v>28850</v>
      </c>
    </row>
    <row r="1798" spans="1:9" x14ac:dyDescent="0.25">
      <c r="A1798" s="3">
        <v>42818</v>
      </c>
      <c r="B1798" s="4">
        <v>28793</v>
      </c>
      <c r="C1798" s="4">
        <v>28763</v>
      </c>
      <c r="D1798" s="4">
        <v>28828</v>
      </c>
      <c r="E1798" s="4">
        <v>28703</v>
      </c>
      <c r="F1798" s="4" t="str">
        <v>6.50K</v>
      </c>
      <c r="G1798" s="4" t="str">
        <v>-0.02%</v>
      </c>
      <c r="H1798" s="3">
        <v>42818</v>
      </c>
      <c r="I1798" s="4">
        <v>28765.5</v>
      </c>
    </row>
    <row r="1799" spans="1:9" x14ac:dyDescent="0.25">
      <c r="A1799" s="3">
        <v>42817</v>
      </c>
      <c r="B1799" s="4">
        <v>28800</v>
      </c>
      <c r="C1799" s="4">
        <v>28819</v>
      </c>
      <c r="D1799" s="4">
        <v>28948</v>
      </c>
      <c r="E1799" s="4">
        <v>28750</v>
      </c>
      <c r="F1799" s="4" t="str">
        <v>9.69K</v>
      </c>
      <c r="G1799" s="4" t="str">
        <v>-0.29%</v>
      </c>
      <c r="H1799" s="3">
        <v>42817</v>
      </c>
      <c r="I1799" s="4">
        <v>28849</v>
      </c>
    </row>
    <row r="1800" spans="1:9" x14ac:dyDescent="0.25">
      <c r="A1800" s="3">
        <v>42816</v>
      </c>
      <c r="B1800" s="4">
        <v>28885</v>
      </c>
      <c r="C1800" s="4">
        <v>28811</v>
      </c>
      <c r="D1800" s="4">
        <v>28929</v>
      </c>
      <c r="E1800" s="4">
        <v>28803</v>
      </c>
      <c r="F1800" s="4" t="str">
        <v>9.95K</v>
      </c>
      <c r="G1800" s="4" t="str">
        <v>0.12%</v>
      </c>
      <c r="H1800" s="3">
        <v>42816</v>
      </c>
      <c r="I1800" s="4">
        <v>28866</v>
      </c>
    </row>
    <row r="1801" spans="1:9" x14ac:dyDescent="0.25">
      <c r="A1801" s="3">
        <v>42815</v>
      </c>
      <c r="B1801" s="4">
        <v>28851</v>
      </c>
      <c r="C1801" s="4">
        <v>28450</v>
      </c>
      <c r="D1801" s="4">
        <v>28881</v>
      </c>
      <c r="E1801" s="4">
        <v>28392</v>
      </c>
      <c r="F1801" s="4" t="str">
        <v>11.76K</v>
      </c>
      <c r="G1801" s="4" t="str">
        <v>1.21%</v>
      </c>
      <c r="H1801" s="3">
        <v>42815</v>
      </c>
      <c r="I1801" s="4">
        <v>28636.5</v>
      </c>
    </row>
    <row r="1802" spans="1:9" x14ac:dyDescent="0.25">
      <c r="A1802" s="3">
        <v>42814</v>
      </c>
      <c r="B1802" s="4">
        <v>28505</v>
      </c>
      <c r="C1802" s="4">
        <v>28550</v>
      </c>
      <c r="D1802" s="4">
        <v>28599</v>
      </c>
      <c r="E1802" s="4">
        <v>28490</v>
      </c>
      <c r="F1802" s="4" t="str">
        <v>6.77K</v>
      </c>
      <c r="G1802" s="4" t="str">
        <v>-0.01%</v>
      </c>
      <c r="H1802" s="3">
        <v>42814</v>
      </c>
      <c r="I1802" s="4">
        <v>28544.5</v>
      </c>
    </row>
    <row r="1803" spans="1:9" x14ac:dyDescent="0.25">
      <c r="A1803" s="3">
        <v>42811</v>
      </c>
      <c r="B1803" s="4">
        <v>28509</v>
      </c>
      <c r="C1803" s="4">
        <v>28390</v>
      </c>
      <c r="D1803" s="4">
        <v>28530</v>
      </c>
      <c r="E1803" s="4">
        <v>28390</v>
      </c>
      <c r="F1803" s="4" t="str">
        <v>6.42K</v>
      </c>
      <c r="G1803" s="4" t="str">
        <v>0.34%</v>
      </c>
      <c r="H1803" s="3">
        <v>42811</v>
      </c>
      <c r="I1803" s="4">
        <v>28460</v>
      </c>
    </row>
    <row r="1804" spans="1:9" x14ac:dyDescent="0.25">
      <c r="A1804" s="3">
        <v>42810</v>
      </c>
      <c r="B1804" s="4">
        <v>28411</v>
      </c>
      <c r="C1804" s="4">
        <v>28325</v>
      </c>
      <c r="D1804" s="4">
        <v>28540</v>
      </c>
      <c r="E1804" s="4">
        <v>28325</v>
      </c>
      <c r="F1804" s="4" t="str">
        <v>11.38K</v>
      </c>
      <c r="G1804" s="4" t="str">
        <v>1.52%</v>
      </c>
      <c r="H1804" s="3">
        <v>42810</v>
      </c>
      <c r="I1804" s="4">
        <v>28432.5</v>
      </c>
    </row>
    <row r="1805" spans="1:9" x14ac:dyDescent="0.25">
      <c r="A1805" s="3">
        <v>42809</v>
      </c>
      <c r="B1805" s="4">
        <v>27985</v>
      </c>
      <c r="C1805" s="4">
        <v>28054</v>
      </c>
      <c r="D1805" s="4">
        <v>28054</v>
      </c>
      <c r="E1805" s="4">
        <v>27907</v>
      </c>
      <c r="F1805" s="4" t="str">
        <v>8.24K</v>
      </c>
      <c r="G1805" s="4" t="str">
        <v>-0.32%</v>
      </c>
      <c r="H1805" s="3">
        <v>42809</v>
      </c>
      <c r="I1805" s="4">
        <v>27980.5</v>
      </c>
    </row>
    <row r="1806" spans="1:9" x14ac:dyDescent="0.25">
      <c r="A1806" s="3">
        <v>42808</v>
      </c>
      <c r="B1806" s="4">
        <v>28076</v>
      </c>
      <c r="C1806" s="4">
        <v>28250</v>
      </c>
      <c r="D1806" s="4">
        <v>28279</v>
      </c>
      <c r="E1806" s="4">
        <v>28055</v>
      </c>
      <c r="F1806" s="4" t="str">
        <v>8.09K</v>
      </c>
      <c r="G1806" s="4" t="str">
        <v>-0.62%</v>
      </c>
      <c r="H1806" s="3">
        <v>42808</v>
      </c>
      <c r="I1806" s="4">
        <v>28167</v>
      </c>
    </row>
    <row r="1807" spans="1:9" x14ac:dyDescent="0.25">
      <c r="A1807" s="3">
        <v>42807</v>
      </c>
      <c r="B1807" s="4">
        <v>28251</v>
      </c>
      <c r="C1807" s="4">
        <v>28420</v>
      </c>
      <c r="D1807" s="4">
        <v>28420</v>
      </c>
      <c r="E1807" s="4">
        <v>28210</v>
      </c>
      <c r="F1807" s="4" t="str">
        <v>3.19K</v>
      </c>
      <c r="G1807" s="4" t="str">
        <v>-0.41%</v>
      </c>
      <c r="H1807" s="3">
        <v>42807</v>
      </c>
      <c r="I1807" s="4">
        <v>28315</v>
      </c>
    </row>
    <row r="1808" spans="1:9" x14ac:dyDescent="0.25">
      <c r="A1808" s="3">
        <v>42804</v>
      </c>
      <c r="B1808" s="4">
        <v>28366</v>
      </c>
      <c r="C1808" s="4">
        <v>28350</v>
      </c>
      <c r="D1808" s="4">
        <v>28464</v>
      </c>
      <c r="E1808" s="4">
        <v>28251</v>
      </c>
      <c r="F1808" s="4" t="str">
        <v>9.45K</v>
      </c>
      <c r="G1808" s="4" t="str">
        <v>-0.28%</v>
      </c>
      <c r="H1808" s="3">
        <v>42804</v>
      </c>
      <c r="I1808" s="4">
        <v>28357.5</v>
      </c>
    </row>
    <row r="1809" spans="1:9" x14ac:dyDescent="0.25">
      <c r="A1809" s="3">
        <v>42803</v>
      </c>
      <c r="B1809" s="4">
        <v>28446</v>
      </c>
      <c r="C1809" s="4">
        <v>28550</v>
      </c>
      <c r="D1809" s="4">
        <v>28597</v>
      </c>
      <c r="E1809" s="4">
        <v>28402</v>
      </c>
      <c r="F1809" s="4" t="str">
        <v>10.13K</v>
      </c>
      <c r="G1809" s="4" t="str">
        <v>-0.64%</v>
      </c>
      <c r="H1809" s="3">
        <v>42803</v>
      </c>
      <c r="I1809" s="4">
        <v>28499.5</v>
      </c>
    </row>
    <row r="1810" spans="1:9" x14ac:dyDescent="0.25">
      <c r="A1810" s="3">
        <v>42802</v>
      </c>
      <c r="B1810" s="4">
        <v>28629</v>
      </c>
      <c r="C1810" s="4">
        <v>28774</v>
      </c>
      <c r="D1810" s="4">
        <v>28775</v>
      </c>
      <c r="E1810" s="4">
        <v>28581</v>
      </c>
      <c r="F1810" s="4" t="str">
        <v>9.22K</v>
      </c>
      <c r="G1810" s="4" t="str">
        <v>-0.42%</v>
      </c>
      <c r="H1810" s="3">
        <v>42802</v>
      </c>
      <c r="I1810" s="4">
        <v>28678</v>
      </c>
    </row>
    <row r="1811" spans="1:9" x14ac:dyDescent="0.25">
      <c r="A1811" s="3">
        <v>42801</v>
      </c>
      <c r="B1811" s="4">
        <v>28751</v>
      </c>
      <c r="C1811" s="4">
        <v>28941</v>
      </c>
      <c r="D1811" s="4">
        <v>28949</v>
      </c>
      <c r="E1811" s="4">
        <v>28721</v>
      </c>
      <c r="F1811" s="4" t="str">
        <v>9.60K</v>
      </c>
      <c r="G1811" s="4" t="str">
        <v>-0.67%</v>
      </c>
      <c r="H1811" s="3">
        <v>42801</v>
      </c>
      <c r="I1811" s="4">
        <v>28835</v>
      </c>
    </row>
    <row r="1812" spans="1:9" x14ac:dyDescent="0.25">
      <c r="A1812" s="3">
        <v>42800</v>
      </c>
      <c r="B1812" s="4">
        <v>28945</v>
      </c>
      <c r="C1812" s="4">
        <v>29100</v>
      </c>
      <c r="D1812" s="4">
        <v>29189</v>
      </c>
      <c r="E1812" s="4">
        <v>28923</v>
      </c>
      <c r="F1812" s="4" t="str">
        <v>8.14K</v>
      </c>
      <c r="G1812" s="4" t="str">
        <v>-0.26%</v>
      </c>
      <c r="H1812" s="3">
        <v>42800</v>
      </c>
      <c r="I1812" s="4">
        <v>29056</v>
      </c>
    </row>
    <row r="1813" spans="1:9" x14ac:dyDescent="0.25">
      <c r="A1813" s="3">
        <v>42797</v>
      </c>
      <c r="B1813" s="4">
        <v>29020</v>
      </c>
      <c r="C1813" s="4">
        <v>29168</v>
      </c>
      <c r="D1813" s="4">
        <v>29200</v>
      </c>
      <c r="E1813" s="4">
        <v>28952</v>
      </c>
      <c r="F1813" s="4" t="str">
        <v>10.01K</v>
      </c>
      <c r="G1813" s="4" t="str">
        <v>-0.51%</v>
      </c>
      <c r="H1813" s="3">
        <v>42797</v>
      </c>
      <c r="I1813" s="4">
        <v>29076</v>
      </c>
    </row>
    <row r="1814" spans="1:9" x14ac:dyDescent="0.25">
      <c r="A1814" s="3">
        <v>42796</v>
      </c>
      <c r="B1814" s="4">
        <v>29170</v>
      </c>
      <c r="C1814" s="4">
        <v>29419</v>
      </c>
      <c r="D1814" s="4">
        <v>29422</v>
      </c>
      <c r="E1814" s="4">
        <v>29143</v>
      </c>
      <c r="F1814" s="4" t="str">
        <v>10.54K</v>
      </c>
      <c r="G1814" s="4" t="str">
        <v>-0.88%</v>
      </c>
      <c r="H1814" s="3">
        <v>42796</v>
      </c>
      <c r="I1814" s="4">
        <v>29282.5</v>
      </c>
    </row>
    <row r="1815" spans="1:9" x14ac:dyDescent="0.25">
      <c r="A1815" s="3">
        <v>42795</v>
      </c>
      <c r="B1815" s="4">
        <v>29428</v>
      </c>
      <c r="C1815" s="4">
        <v>29451</v>
      </c>
      <c r="D1815" s="4">
        <v>29453</v>
      </c>
      <c r="E1815" s="4">
        <v>29266</v>
      </c>
      <c r="F1815" s="4" t="str">
        <v>9.95K</v>
      </c>
      <c r="G1815" s="4" t="str">
        <v>-0.47%</v>
      </c>
      <c r="H1815" s="3">
        <v>42795</v>
      </c>
      <c r="I1815" s="4">
        <v>29359.5</v>
      </c>
    </row>
    <row r="1816" spans="1:9" x14ac:dyDescent="0.25">
      <c r="A1816" s="3">
        <v>42794</v>
      </c>
      <c r="B1816" s="4">
        <v>29566</v>
      </c>
      <c r="C1816" s="4">
        <v>29650</v>
      </c>
      <c r="D1816" s="4">
        <v>29650</v>
      </c>
      <c r="E1816" s="4">
        <v>29500</v>
      </c>
      <c r="F1816" s="4" t="str">
        <v>8.86K</v>
      </c>
      <c r="G1816" s="4" t="str">
        <v>-0.48%</v>
      </c>
      <c r="H1816" s="3">
        <v>42794</v>
      </c>
      <c r="I1816" s="4">
        <v>29575</v>
      </c>
    </row>
    <row r="1817" spans="1:9" x14ac:dyDescent="0.25">
      <c r="A1817" s="3">
        <v>42793</v>
      </c>
      <c r="B1817" s="4">
        <v>29710</v>
      </c>
      <c r="C1817" s="4">
        <v>29587</v>
      </c>
      <c r="D1817" s="4">
        <v>29785</v>
      </c>
      <c r="E1817" s="4">
        <v>29541</v>
      </c>
      <c r="F1817" s="4" t="str">
        <v>8.17K</v>
      </c>
      <c r="G1817" s="4" t="str">
        <v>0.29%</v>
      </c>
      <c r="H1817" s="3">
        <v>42793</v>
      </c>
      <c r="I1817" s="4">
        <v>29663</v>
      </c>
    </row>
    <row r="1818" spans="1:9" x14ac:dyDescent="0.25">
      <c r="A1818" s="3">
        <v>42790</v>
      </c>
      <c r="B1818" s="4">
        <v>29623</v>
      </c>
      <c r="C1818" s="4">
        <v>29550</v>
      </c>
      <c r="D1818" s="4">
        <v>29649</v>
      </c>
      <c r="E1818" s="4">
        <v>29511</v>
      </c>
      <c r="F1818" s="4" t="str">
        <v>5.16K</v>
      </c>
      <c r="G1818" s="4" t="str">
        <v>0.58%</v>
      </c>
      <c r="H1818" s="3">
        <v>42790</v>
      </c>
      <c r="I1818" s="4">
        <v>29580</v>
      </c>
    </row>
    <row r="1819" spans="1:9" x14ac:dyDescent="0.25">
      <c r="A1819" s="3">
        <v>42789</v>
      </c>
      <c r="B1819" s="4">
        <v>29451</v>
      </c>
      <c r="C1819" s="4">
        <v>29252</v>
      </c>
      <c r="D1819" s="4">
        <v>29468</v>
      </c>
      <c r="E1819" s="4">
        <v>29215</v>
      </c>
      <c r="F1819" s="4" t="str">
        <v>10.19K</v>
      </c>
      <c r="G1819" s="4" t="str">
        <v>0.83%</v>
      </c>
      <c r="H1819" s="3">
        <v>42789</v>
      </c>
      <c r="I1819" s="4">
        <v>29341.5</v>
      </c>
    </row>
    <row r="1820" spans="1:9" x14ac:dyDescent="0.25">
      <c r="A1820" s="3">
        <v>42788</v>
      </c>
      <c r="B1820" s="4">
        <v>29208</v>
      </c>
      <c r="C1820" s="4">
        <v>29240</v>
      </c>
      <c r="D1820" s="4">
        <v>29345</v>
      </c>
      <c r="E1820" s="4">
        <v>29174</v>
      </c>
      <c r="F1820" s="4" t="str">
        <v>8.99K</v>
      </c>
      <c r="G1820" s="4" t="str">
        <v>-0.32%</v>
      </c>
      <c r="H1820" s="3">
        <v>42788</v>
      </c>
      <c r="I1820" s="4">
        <v>29259.5</v>
      </c>
    </row>
    <row r="1821" spans="1:9" x14ac:dyDescent="0.25">
      <c r="A1821" s="3">
        <v>42787</v>
      </c>
      <c r="B1821" s="4">
        <v>29301</v>
      </c>
      <c r="C1821" s="4">
        <v>29202</v>
      </c>
      <c r="D1821" s="4">
        <v>29330</v>
      </c>
      <c r="E1821" s="4">
        <v>29075</v>
      </c>
      <c r="F1821" s="4" t="str">
        <v>11.43K</v>
      </c>
      <c r="G1821" s="4" t="str">
        <v>-0.01%</v>
      </c>
      <c r="H1821" s="3">
        <v>42787</v>
      </c>
      <c r="I1821" s="4">
        <v>29202.5</v>
      </c>
    </row>
    <row r="1822" spans="1:9" x14ac:dyDescent="0.25">
      <c r="A1822" s="3">
        <v>42786</v>
      </c>
      <c r="B1822" s="4">
        <v>29303</v>
      </c>
      <c r="C1822" s="4">
        <v>29251</v>
      </c>
      <c r="D1822" s="4">
        <v>29325</v>
      </c>
      <c r="E1822" s="4">
        <v>29195</v>
      </c>
      <c r="F1822" s="4" t="str">
        <v>5.92K</v>
      </c>
      <c r="G1822" s="4" t="str">
        <v>-0.19%</v>
      </c>
      <c r="H1822" s="3">
        <v>42786</v>
      </c>
      <c r="I1822" s="4">
        <v>29260</v>
      </c>
    </row>
    <row r="1823" spans="1:9" x14ac:dyDescent="0.25">
      <c r="A1823" s="3">
        <v>42783</v>
      </c>
      <c r="B1823" s="4">
        <v>29360</v>
      </c>
      <c r="C1823" s="4">
        <v>29347</v>
      </c>
      <c r="D1823" s="4">
        <v>29449</v>
      </c>
      <c r="E1823" s="4">
        <v>29302</v>
      </c>
      <c r="F1823" s="4" t="str">
        <v>9.01K</v>
      </c>
      <c r="G1823" s="4" t="str">
        <v>-0.19%</v>
      </c>
      <c r="H1823" s="3">
        <v>42783</v>
      </c>
      <c r="I1823" s="4">
        <v>29375.5</v>
      </c>
    </row>
    <row r="1824" spans="1:9" x14ac:dyDescent="0.25">
      <c r="A1824" s="3">
        <v>42782</v>
      </c>
      <c r="B1824" s="4">
        <v>29416</v>
      </c>
      <c r="C1824" s="4">
        <v>29195</v>
      </c>
      <c r="D1824" s="4">
        <v>29485</v>
      </c>
      <c r="E1824" s="4">
        <v>29182</v>
      </c>
      <c r="F1824" s="4" t="str">
        <v>10.90K</v>
      </c>
      <c r="G1824" s="4" t="str">
        <v>0.94%</v>
      </c>
      <c r="H1824" s="3">
        <v>42782</v>
      </c>
      <c r="I1824" s="4">
        <v>29333.5</v>
      </c>
    </row>
    <row r="1825" spans="1:9" x14ac:dyDescent="0.25">
      <c r="A1825" s="3">
        <v>42781</v>
      </c>
      <c r="B1825" s="4">
        <v>29143</v>
      </c>
      <c r="C1825" s="4">
        <v>29063</v>
      </c>
      <c r="D1825" s="4">
        <v>29170</v>
      </c>
      <c r="E1825" s="4">
        <v>28872</v>
      </c>
      <c r="F1825" s="4" t="str">
        <v>10.92K</v>
      </c>
      <c r="G1825" s="4" t="str">
        <v>0.49%</v>
      </c>
      <c r="H1825" s="3">
        <v>42781</v>
      </c>
      <c r="I1825" s="4">
        <v>29021</v>
      </c>
    </row>
    <row r="1826" spans="1:9" x14ac:dyDescent="0.25">
      <c r="A1826" s="3">
        <v>42780</v>
      </c>
      <c r="B1826" s="4">
        <v>29001</v>
      </c>
      <c r="C1826" s="4">
        <v>29050</v>
      </c>
      <c r="D1826" s="4">
        <v>29173</v>
      </c>
      <c r="E1826" s="4">
        <v>28953</v>
      </c>
      <c r="F1826" s="4" t="str">
        <v>10.30K</v>
      </c>
      <c r="G1826" s="4" t="str">
        <v>-0.07%</v>
      </c>
      <c r="H1826" s="3">
        <v>42780</v>
      </c>
      <c r="I1826" s="4">
        <v>29063</v>
      </c>
    </row>
    <row r="1827" spans="1:9" x14ac:dyDescent="0.25">
      <c r="A1827" s="3">
        <v>42779</v>
      </c>
      <c r="B1827" s="4">
        <v>29021</v>
      </c>
      <c r="C1827" s="4">
        <v>29120</v>
      </c>
      <c r="D1827" s="4">
        <v>29166</v>
      </c>
      <c r="E1827" s="4">
        <v>28941</v>
      </c>
      <c r="F1827" s="4" t="str">
        <v>7.19K</v>
      </c>
      <c r="G1827" s="4" t="str">
        <v>-0.52%</v>
      </c>
      <c r="H1827" s="3">
        <v>42779</v>
      </c>
      <c r="I1827" s="4">
        <v>29053.5</v>
      </c>
    </row>
    <row r="1828" spans="1:9" x14ac:dyDescent="0.25">
      <c r="A1828" s="3">
        <v>42776</v>
      </c>
      <c r="B1828" s="4">
        <v>29173</v>
      </c>
      <c r="C1828" s="4">
        <v>29016</v>
      </c>
      <c r="D1828" s="4">
        <v>29204</v>
      </c>
      <c r="E1828" s="4">
        <v>28925</v>
      </c>
      <c r="F1828" s="4" t="str">
        <v>9.47K</v>
      </c>
      <c r="G1828" s="4" t="str">
        <v>0.29%</v>
      </c>
      <c r="H1828" s="3">
        <v>42776</v>
      </c>
      <c r="I1828" s="4">
        <v>29064.5</v>
      </c>
    </row>
    <row r="1829" spans="1:9" x14ac:dyDescent="0.25">
      <c r="A1829" s="3">
        <v>42775</v>
      </c>
      <c r="B1829" s="4">
        <v>29089</v>
      </c>
      <c r="C1829" s="4">
        <v>29338</v>
      </c>
      <c r="D1829" s="4">
        <v>29388</v>
      </c>
      <c r="E1829" s="4">
        <v>29057</v>
      </c>
      <c r="F1829" s="4" t="str">
        <v>13.00K</v>
      </c>
      <c r="G1829" s="4" t="str">
        <v>-0.82%</v>
      </c>
      <c r="H1829" s="3">
        <v>42775</v>
      </c>
      <c r="I1829" s="4">
        <v>29222.5</v>
      </c>
    </row>
    <row r="1830" spans="1:9" x14ac:dyDescent="0.25">
      <c r="A1830" s="3">
        <v>42774</v>
      </c>
      <c r="B1830" s="4">
        <v>29330</v>
      </c>
      <c r="C1830" s="4">
        <v>29311</v>
      </c>
      <c r="D1830" s="4">
        <v>29414</v>
      </c>
      <c r="E1830" s="4">
        <v>29241</v>
      </c>
      <c r="F1830" s="4" t="str">
        <v>9.70K</v>
      </c>
      <c r="G1830" s="4" t="str">
        <v>-0.01%</v>
      </c>
      <c r="H1830" s="3">
        <v>42774</v>
      </c>
      <c r="I1830" s="4">
        <v>29327.5</v>
      </c>
    </row>
    <row r="1831" spans="1:9" x14ac:dyDescent="0.25">
      <c r="A1831" s="3">
        <v>42773</v>
      </c>
      <c r="B1831" s="4">
        <v>29332</v>
      </c>
      <c r="C1831" s="4">
        <v>29250</v>
      </c>
      <c r="D1831" s="4">
        <v>29348</v>
      </c>
      <c r="E1831" s="4">
        <v>29180</v>
      </c>
      <c r="F1831" s="4" t="str">
        <v>10.04K</v>
      </c>
      <c r="G1831" s="4" t="str">
        <v>0.48%</v>
      </c>
      <c r="H1831" s="3">
        <v>42773</v>
      </c>
      <c r="I1831" s="4">
        <v>29264</v>
      </c>
    </row>
    <row r="1832" spans="1:9" x14ac:dyDescent="0.25">
      <c r="A1832" s="3">
        <v>42772</v>
      </c>
      <c r="B1832" s="4">
        <v>29193</v>
      </c>
      <c r="C1832" s="4">
        <v>28950</v>
      </c>
      <c r="D1832" s="4">
        <v>29220</v>
      </c>
      <c r="E1832" s="4">
        <v>28950</v>
      </c>
      <c r="F1832" s="4" t="str">
        <v>9.83K</v>
      </c>
      <c r="G1832" s="4" t="str">
        <v>0.79%</v>
      </c>
      <c r="H1832" s="3">
        <v>42772</v>
      </c>
      <c r="I1832" s="4">
        <v>29085</v>
      </c>
    </row>
    <row r="1833" spans="1:9" x14ac:dyDescent="0.25">
      <c r="A1833" s="3">
        <v>42769</v>
      </c>
      <c r="B1833" s="4">
        <v>28964</v>
      </c>
      <c r="C1833" s="4">
        <v>29025</v>
      </c>
      <c r="D1833" s="4">
        <v>29099</v>
      </c>
      <c r="E1833" s="4">
        <v>28860</v>
      </c>
      <c r="F1833" s="4" t="str">
        <v>0.08K</v>
      </c>
      <c r="G1833" s="4" t="str">
        <v>-0.06%</v>
      </c>
      <c r="H1833" s="3">
        <v>42769</v>
      </c>
      <c r="I1833" s="4">
        <v>28979.5</v>
      </c>
    </row>
    <row r="1834" spans="1:9" x14ac:dyDescent="0.25">
      <c r="A1834" s="3">
        <v>42768</v>
      </c>
      <c r="B1834" s="4">
        <v>28981</v>
      </c>
      <c r="C1834" s="4">
        <v>29065</v>
      </c>
      <c r="D1834" s="4">
        <v>29257</v>
      </c>
      <c r="E1834" s="4">
        <v>28875</v>
      </c>
      <c r="F1834" s="4" t="str">
        <v>0.29K</v>
      </c>
      <c r="G1834" s="4" t="str">
        <v>0.38%</v>
      </c>
      <c r="H1834" s="3">
        <v>42768</v>
      </c>
      <c r="I1834" s="4">
        <v>29066</v>
      </c>
    </row>
    <row r="1835" spans="1:9" x14ac:dyDescent="0.25">
      <c r="A1835" s="3">
        <v>42767</v>
      </c>
      <c r="B1835" s="4">
        <v>28870</v>
      </c>
      <c r="C1835" s="4">
        <v>28873</v>
      </c>
      <c r="D1835" s="4">
        <v>29105</v>
      </c>
      <c r="E1835" s="4">
        <v>28800</v>
      </c>
      <c r="F1835" s="4" t="str">
        <v>1.89K</v>
      </c>
      <c r="G1835" s="4" t="str">
        <v>-0.25%</v>
      </c>
      <c r="H1835" s="3">
        <v>42767</v>
      </c>
      <c r="I1835" s="4">
        <v>28952.5</v>
      </c>
    </row>
    <row r="1836" spans="1:9" x14ac:dyDescent="0.25">
      <c r="A1836" s="3">
        <v>42766</v>
      </c>
      <c r="B1836" s="4">
        <v>28942</v>
      </c>
      <c r="C1836" s="4">
        <v>28570</v>
      </c>
      <c r="D1836" s="4">
        <v>28990</v>
      </c>
      <c r="E1836" s="4">
        <v>28570</v>
      </c>
      <c r="F1836" s="4" t="str">
        <v>6.73K</v>
      </c>
      <c r="G1836" s="4" t="str">
        <v>1.47%</v>
      </c>
      <c r="H1836" s="3">
        <v>42766</v>
      </c>
      <c r="I1836" s="4">
        <v>28780</v>
      </c>
    </row>
    <row r="1837" spans="1:9" x14ac:dyDescent="0.25">
      <c r="A1837" s="3">
        <v>42765</v>
      </c>
      <c r="B1837" s="4">
        <v>28524</v>
      </c>
      <c r="C1837" s="4">
        <v>28384</v>
      </c>
      <c r="D1837" s="4">
        <v>28560</v>
      </c>
      <c r="E1837" s="4">
        <v>28336</v>
      </c>
      <c r="F1837" s="4" t="str">
        <v>7.72K</v>
      </c>
      <c r="G1837" s="4" t="str">
        <v>0.60%</v>
      </c>
      <c r="H1837" s="3">
        <v>42765</v>
      </c>
      <c r="I1837" s="4">
        <v>28448</v>
      </c>
    </row>
    <row r="1838" spans="1:9" x14ac:dyDescent="0.25">
      <c r="A1838" s="3">
        <v>42762</v>
      </c>
      <c r="B1838" s="4">
        <v>28353</v>
      </c>
      <c r="C1838" s="4">
        <v>28250</v>
      </c>
      <c r="D1838" s="4">
        <v>28383</v>
      </c>
      <c r="E1838" s="4">
        <v>28085</v>
      </c>
      <c r="F1838" s="4" t="str">
        <v>8.51K</v>
      </c>
      <c r="G1838" s="4" t="str">
        <v>-0.11%</v>
      </c>
      <c r="H1838" s="3">
        <v>42762</v>
      </c>
      <c r="I1838" s="4">
        <v>28234</v>
      </c>
    </row>
    <row r="1839" spans="1:9" x14ac:dyDescent="0.25">
      <c r="A1839" s="3">
        <v>42760</v>
      </c>
      <c r="B1839" s="4">
        <v>28385</v>
      </c>
      <c r="C1839" s="4">
        <v>28650</v>
      </c>
      <c r="D1839" s="4">
        <v>28650</v>
      </c>
      <c r="E1839" s="4">
        <v>28357</v>
      </c>
      <c r="F1839" s="4" t="str">
        <v>8.41K</v>
      </c>
      <c r="G1839" s="4" t="str">
        <v>-1.18%</v>
      </c>
      <c r="H1839" s="3">
        <v>42760</v>
      </c>
      <c r="I1839" s="4">
        <v>28503.5</v>
      </c>
    </row>
    <row r="1840" spans="1:9" x14ac:dyDescent="0.25">
      <c r="A1840" s="3">
        <v>42759</v>
      </c>
      <c r="B1840" s="4">
        <v>28725</v>
      </c>
      <c r="C1840" s="4">
        <v>28801</v>
      </c>
      <c r="D1840" s="4">
        <v>28801</v>
      </c>
      <c r="E1840" s="4">
        <v>28700</v>
      </c>
      <c r="F1840" s="4" t="str">
        <v>6.17K</v>
      </c>
      <c r="G1840" s="4" t="str">
        <v>-0.27%</v>
      </c>
      <c r="H1840" s="3">
        <v>42759</v>
      </c>
      <c r="I1840" s="4">
        <v>28750.5</v>
      </c>
    </row>
    <row r="1841" spans="1:9" x14ac:dyDescent="0.25">
      <c r="A1841" s="3">
        <v>42758</v>
      </c>
      <c r="B1841" s="4">
        <v>28803</v>
      </c>
      <c r="C1841" s="4">
        <v>28650</v>
      </c>
      <c r="D1841" s="4">
        <v>28857</v>
      </c>
      <c r="E1841" s="4">
        <v>28650</v>
      </c>
      <c r="F1841" s="4" t="str">
        <v>8.91K</v>
      </c>
      <c r="G1841" s="4" t="str">
        <v>0.62%</v>
      </c>
      <c r="H1841" s="3">
        <v>42758</v>
      </c>
      <c r="I1841" s="4">
        <v>28753.5</v>
      </c>
    </row>
    <row r="1842" spans="1:9" x14ac:dyDescent="0.25">
      <c r="A1842" s="3">
        <v>42755</v>
      </c>
      <c r="B1842" s="4">
        <v>28625</v>
      </c>
      <c r="C1842" s="4">
        <v>28649</v>
      </c>
      <c r="D1842" s="4">
        <v>28696</v>
      </c>
      <c r="E1842" s="4">
        <v>28533</v>
      </c>
      <c r="F1842" s="4" t="str">
        <v>7.95K</v>
      </c>
      <c r="G1842" s="4" t="str">
        <v>0.34%</v>
      </c>
      <c r="H1842" s="3">
        <v>42755</v>
      </c>
      <c r="I1842" s="4">
        <v>28614.5</v>
      </c>
    </row>
    <row r="1843" spans="1:9" x14ac:dyDescent="0.25">
      <c r="A1843" s="3">
        <v>42754</v>
      </c>
      <c r="B1843" s="4">
        <v>28528</v>
      </c>
      <c r="C1843" s="4">
        <v>28646</v>
      </c>
      <c r="D1843" s="4">
        <v>28646</v>
      </c>
      <c r="E1843" s="4">
        <v>28460</v>
      </c>
      <c r="F1843" s="4" t="str">
        <v>8.97K</v>
      </c>
      <c r="G1843" s="4" t="str">
        <v>-0.91%</v>
      </c>
      <c r="H1843" s="3">
        <v>42754</v>
      </c>
      <c r="I1843" s="4">
        <v>28553</v>
      </c>
    </row>
    <row r="1844" spans="1:9" x14ac:dyDescent="0.25">
      <c r="A1844" s="3">
        <v>42753</v>
      </c>
      <c r="B1844" s="4">
        <v>28791</v>
      </c>
      <c r="C1844" s="4">
        <v>28738</v>
      </c>
      <c r="D1844" s="4">
        <v>28825</v>
      </c>
      <c r="E1844" s="4">
        <v>28675</v>
      </c>
      <c r="F1844" s="4" t="str">
        <v>7.07K</v>
      </c>
      <c r="G1844" s="4" t="str">
        <v>0.18%</v>
      </c>
      <c r="H1844" s="3">
        <v>42753</v>
      </c>
      <c r="I1844" s="4">
        <v>28750</v>
      </c>
    </row>
    <row r="1845" spans="1:9" x14ac:dyDescent="0.25">
      <c r="A1845" s="3">
        <v>42752</v>
      </c>
      <c r="B1845" s="4">
        <v>28738</v>
      </c>
      <c r="C1845" s="4">
        <v>28580</v>
      </c>
      <c r="D1845" s="4">
        <v>28776</v>
      </c>
      <c r="E1845" s="4">
        <v>28571</v>
      </c>
      <c r="F1845" s="4" t="str">
        <v>9.58K</v>
      </c>
      <c r="G1845" s="4" t="str">
        <v>0.73%</v>
      </c>
      <c r="H1845" s="3">
        <v>42752</v>
      </c>
      <c r="I1845" s="4">
        <v>28673.5</v>
      </c>
    </row>
    <row r="1846" spans="1:9" x14ac:dyDescent="0.25">
      <c r="A1846" s="3">
        <v>42751</v>
      </c>
      <c r="B1846" s="4">
        <v>28529</v>
      </c>
      <c r="C1846" s="4">
        <v>28450</v>
      </c>
      <c r="D1846" s="4">
        <v>28607</v>
      </c>
      <c r="E1846" s="4">
        <v>28450</v>
      </c>
      <c r="F1846" s="4" t="str">
        <v>5.16K</v>
      </c>
      <c r="G1846" s="4" t="str">
        <v>0.53%</v>
      </c>
      <c r="H1846" s="3">
        <v>42751</v>
      </c>
      <c r="I1846" s="4">
        <v>28528.5</v>
      </c>
    </row>
    <row r="1847" spans="1:9" x14ac:dyDescent="0.25">
      <c r="A1847" s="3">
        <v>42748</v>
      </c>
      <c r="B1847" s="4">
        <v>28380</v>
      </c>
      <c r="C1847" s="4">
        <v>28360</v>
      </c>
      <c r="D1847" s="4">
        <v>28440</v>
      </c>
      <c r="E1847" s="4">
        <v>28240</v>
      </c>
      <c r="F1847" s="4" t="str">
        <v>7.98K</v>
      </c>
      <c r="G1847" s="4" t="str">
        <v>-0.05%</v>
      </c>
      <c r="H1847" s="3">
        <v>42748</v>
      </c>
      <c r="I1847" s="4">
        <v>28340</v>
      </c>
    </row>
    <row r="1848" spans="1:9" x14ac:dyDescent="0.25">
      <c r="A1848" s="3">
        <v>42747</v>
      </c>
      <c r="B1848" s="4">
        <v>28393</v>
      </c>
      <c r="C1848" s="4">
        <v>28350</v>
      </c>
      <c r="D1848" s="4">
        <v>28520</v>
      </c>
      <c r="E1848" s="4">
        <v>28337</v>
      </c>
      <c r="F1848" s="4" t="str">
        <v>9.73K</v>
      </c>
      <c r="G1848" s="4" t="str">
        <v>0.33%</v>
      </c>
      <c r="H1848" s="3">
        <v>42747</v>
      </c>
      <c r="I1848" s="4">
        <v>28428.5</v>
      </c>
    </row>
    <row r="1849" spans="1:9" x14ac:dyDescent="0.25">
      <c r="A1849" s="3">
        <v>42746</v>
      </c>
      <c r="B1849" s="4">
        <v>28300</v>
      </c>
      <c r="C1849" s="4">
        <v>28158</v>
      </c>
      <c r="D1849" s="4">
        <v>28345</v>
      </c>
      <c r="E1849" s="4">
        <v>28082</v>
      </c>
      <c r="F1849" s="4" t="str">
        <v>10.24K</v>
      </c>
      <c r="G1849" s="4" t="str">
        <v>0.55%</v>
      </c>
      <c r="H1849" s="3">
        <v>42746</v>
      </c>
      <c r="I1849" s="4">
        <v>28213.5</v>
      </c>
    </row>
    <row r="1850" spans="1:9" x14ac:dyDescent="0.25">
      <c r="A1850" s="3">
        <v>42745</v>
      </c>
      <c r="B1850" s="4">
        <v>28144</v>
      </c>
      <c r="C1850" s="4">
        <v>28020</v>
      </c>
      <c r="D1850" s="4">
        <v>28260</v>
      </c>
      <c r="E1850" s="4">
        <v>28009</v>
      </c>
      <c r="F1850" s="4" t="str">
        <v>8.34K</v>
      </c>
      <c r="G1850" s="4" t="str">
        <v>0.33%</v>
      </c>
      <c r="H1850" s="3">
        <v>42745</v>
      </c>
      <c r="I1850" s="4">
        <v>28134.5</v>
      </c>
    </row>
    <row r="1851" spans="1:9" x14ac:dyDescent="0.25">
      <c r="A1851" s="3">
        <v>42744</v>
      </c>
      <c r="B1851" s="4">
        <v>28051</v>
      </c>
      <c r="C1851" s="4">
        <v>27915</v>
      </c>
      <c r="D1851" s="4">
        <v>28080</v>
      </c>
      <c r="E1851" s="4">
        <v>27841</v>
      </c>
      <c r="F1851" s="4" t="str">
        <v>6.61K</v>
      </c>
      <c r="G1851" s="4" t="str">
        <v>0.59%</v>
      </c>
      <c r="H1851" s="3">
        <v>42744</v>
      </c>
      <c r="I1851" s="4">
        <v>27960.5</v>
      </c>
    </row>
    <row r="1852" spans="1:9" x14ac:dyDescent="0.25">
      <c r="A1852" s="3">
        <v>42741</v>
      </c>
      <c r="B1852" s="4">
        <v>27887</v>
      </c>
      <c r="C1852" s="4">
        <v>27892</v>
      </c>
      <c r="D1852" s="4">
        <v>27983</v>
      </c>
      <c r="E1852" s="4">
        <v>27825</v>
      </c>
      <c r="F1852" s="4" t="str">
        <v>7.96K</v>
      </c>
      <c r="G1852" s="4" t="str">
        <v>-0.22%</v>
      </c>
      <c r="H1852" s="3">
        <v>42741</v>
      </c>
      <c r="I1852" s="4">
        <v>27904</v>
      </c>
    </row>
    <row r="1853" spans="1:9" x14ac:dyDescent="0.25">
      <c r="A1853" s="3">
        <v>42740</v>
      </c>
      <c r="B1853" s="4">
        <v>27948</v>
      </c>
      <c r="C1853" s="4">
        <v>27800</v>
      </c>
      <c r="D1853" s="4">
        <v>27978</v>
      </c>
      <c r="E1853" s="4">
        <v>27785</v>
      </c>
      <c r="F1853" s="4" t="str">
        <v>9.43K</v>
      </c>
      <c r="G1853" s="4" t="str">
        <v>0.96%</v>
      </c>
      <c r="H1853" s="3">
        <v>42740</v>
      </c>
      <c r="I1853" s="4">
        <v>27881.5</v>
      </c>
    </row>
    <row r="1854" spans="1:9" x14ac:dyDescent="0.25">
      <c r="A1854" s="3">
        <v>42739</v>
      </c>
      <c r="B1854" s="4">
        <v>27682</v>
      </c>
      <c r="C1854" s="4">
        <v>27685</v>
      </c>
      <c r="D1854" s="4">
        <v>27815</v>
      </c>
      <c r="E1854" s="4">
        <v>27657</v>
      </c>
      <c r="F1854" s="4" t="str">
        <v>7.11K</v>
      </c>
      <c r="G1854" s="4" t="str">
        <v>-0.35%</v>
      </c>
      <c r="H1854" s="3">
        <v>42739</v>
      </c>
      <c r="I1854" s="4">
        <v>27736</v>
      </c>
    </row>
    <row r="1855" spans="1:9" x14ac:dyDescent="0.25">
      <c r="A1855" s="3">
        <v>42738</v>
      </c>
      <c r="B1855" s="4">
        <v>27778</v>
      </c>
      <c r="C1855" s="4">
        <v>27568</v>
      </c>
      <c r="D1855" s="4">
        <v>27823</v>
      </c>
      <c r="E1855" s="4">
        <v>27450</v>
      </c>
      <c r="F1855" s="4" t="str">
        <v>10.70K</v>
      </c>
      <c r="G1855" s="4" t="str">
        <v>0.75%</v>
      </c>
      <c r="H1855" s="3">
        <v>42738</v>
      </c>
      <c r="I1855" s="4">
        <v>27636.5</v>
      </c>
    </row>
    <row r="1856" spans="1:9" x14ac:dyDescent="0.25">
      <c r="A1856" s="3">
        <v>42737</v>
      </c>
      <c r="B1856" s="4">
        <v>27570</v>
      </c>
      <c r="C1856" s="4">
        <v>27401</v>
      </c>
      <c r="D1856" s="4">
        <v>27600</v>
      </c>
      <c r="E1856" s="4">
        <v>27401</v>
      </c>
      <c r="F1856" s="4" t="str">
        <v>2.51K</v>
      </c>
      <c r="G1856" s="4" t="str">
        <v>0.46%</v>
      </c>
      <c r="H1856" s="3">
        <v>42737</v>
      </c>
      <c r="I1856" s="4">
        <v>27500.5</v>
      </c>
    </row>
    <row r="1857" spans="1:9" x14ac:dyDescent="0.25">
      <c r="A1857" s="3">
        <v>42734</v>
      </c>
      <c r="B1857" s="4">
        <v>27445</v>
      </c>
      <c r="C1857" s="4">
        <v>27591</v>
      </c>
      <c r="D1857" s="4">
        <v>27634</v>
      </c>
      <c r="E1857" s="4">
        <v>27421</v>
      </c>
      <c r="F1857" s="4" t="str">
        <v>6.15K</v>
      </c>
      <c r="G1857" s="4" t="str">
        <v>-0.42%</v>
      </c>
      <c r="H1857" s="3">
        <v>42734</v>
      </c>
      <c r="I1857" s="4">
        <v>27527.5</v>
      </c>
    </row>
    <row r="1858" spans="1:9" x14ac:dyDescent="0.25">
      <c r="A1858" s="3">
        <v>42733</v>
      </c>
      <c r="B1858" s="4">
        <v>27562</v>
      </c>
      <c r="C1858" s="4">
        <v>27350</v>
      </c>
      <c r="D1858" s="4">
        <v>27589</v>
      </c>
      <c r="E1858" s="4">
        <v>27320</v>
      </c>
      <c r="F1858" s="4" t="str">
        <v>6.92K</v>
      </c>
      <c r="G1858" s="4" t="str">
        <v>0.96%</v>
      </c>
      <c r="H1858" s="3">
        <v>42733</v>
      </c>
      <c r="I1858" s="4">
        <v>27454.5</v>
      </c>
    </row>
    <row r="1859" spans="1:9" x14ac:dyDescent="0.25">
      <c r="A1859" s="3">
        <v>42732</v>
      </c>
      <c r="B1859" s="4">
        <v>27300</v>
      </c>
      <c r="C1859" s="4">
        <v>27238</v>
      </c>
      <c r="D1859" s="4">
        <v>27347</v>
      </c>
      <c r="E1859" s="4">
        <v>27200</v>
      </c>
      <c r="F1859" s="4" t="str">
        <v>5.06K</v>
      </c>
      <c r="G1859" s="4" t="str">
        <v>0.48%</v>
      </c>
      <c r="H1859" s="3">
        <v>42732</v>
      </c>
      <c r="I1859" s="4">
        <v>27273.5</v>
      </c>
    </row>
    <row r="1860" spans="1:9" x14ac:dyDescent="0.25">
      <c r="A1860" s="3">
        <v>42731</v>
      </c>
      <c r="B1860" s="4">
        <v>27170</v>
      </c>
      <c r="C1860" s="4">
        <v>27120</v>
      </c>
      <c r="D1860" s="4">
        <v>27419</v>
      </c>
      <c r="E1860" s="4">
        <v>27061</v>
      </c>
      <c r="F1860" s="4" t="str">
        <v>7.29K</v>
      </c>
      <c r="G1860" s="4" t="str">
        <v>0.49%</v>
      </c>
      <c r="H1860" s="3">
        <v>42731</v>
      </c>
      <c r="I1860" s="4">
        <v>27240</v>
      </c>
    </row>
    <row r="1861" spans="1:9" x14ac:dyDescent="0.25">
      <c r="A1861" s="3">
        <v>42730</v>
      </c>
      <c r="B1861" s="4">
        <v>27037</v>
      </c>
      <c r="C1861" s="4">
        <v>27004</v>
      </c>
      <c r="D1861" s="4">
        <v>27068</v>
      </c>
      <c r="E1861" s="4">
        <v>26916</v>
      </c>
      <c r="F1861" s="4" t="str">
        <v>1.60K</v>
      </c>
      <c r="G1861" s="4" t="str">
        <v>0.16%</v>
      </c>
      <c r="H1861" s="3">
        <v>42730</v>
      </c>
      <c r="I1861" s="4">
        <v>26992</v>
      </c>
    </row>
    <row r="1862" spans="1:9" x14ac:dyDescent="0.25">
      <c r="A1862" s="3">
        <v>42727</v>
      </c>
      <c r="B1862" s="4">
        <v>26994</v>
      </c>
      <c r="C1862" s="4">
        <v>26995</v>
      </c>
      <c r="D1862" s="4">
        <v>27042</v>
      </c>
      <c r="E1862" s="4">
        <v>26910</v>
      </c>
      <c r="F1862" s="4" t="str">
        <v>4.07K</v>
      </c>
      <c r="G1862" s="4" t="str">
        <v>0.10%</v>
      </c>
      <c r="H1862" s="3">
        <v>42727</v>
      </c>
      <c r="I1862" s="4">
        <v>26976</v>
      </c>
    </row>
    <row r="1863" spans="1:9" x14ac:dyDescent="0.25">
      <c r="A1863" s="3">
        <v>42726</v>
      </c>
      <c r="B1863" s="4">
        <v>26968</v>
      </c>
      <c r="C1863" s="4">
        <v>26980</v>
      </c>
      <c r="D1863" s="4">
        <v>27080</v>
      </c>
      <c r="E1863" s="4">
        <v>26862</v>
      </c>
      <c r="F1863" s="4" t="str">
        <v>6.94K</v>
      </c>
      <c r="G1863" s="4" t="str">
        <v>-0.08%</v>
      </c>
      <c r="H1863" s="3">
        <v>42726</v>
      </c>
      <c r="I1863" s="4">
        <v>26971</v>
      </c>
    </row>
    <row r="1864" spans="1:9" x14ac:dyDescent="0.25">
      <c r="A1864" s="3">
        <v>42725</v>
      </c>
      <c r="B1864" s="4">
        <v>26990</v>
      </c>
      <c r="C1864" s="4">
        <v>27143</v>
      </c>
      <c r="D1864" s="4">
        <v>27207</v>
      </c>
      <c r="E1864" s="4">
        <v>26972</v>
      </c>
      <c r="F1864" s="4" t="str">
        <v>7.30K</v>
      </c>
      <c r="G1864" s="4" t="str">
        <v>-0.52%</v>
      </c>
      <c r="H1864" s="3">
        <v>42725</v>
      </c>
      <c r="I1864" s="4">
        <v>27089.5</v>
      </c>
    </row>
    <row r="1865" spans="1:9" x14ac:dyDescent="0.25">
      <c r="A1865" s="3">
        <v>42724</v>
      </c>
      <c r="B1865" s="4">
        <v>27130</v>
      </c>
      <c r="C1865" s="4">
        <v>27180</v>
      </c>
      <c r="D1865" s="4">
        <v>27194</v>
      </c>
      <c r="E1865" s="4">
        <v>27015</v>
      </c>
      <c r="F1865" s="4" t="str">
        <v>7.32K</v>
      </c>
      <c r="G1865" s="4" t="str">
        <v>-0.48%</v>
      </c>
      <c r="H1865" s="3">
        <v>42724</v>
      </c>
      <c r="I1865" s="4">
        <v>27104.5</v>
      </c>
    </row>
    <row r="1866" spans="1:9" x14ac:dyDescent="0.25">
      <c r="A1866" s="3">
        <v>42723</v>
      </c>
      <c r="B1866" s="4">
        <v>27260</v>
      </c>
      <c r="C1866" s="4">
        <v>27190</v>
      </c>
      <c r="D1866" s="4">
        <v>27280</v>
      </c>
      <c r="E1866" s="4">
        <v>27168</v>
      </c>
      <c r="F1866" s="4" t="str">
        <v>4.84K</v>
      </c>
      <c r="G1866" s="4" t="str">
        <v>0.35%</v>
      </c>
      <c r="H1866" s="3">
        <v>42723</v>
      </c>
      <c r="I1866" s="4">
        <v>27224</v>
      </c>
    </row>
    <row r="1867" spans="1:9" x14ac:dyDescent="0.25">
      <c r="A1867" s="3">
        <v>42720</v>
      </c>
      <c r="B1867" s="4">
        <v>27164</v>
      </c>
      <c r="C1867" s="4">
        <v>27043</v>
      </c>
      <c r="D1867" s="4">
        <v>27266</v>
      </c>
      <c r="E1867" s="4">
        <v>26972</v>
      </c>
      <c r="F1867" s="4" t="str">
        <v>8.49K</v>
      </c>
      <c r="G1867" s="4" t="str">
        <v>0.54%</v>
      </c>
      <c r="H1867" s="3">
        <v>42720</v>
      </c>
      <c r="I1867" s="4">
        <v>27119</v>
      </c>
    </row>
    <row r="1868" spans="1:9" x14ac:dyDescent="0.25">
      <c r="A1868" s="3">
        <v>42719</v>
      </c>
      <c r="B1868" s="4">
        <v>27019</v>
      </c>
      <c r="C1868" s="4">
        <v>27401</v>
      </c>
      <c r="D1868" s="4">
        <v>27401</v>
      </c>
      <c r="E1868" s="4">
        <v>26901</v>
      </c>
      <c r="F1868" s="4" t="str">
        <v>10.61K</v>
      </c>
      <c r="G1868" s="4" t="str">
        <v>-2.06%</v>
      </c>
      <c r="H1868" s="3">
        <v>42719</v>
      </c>
      <c r="I1868" s="4">
        <v>27151</v>
      </c>
    </row>
    <row r="1869" spans="1:9" x14ac:dyDescent="0.25">
      <c r="A1869" s="3">
        <v>42718</v>
      </c>
      <c r="B1869" s="4">
        <v>27587</v>
      </c>
      <c r="C1869" s="4">
        <v>27594</v>
      </c>
      <c r="D1869" s="4">
        <v>27685</v>
      </c>
      <c r="E1869" s="4">
        <v>27562</v>
      </c>
      <c r="F1869" s="4" t="str">
        <v>5.09K</v>
      </c>
      <c r="G1869" s="4" t="str">
        <v>0.19%</v>
      </c>
      <c r="H1869" s="3">
        <v>42718</v>
      </c>
      <c r="I1869" s="4">
        <v>27623.5</v>
      </c>
    </row>
    <row r="1870" spans="1:9" x14ac:dyDescent="0.25">
      <c r="A1870" s="3">
        <v>42717</v>
      </c>
      <c r="B1870" s="4">
        <v>27535</v>
      </c>
      <c r="C1870" s="4">
        <v>27635</v>
      </c>
      <c r="D1870" s="4">
        <v>27648</v>
      </c>
      <c r="E1870" s="4">
        <v>27475</v>
      </c>
      <c r="F1870" s="4" t="str">
        <v>5.38K</v>
      </c>
      <c r="G1870" s="4" t="str">
        <v>-0.47%</v>
      </c>
      <c r="H1870" s="3">
        <v>42717</v>
      </c>
      <c r="I1870" s="4">
        <v>27561.5</v>
      </c>
    </row>
    <row r="1871" spans="1:9" x14ac:dyDescent="0.25">
      <c r="A1871" s="3">
        <v>42716</v>
      </c>
      <c r="B1871" s="4">
        <v>27666</v>
      </c>
      <c r="C1871" s="4">
        <v>27500</v>
      </c>
      <c r="D1871" s="4">
        <v>27682</v>
      </c>
      <c r="E1871" s="4">
        <v>27415</v>
      </c>
      <c r="F1871" s="4" t="str">
        <v>4.57K</v>
      </c>
      <c r="G1871" s="4" t="str">
        <v>0.33%</v>
      </c>
      <c r="H1871" s="3">
        <v>42716</v>
      </c>
      <c r="I1871" s="4">
        <v>27548.5</v>
      </c>
    </row>
    <row r="1872" spans="1:9" x14ac:dyDescent="0.25">
      <c r="A1872" s="3">
        <v>42713</v>
      </c>
      <c r="B1872" s="4">
        <v>27576</v>
      </c>
      <c r="C1872" s="4">
        <v>27750</v>
      </c>
      <c r="D1872" s="4">
        <v>27796</v>
      </c>
      <c r="E1872" s="4">
        <v>27531</v>
      </c>
      <c r="F1872" s="4" t="str">
        <v>7.01K</v>
      </c>
      <c r="G1872" s="4" t="str">
        <v>-0.72%</v>
      </c>
      <c r="H1872" s="3">
        <v>42713</v>
      </c>
      <c r="I1872" s="4">
        <v>27663.5</v>
      </c>
    </row>
    <row r="1873" spans="1:9" x14ac:dyDescent="0.25">
      <c r="A1873" s="3">
        <v>42712</v>
      </c>
      <c r="B1873" s="4">
        <v>27777</v>
      </c>
      <c r="C1873" s="4">
        <v>27911</v>
      </c>
      <c r="D1873" s="4">
        <v>27923</v>
      </c>
      <c r="E1873" s="4">
        <v>27750</v>
      </c>
      <c r="F1873" s="4" t="str">
        <v>6.02K</v>
      </c>
      <c r="G1873" s="4" t="str">
        <v>-0.48%</v>
      </c>
      <c r="H1873" s="3">
        <v>42712</v>
      </c>
      <c r="I1873" s="4">
        <v>27836.5</v>
      </c>
    </row>
    <row r="1874" spans="1:9" x14ac:dyDescent="0.25">
      <c r="A1874" s="3">
        <v>42711</v>
      </c>
      <c r="B1874" s="4">
        <v>27911</v>
      </c>
      <c r="C1874" s="4">
        <v>27856</v>
      </c>
      <c r="D1874" s="4">
        <v>28025</v>
      </c>
      <c r="E1874" s="4">
        <v>27810</v>
      </c>
      <c r="F1874" s="4" t="str">
        <v>6.89K</v>
      </c>
      <c r="G1874" s="4" t="str">
        <v>0.30%</v>
      </c>
      <c r="H1874" s="3">
        <v>42711</v>
      </c>
      <c r="I1874" s="4">
        <v>27917.5</v>
      </c>
    </row>
    <row r="1875" spans="1:9" x14ac:dyDescent="0.25">
      <c r="A1875" s="3">
        <v>42710</v>
      </c>
      <c r="B1875" s="4">
        <v>27827</v>
      </c>
      <c r="C1875" s="4">
        <v>28002</v>
      </c>
      <c r="D1875" s="4">
        <v>28055</v>
      </c>
      <c r="E1875" s="4">
        <v>27810</v>
      </c>
      <c r="F1875" s="4" t="str">
        <v>5.88K</v>
      </c>
      <c r="G1875" s="4" t="str">
        <v>-1.55%</v>
      </c>
      <c r="H1875" s="3">
        <v>42710</v>
      </c>
      <c r="I1875" s="4">
        <v>27932.5</v>
      </c>
    </row>
    <row r="1876" spans="1:9" x14ac:dyDescent="0.25">
      <c r="A1876" s="3">
        <v>42709</v>
      </c>
      <c r="B1876" s="4">
        <v>28266</v>
      </c>
      <c r="C1876" s="4">
        <v>28300</v>
      </c>
      <c r="D1876" s="4">
        <v>28525</v>
      </c>
      <c r="E1876" s="4">
        <v>28116</v>
      </c>
      <c r="F1876" s="4" t="str">
        <v>0.17K</v>
      </c>
      <c r="G1876" s="4" t="str">
        <v>-0.57%</v>
      </c>
      <c r="H1876" s="3">
        <v>42709</v>
      </c>
      <c r="I1876" s="4">
        <v>28320.5</v>
      </c>
    </row>
    <row r="1877" spans="1:9" x14ac:dyDescent="0.25">
      <c r="A1877" s="3">
        <v>42706</v>
      </c>
      <c r="B1877" s="4">
        <v>28427</v>
      </c>
      <c r="C1877" s="4">
        <v>28200</v>
      </c>
      <c r="D1877" s="4">
        <v>28490</v>
      </c>
      <c r="E1877" s="4">
        <v>28180</v>
      </c>
      <c r="F1877" s="4" t="str">
        <v>0.24K</v>
      </c>
      <c r="G1877" s="4" t="str">
        <v>1.82%</v>
      </c>
      <c r="H1877" s="3">
        <v>42706</v>
      </c>
      <c r="I1877" s="4">
        <v>28335</v>
      </c>
    </row>
    <row r="1878" spans="1:9" x14ac:dyDescent="0.25">
      <c r="A1878" s="3">
        <v>42705</v>
      </c>
      <c r="B1878" s="4">
        <v>27920</v>
      </c>
      <c r="C1878" s="4">
        <v>28400</v>
      </c>
      <c r="D1878" s="4">
        <v>28400</v>
      </c>
      <c r="E1878" s="4">
        <v>27881</v>
      </c>
      <c r="F1878" s="4" t="str">
        <v>0.89K</v>
      </c>
      <c r="G1878" s="4" t="str">
        <v>-1.64%</v>
      </c>
      <c r="H1878" s="3">
        <v>42705</v>
      </c>
      <c r="I1878" s="4">
        <v>28140.5</v>
      </c>
    </row>
    <row r="1879" spans="1:9" x14ac:dyDescent="0.25">
      <c r="A1879" s="3">
        <v>42704</v>
      </c>
      <c r="B1879" s="4">
        <v>28385</v>
      </c>
      <c r="C1879" s="4">
        <v>28740</v>
      </c>
      <c r="D1879" s="4">
        <v>28740</v>
      </c>
      <c r="E1879" s="4">
        <v>28338</v>
      </c>
      <c r="F1879" s="4" t="str">
        <v>6.64K</v>
      </c>
      <c r="G1879" s="4" t="str">
        <v>-1.31%</v>
      </c>
      <c r="H1879" s="3">
        <v>42704</v>
      </c>
      <c r="I1879" s="4">
        <v>28539</v>
      </c>
    </row>
    <row r="1880" spans="1:9" x14ac:dyDescent="0.25">
      <c r="A1880" s="3">
        <v>42703</v>
      </c>
      <c r="B1880" s="4">
        <v>28762</v>
      </c>
      <c r="C1880" s="4">
        <v>28754</v>
      </c>
      <c r="D1880" s="4">
        <v>28800</v>
      </c>
      <c r="E1880" s="4">
        <v>28582</v>
      </c>
      <c r="F1880" s="4" t="str">
        <v>6.32K</v>
      </c>
      <c r="G1880" s="4" t="str">
        <v>0.09%</v>
      </c>
      <c r="H1880" s="3">
        <v>42703</v>
      </c>
      <c r="I1880" s="4">
        <v>28691</v>
      </c>
    </row>
    <row r="1881" spans="1:9" x14ac:dyDescent="0.25">
      <c r="A1881" s="3">
        <v>42702</v>
      </c>
      <c r="B1881" s="4">
        <v>28736</v>
      </c>
      <c r="C1881" s="4">
        <v>28702</v>
      </c>
      <c r="D1881" s="4">
        <v>28872</v>
      </c>
      <c r="E1881" s="4">
        <v>28625</v>
      </c>
      <c r="F1881" s="4" t="str">
        <v>6.55K</v>
      </c>
      <c r="G1881" s="4" t="str">
        <v>0.48%</v>
      </c>
      <c r="H1881" s="3">
        <v>42702</v>
      </c>
      <c r="I1881" s="4">
        <v>28748.5</v>
      </c>
    </row>
    <row r="1882" spans="1:9" x14ac:dyDescent="0.25">
      <c r="A1882" s="3">
        <v>42699</v>
      </c>
      <c r="B1882" s="4">
        <v>28598</v>
      </c>
      <c r="C1882" s="4">
        <v>28553</v>
      </c>
      <c r="D1882" s="4">
        <v>28693</v>
      </c>
      <c r="E1882" s="4">
        <v>28374</v>
      </c>
      <c r="F1882" s="4" t="str">
        <v>10.06K</v>
      </c>
      <c r="G1882" s="4" t="str">
        <v>-0.51%</v>
      </c>
      <c r="H1882" s="3">
        <v>42699</v>
      </c>
      <c r="I1882" s="4">
        <v>28533.5</v>
      </c>
    </row>
    <row r="1883" spans="1:9" x14ac:dyDescent="0.25">
      <c r="A1883" s="3">
        <v>42698</v>
      </c>
      <c r="B1883" s="4">
        <v>28746</v>
      </c>
      <c r="C1883" s="4">
        <v>28743</v>
      </c>
      <c r="D1883" s="4">
        <v>28790</v>
      </c>
      <c r="E1883" s="4">
        <v>28630</v>
      </c>
      <c r="F1883" s="4" t="str">
        <v>6.06K</v>
      </c>
      <c r="G1883" s="4" t="str">
        <v>-0.29%</v>
      </c>
      <c r="H1883" s="3">
        <v>42698</v>
      </c>
      <c r="I1883" s="4">
        <v>28710</v>
      </c>
    </row>
    <row r="1884" spans="1:9" x14ac:dyDescent="0.25">
      <c r="A1884" s="3">
        <v>42697</v>
      </c>
      <c r="B1884" s="4">
        <v>28829</v>
      </c>
      <c r="C1884" s="4">
        <v>29179</v>
      </c>
      <c r="D1884" s="4">
        <v>29225</v>
      </c>
      <c r="E1884" s="4">
        <v>28716</v>
      </c>
      <c r="F1884" s="4" t="str">
        <v>11.00K</v>
      </c>
      <c r="G1884" s="4" t="str">
        <v>-1.06%</v>
      </c>
      <c r="H1884" s="3">
        <v>42697</v>
      </c>
      <c r="I1884" s="4">
        <v>28970.5</v>
      </c>
    </row>
    <row r="1885" spans="1:9" x14ac:dyDescent="0.25">
      <c r="A1885" s="3">
        <v>42696</v>
      </c>
      <c r="B1885" s="4">
        <v>29139</v>
      </c>
      <c r="C1885" s="4">
        <v>29178</v>
      </c>
      <c r="D1885" s="4">
        <v>29224</v>
      </c>
      <c r="E1885" s="4">
        <v>29060</v>
      </c>
      <c r="F1885" s="4" t="str">
        <v>5.62K</v>
      </c>
      <c r="G1885" s="4" t="str">
        <v>0.01%</v>
      </c>
      <c r="H1885" s="3">
        <v>42696</v>
      </c>
      <c r="I1885" s="4">
        <v>29142</v>
      </c>
    </row>
    <row r="1886" spans="1:9" x14ac:dyDescent="0.25">
      <c r="A1886" s="3">
        <v>42695</v>
      </c>
      <c r="B1886" s="4">
        <v>29135</v>
      </c>
      <c r="C1886" s="4">
        <v>29024</v>
      </c>
      <c r="D1886" s="4">
        <v>29200</v>
      </c>
      <c r="E1886" s="4">
        <v>28946</v>
      </c>
      <c r="F1886" s="4" t="str">
        <v>6.08K</v>
      </c>
      <c r="G1886" s="4" t="str">
        <v>0.68%</v>
      </c>
      <c r="H1886" s="3">
        <v>42695</v>
      </c>
      <c r="I1886" s="4">
        <v>29073</v>
      </c>
    </row>
    <row r="1887" spans="1:9" x14ac:dyDescent="0.25">
      <c r="A1887" s="3">
        <v>42692</v>
      </c>
      <c r="B1887" s="4">
        <v>28937</v>
      </c>
      <c r="C1887" s="4">
        <v>29000</v>
      </c>
      <c r="D1887" s="4">
        <v>29000</v>
      </c>
      <c r="E1887" s="4">
        <v>28800</v>
      </c>
      <c r="F1887" s="4" t="str">
        <v>9.50K</v>
      </c>
      <c r="G1887" s="4" t="str">
        <v>-0.67%</v>
      </c>
      <c r="H1887" s="3">
        <v>42692</v>
      </c>
      <c r="I1887" s="4">
        <v>28900</v>
      </c>
    </row>
    <row r="1888" spans="1:9" x14ac:dyDescent="0.25">
      <c r="A1888" s="3">
        <v>42691</v>
      </c>
      <c r="B1888" s="4">
        <v>29131</v>
      </c>
      <c r="C1888" s="4">
        <v>29347</v>
      </c>
      <c r="D1888" s="4">
        <v>29390</v>
      </c>
      <c r="E1888" s="4">
        <v>29091</v>
      </c>
      <c r="F1888" s="4" t="str">
        <v>7.92K</v>
      </c>
      <c r="G1888" s="4" t="str">
        <v>-0.86%</v>
      </c>
      <c r="H1888" s="3">
        <v>42691</v>
      </c>
      <c r="I1888" s="4">
        <v>29240.5</v>
      </c>
    </row>
    <row r="1889" spans="1:9" x14ac:dyDescent="0.25">
      <c r="A1889" s="3">
        <v>42690</v>
      </c>
      <c r="B1889" s="4">
        <v>29383</v>
      </c>
      <c r="C1889" s="4">
        <v>29371</v>
      </c>
      <c r="D1889" s="4">
        <v>29441</v>
      </c>
      <c r="E1889" s="4">
        <v>29315</v>
      </c>
      <c r="F1889" s="4" t="str">
        <v>7.60K</v>
      </c>
      <c r="G1889" s="4" t="str">
        <v>0.21%</v>
      </c>
      <c r="H1889" s="3">
        <v>42690</v>
      </c>
      <c r="I1889" s="4">
        <v>29378</v>
      </c>
    </row>
    <row r="1890" spans="1:9" x14ac:dyDescent="0.25">
      <c r="A1890" s="3">
        <v>42689</v>
      </c>
      <c r="B1890" s="4">
        <v>29320</v>
      </c>
      <c r="C1890" s="4">
        <v>29558</v>
      </c>
      <c r="D1890" s="4">
        <v>29558</v>
      </c>
      <c r="E1890" s="4">
        <v>29223</v>
      </c>
      <c r="F1890" s="4" t="str">
        <v>11.08K</v>
      </c>
      <c r="G1890" s="4" t="str">
        <v>-0.97%</v>
      </c>
      <c r="H1890" s="3">
        <v>42689</v>
      </c>
      <c r="I1890" s="4">
        <v>29390.5</v>
      </c>
    </row>
    <row r="1891" spans="1:9" x14ac:dyDescent="0.25">
      <c r="A1891" s="3">
        <v>42688</v>
      </c>
      <c r="B1891" s="4">
        <v>29607</v>
      </c>
      <c r="C1891" s="4">
        <v>29328</v>
      </c>
      <c r="D1891" s="4">
        <v>29698</v>
      </c>
      <c r="E1891" s="4">
        <v>29281</v>
      </c>
      <c r="F1891" s="4" t="str">
        <v>9.25K</v>
      </c>
      <c r="G1891" s="4" t="str">
        <v>0.72%</v>
      </c>
      <c r="H1891" s="3">
        <v>42688</v>
      </c>
      <c r="I1891" s="4">
        <v>29489.5</v>
      </c>
    </row>
    <row r="1892" spans="1:9" x14ac:dyDescent="0.25">
      <c r="A1892" s="3">
        <v>42685</v>
      </c>
      <c r="B1892" s="4">
        <v>29396</v>
      </c>
      <c r="C1892" s="4">
        <v>29830</v>
      </c>
      <c r="D1892" s="4">
        <v>29957</v>
      </c>
      <c r="E1892" s="4">
        <v>29250</v>
      </c>
      <c r="F1892" s="4" t="str">
        <v>16.85K</v>
      </c>
      <c r="G1892" s="4" t="str">
        <v>-1.69%</v>
      </c>
      <c r="H1892" s="3">
        <v>42685</v>
      </c>
      <c r="I1892" s="4">
        <v>29603.5</v>
      </c>
    </row>
    <row r="1893" spans="1:9" x14ac:dyDescent="0.25">
      <c r="A1893" s="3">
        <v>42684</v>
      </c>
      <c r="B1893" s="4">
        <v>29900</v>
      </c>
      <c r="C1893" s="4">
        <v>30053</v>
      </c>
      <c r="D1893" s="4">
        <v>30195</v>
      </c>
      <c r="E1893" s="4">
        <v>29771</v>
      </c>
      <c r="F1893" s="4" t="str">
        <v>14.79K</v>
      </c>
      <c r="G1893" s="4" t="str">
        <v>0.08%</v>
      </c>
      <c r="H1893" s="3">
        <v>42684</v>
      </c>
      <c r="I1893" s="4">
        <v>29983</v>
      </c>
    </row>
    <row r="1894" spans="1:9" x14ac:dyDescent="0.25">
      <c r="A1894" s="3">
        <v>42683</v>
      </c>
      <c r="B1894" s="4">
        <v>29877</v>
      </c>
      <c r="C1894" s="4">
        <v>30400</v>
      </c>
      <c r="D1894" s="4">
        <v>31376</v>
      </c>
      <c r="E1894" s="4">
        <v>29805</v>
      </c>
      <c r="F1894" s="4" t="str">
        <v>28.85K</v>
      </c>
      <c r="G1894" s="4" t="str">
        <v>-0.01%</v>
      </c>
      <c r="H1894" s="3">
        <v>42683</v>
      </c>
      <c r="I1894" s="4">
        <v>30590.5</v>
      </c>
    </row>
    <row r="1895" spans="1:9" x14ac:dyDescent="0.25">
      <c r="A1895" s="3">
        <v>42682</v>
      </c>
      <c r="B1895" s="4">
        <v>29880</v>
      </c>
      <c r="C1895" s="4">
        <v>30100</v>
      </c>
      <c r="D1895" s="4">
        <v>30368</v>
      </c>
      <c r="E1895" s="4">
        <v>29731</v>
      </c>
      <c r="F1895" s="4" t="str">
        <v>18.67K</v>
      </c>
      <c r="G1895" s="4" t="str">
        <v>-0.66%</v>
      </c>
      <c r="H1895" s="3">
        <v>42682</v>
      </c>
      <c r="I1895" s="4">
        <v>30049.5</v>
      </c>
    </row>
    <row r="1896" spans="1:9" x14ac:dyDescent="0.25">
      <c r="A1896" s="3">
        <v>42681</v>
      </c>
      <c r="B1896" s="4">
        <v>30078</v>
      </c>
      <c r="C1896" s="4">
        <v>30510</v>
      </c>
      <c r="D1896" s="4">
        <v>30510</v>
      </c>
      <c r="E1896" s="4">
        <v>30005</v>
      </c>
      <c r="F1896" s="4" t="str">
        <v>12.61K</v>
      </c>
      <c r="G1896" s="4" t="str">
        <v>-1.57%</v>
      </c>
      <c r="H1896" s="3">
        <v>42681</v>
      </c>
      <c r="I1896" s="4">
        <v>30257.5</v>
      </c>
    </row>
    <row r="1897" spans="1:9" x14ac:dyDescent="0.25">
      <c r="A1897" s="3">
        <v>42678</v>
      </c>
      <c r="B1897" s="4">
        <v>30557</v>
      </c>
      <c r="C1897" s="4">
        <v>30430</v>
      </c>
      <c r="D1897" s="4">
        <v>30624</v>
      </c>
      <c r="E1897" s="4">
        <v>30372</v>
      </c>
      <c r="F1897" s="4" t="str">
        <v>12.35K</v>
      </c>
      <c r="G1897" s="4" t="str">
        <v>0.23%</v>
      </c>
      <c r="H1897" s="3">
        <v>42678</v>
      </c>
      <c r="I1897" s="4">
        <v>30498</v>
      </c>
    </row>
    <row r="1898" spans="1:9" x14ac:dyDescent="0.25">
      <c r="A1898" s="3">
        <v>42677</v>
      </c>
      <c r="B1898" s="4">
        <v>30487</v>
      </c>
      <c r="C1898" s="4">
        <v>30649</v>
      </c>
      <c r="D1898" s="4">
        <v>30649</v>
      </c>
      <c r="E1898" s="4">
        <v>30206</v>
      </c>
      <c r="F1898" s="4" t="str">
        <v>16.24K</v>
      </c>
      <c r="G1898" s="4" t="str">
        <v>-0.58%</v>
      </c>
      <c r="H1898" s="3">
        <v>42677</v>
      </c>
      <c r="I1898" s="4">
        <v>30427.5</v>
      </c>
    </row>
    <row r="1899" spans="1:9" x14ac:dyDescent="0.25">
      <c r="A1899" s="3">
        <v>42676</v>
      </c>
      <c r="B1899" s="4">
        <v>30666</v>
      </c>
      <c r="C1899" s="4">
        <v>30350</v>
      </c>
      <c r="D1899" s="4">
        <v>30686</v>
      </c>
      <c r="E1899" s="4">
        <v>30350</v>
      </c>
      <c r="F1899" s="4" t="str">
        <v>12.29K</v>
      </c>
      <c r="G1899" s="4" t="str">
        <v>1.26%</v>
      </c>
      <c r="H1899" s="3">
        <v>42676</v>
      </c>
      <c r="I1899" s="4">
        <v>30518</v>
      </c>
    </row>
    <row r="1900" spans="1:9" x14ac:dyDescent="0.25">
      <c r="A1900" s="3">
        <v>42675</v>
      </c>
      <c r="B1900" s="4">
        <v>30285</v>
      </c>
      <c r="C1900" s="4">
        <v>30000</v>
      </c>
      <c r="D1900" s="4">
        <v>30314</v>
      </c>
      <c r="E1900" s="4">
        <v>30000</v>
      </c>
      <c r="F1900" s="4" t="str">
        <v>8.73K</v>
      </c>
      <c r="G1900" s="4" t="str">
        <v>1.12%</v>
      </c>
      <c r="H1900" s="3">
        <v>42675</v>
      </c>
      <c r="I1900" s="4">
        <v>30157</v>
      </c>
    </row>
    <row r="1901" spans="1:9" x14ac:dyDescent="0.25">
      <c r="A1901" s="3">
        <v>42674</v>
      </c>
      <c r="B1901" s="4">
        <v>29950</v>
      </c>
      <c r="C1901" s="4">
        <v>30010</v>
      </c>
      <c r="D1901" s="4">
        <v>30030</v>
      </c>
      <c r="E1901" s="4">
        <v>29916</v>
      </c>
      <c r="F1901" s="4" t="str">
        <v>3.05K</v>
      </c>
      <c r="G1901" s="4" t="str">
        <v>-0.38%</v>
      </c>
      <c r="H1901" s="3">
        <v>42674</v>
      </c>
      <c r="I1901" s="4">
        <v>29973</v>
      </c>
    </row>
    <row r="1902" spans="1:9" x14ac:dyDescent="0.25">
      <c r="A1902" s="3">
        <v>42673</v>
      </c>
      <c r="B1902" s="4">
        <v>30064</v>
      </c>
      <c r="C1902" s="4">
        <v>30070</v>
      </c>
      <c r="D1902" s="4">
        <v>30070</v>
      </c>
      <c r="E1902" s="4">
        <v>30032</v>
      </c>
      <c r="F1902" s="4" t="str">
        <v>1.32K</v>
      </c>
      <c r="G1902" s="4" t="str">
        <v>-0.06%</v>
      </c>
      <c r="H1902" s="3">
        <v>42673</v>
      </c>
      <c r="I1902" s="4">
        <v>30051</v>
      </c>
    </row>
    <row r="1903" spans="1:9" x14ac:dyDescent="0.25">
      <c r="A1903" s="3">
        <v>42671</v>
      </c>
      <c r="B1903" s="4">
        <v>30082</v>
      </c>
      <c r="C1903" s="4">
        <v>29989</v>
      </c>
      <c r="D1903" s="4">
        <v>30157</v>
      </c>
      <c r="E1903" s="4">
        <v>29720</v>
      </c>
      <c r="F1903" s="4" t="str">
        <v>11.52K</v>
      </c>
      <c r="G1903" s="4" t="str">
        <v>0.52%</v>
      </c>
      <c r="H1903" s="3">
        <v>42671</v>
      </c>
      <c r="I1903" s="4">
        <v>29938.5</v>
      </c>
    </row>
    <row r="1904" spans="1:9" x14ac:dyDescent="0.25">
      <c r="A1904" s="3">
        <v>42670</v>
      </c>
      <c r="B1904" s="4">
        <v>29927</v>
      </c>
      <c r="C1904" s="4">
        <v>29846</v>
      </c>
      <c r="D1904" s="4">
        <v>29962</v>
      </c>
      <c r="E1904" s="4">
        <v>29831</v>
      </c>
      <c r="F1904" s="4" t="str">
        <v>8.36K</v>
      </c>
      <c r="G1904" s="4" t="str">
        <v>0.31%</v>
      </c>
      <c r="H1904" s="3">
        <v>42670</v>
      </c>
      <c r="I1904" s="4">
        <v>29896.5</v>
      </c>
    </row>
    <row r="1905" spans="1:9" x14ac:dyDescent="0.25">
      <c r="A1905" s="3">
        <v>42669</v>
      </c>
      <c r="B1905" s="4">
        <v>29834</v>
      </c>
      <c r="C1905" s="4">
        <v>29980</v>
      </c>
      <c r="D1905" s="4">
        <v>30000</v>
      </c>
      <c r="E1905" s="4">
        <v>29802</v>
      </c>
      <c r="F1905" s="4" t="str">
        <v>10.70K</v>
      </c>
      <c r="G1905" s="4" t="str">
        <v>-0.36%</v>
      </c>
      <c r="H1905" s="3">
        <v>42669</v>
      </c>
      <c r="I1905" s="4">
        <v>29901</v>
      </c>
    </row>
    <row r="1906" spans="1:9" x14ac:dyDescent="0.25">
      <c r="A1906" s="3">
        <v>42668</v>
      </c>
      <c r="B1906" s="4">
        <v>29942</v>
      </c>
      <c r="C1906" s="4">
        <v>29842</v>
      </c>
      <c r="D1906" s="4">
        <v>29982</v>
      </c>
      <c r="E1906" s="4">
        <v>29739</v>
      </c>
      <c r="F1906" s="4" t="str">
        <v>11.64K</v>
      </c>
      <c r="G1906" s="4" t="str">
        <v>0.60%</v>
      </c>
      <c r="H1906" s="3">
        <v>42668</v>
      </c>
      <c r="I1906" s="4">
        <v>29860.5</v>
      </c>
    </row>
    <row r="1907" spans="1:9" x14ac:dyDescent="0.25">
      <c r="A1907" s="3">
        <v>42667</v>
      </c>
      <c r="B1907" s="4">
        <v>29763</v>
      </c>
      <c r="C1907" s="4">
        <v>29905</v>
      </c>
      <c r="D1907" s="4">
        <v>29905</v>
      </c>
      <c r="E1907" s="4">
        <v>29730</v>
      </c>
      <c r="F1907" s="4" t="str">
        <v>16.56K</v>
      </c>
      <c r="G1907" s="4" t="str">
        <v>-0.61%</v>
      </c>
      <c r="H1907" s="3">
        <v>42667</v>
      </c>
      <c r="I1907" s="4">
        <v>29817.5</v>
      </c>
    </row>
    <row r="1908" spans="1:9" x14ac:dyDescent="0.25">
      <c r="A1908" s="3">
        <v>42664</v>
      </c>
      <c r="B1908" s="4">
        <v>29946</v>
      </c>
      <c r="C1908" s="4">
        <v>29850</v>
      </c>
      <c r="D1908" s="4">
        <v>29975</v>
      </c>
      <c r="E1908" s="4">
        <v>29810</v>
      </c>
      <c r="F1908" s="4" t="str">
        <v>11.75K</v>
      </c>
      <c r="G1908" s="4" t="str">
        <v>0.12%</v>
      </c>
      <c r="H1908" s="3">
        <v>42664</v>
      </c>
      <c r="I1908" s="4">
        <v>29892.5</v>
      </c>
    </row>
    <row r="1909" spans="1:9" x14ac:dyDescent="0.25">
      <c r="A1909" s="3">
        <v>42663</v>
      </c>
      <c r="B1909" s="4">
        <v>29910</v>
      </c>
      <c r="C1909" s="4">
        <v>29990</v>
      </c>
      <c r="D1909" s="4">
        <v>30063</v>
      </c>
      <c r="E1909" s="4">
        <v>29881</v>
      </c>
      <c r="F1909" s="4" t="str">
        <v>12.81K</v>
      </c>
      <c r="G1909" s="4" t="str">
        <v>0.03%</v>
      </c>
      <c r="H1909" s="3">
        <v>42663</v>
      </c>
      <c r="I1909" s="4">
        <v>29972</v>
      </c>
    </row>
    <row r="1910" spans="1:9" x14ac:dyDescent="0.25">
      <c r="A1910" s="3">
        <v>42662</v>
      </c>
      <c r="B1910" s="4">
        <v>29901</v>
      </c>
      <c r="C1910" s="4">
        <v>29779</v>
      </c>
      <c r="D1910" s="4">
        <v>29995</v>
      </c>
      <c r="E1910" s="4">
        <v>29757</v>
      </c>
      <c r="F1910" s="4" t="str">
        <v>11.39K</v>
      </c>
      <c r="G1910" s="4" t="str">
        <v>0.39%</v>
      </c>
      <c r="H1910" s="3">
        <v>42662</v>
      </c>
      <c r="I1910" s="4">
        <v>29876</v>
      </c>
    </row>
    <row r="1911" spans="1:9" x14ac:dyDescent="0.25">
      <c r="A1911" s="3">
        <v>42661</v>
      </c>
      <c r="B1911" s="4">
        <v>29786</v>
      </c>
      <c r="C1911" s="4">
        <v>29750</v>
      </c>
      <c r="D1911" s="4">
        <v>29840</v>
      </c>
      <c r="E1911" s="4">
        <v>29680</v>
      </c>
      <c r="F1911" s="4" t="str">
        <v>13.19K</v>
      </c>
      <c r="G1911" s="4" t="str">
        <v>0.27%</v>
      </c>
      <c r="H1911" s="3">
        <v>42661</v>
      </c>
      <c r="I1911" s="4">
        <v>29760</v>
      </c>
    </row>
    <row r="1912" spans="1:9" x14ac:dyDescent="0.25">
      <c r="A1912" s="3">
        <v>42660</v>
      </c>
      <c r="B1912" s="4">
        <v>29705</v>
      </c>
      <c r="C1912" s="4">
        <v>29673</v>
      </c>
      <c r="D1912" s="4">
        <v>29734</v>
      </c>
      <c r="E1912" s="4">
        <v>29600</v>
      </c>
      <c r="F1912" s="4" t="str">
        <v>11.12K</v>
      </c>
      <c r="G1912" s="4" t="str">
        <v>0.17%</v>
      </c>
      <c r="H1912" s="3">
        <v>42660</v>
      </c>
      <c r="I1912" s="4">
        <v>29667</v>
      </c>
    </row>
    <row r="1913" spans="1:9" x14ac:dyDescent="0.25">
      <c r="A1913" s="3">
        <v>42657</v>
      </c>
      <c r="B1913" s="4">
        <v>29656</v>
      </c>
      <c r="C1913" s="4">
        <v>29675</v>
      </c>
      <c r="D1913" s="4">
        <v>29725</v>
      </c>
      <c r="E1913" s="4">
        <v>29460</v>
      </c>
      <c r="F1913" s="4" t="str">
        <v>14.30K</v>
      </c>
      <c r="G1913" s="4" t="str">
        <v>-0.18%</v>
      </c>
      <c r="H1913" s="3">
        <v>42657</v>
      </c>
      <c r="I1913" s="4">
        <v>29592.5</v>
      </c>
    </row>
    <row r="1914" spans="1:9" x14ac:dyDescent="0.25">
      <c r="A1914" s="3">
        <v>42656</v>
      </c>
      <c r="B1914" s="4">
        <v>29709</v>
      </c>
      <c r="C1914" s="4">
        <v>29800</v>
      </c>
      <c r="D1914" s="4">
        <v>29885</v>
      </c>
      <c r="E1914" s="4">
        <v>29692</v>
      </c>
      <c r="F1914" s="4" t="str">
        <v>12.70K</v>
      </c>
      <c r="G1914" s="4" t="str">
        <v>0.20%</v>
      </c>
      <c r="H1914" s="3">
        <v>42656</v>
      </c>
      <c r="I1914" s="4">
        <v>29788.5</v>
      </c>
    </row>
    <row r="1915" spans="1:9" x14ac:dyDescent="0.25">
      <c r="A1915" s="3">
        <v>42655</v>
      </c>
      <c r="B1915" s="4">
        <v>29651</v>
      </c>
      <c r="C1915" s="4">
        <v>29692</v>
      </c>
      <c r="D1915" s="4">
        <v>29779</v>
      </c>
      <c r="E1915" s="4">
        <v>29590</v>
      </c>
      <c r="F1915" s="4" t="str">
        <v>4.90K</v>
      </c>
      <c r="G1915" s="4" t="str">
        <v>-0.23%</v>
      </c>
      <c r="H1915" s="3">
        <v>42655</v>
      </c>
      <c r="I1915" s="4">
        <v>29684.5</v>
      </c>
    </row>
    <row r="1916" spans="1:9" x14ac:dyDescent="0.25">
      <c r="A1916" s="3">
        <v>42654</v>
      </c>
      <c r="B1916" s="4">
        <v>29719</v>
      </c>
      <c r="C1916" s="4">
        <v>29565</v>
      </c>
      <c r="D1916" s="4">
        <v>29785</v>
      </c>
      <c r="E1916" s="4">
        <v>29565</v>
      </c>
      <c r="F1916" s="4" t="str">
        <v>4.23K</v>
      </c>
      <c r="G1916" s="4" t="str">
        <v>0.21%</v>
      </c>
      <c r="H1916" s="3">
        <v>42654</v>
      </c>
      <c r="I1916" s="4">
        <v>29675</v>
      </c>
    </row>
    <row r="1917" spans="1:9" x14ac:dyDescent="0.25">
      <c r="A1917" s="3">
        <v>42653</v>
      </c>
      <c r="B1917" s="4">
        <v>29658</v>
      </c>
      <c r="C1917" s="4">
        <v>29650</v>
      </c>
      <c r="D1917" s="4">
        <v>29798</v>
      </c>
      <c r="E1917" s="4">
        <v>29630</v>
      </c>
      <c r="F1917" s="4" t="str">
        <v>8.99K</v>
      </c>
      <c r="G1917" s="4" t="str">
        <v>0.27%</v>
      </c>
      <c r="H1917" s="3">
        <v>42653</v>
      </c>
      <c r="I1917" s="4">
        <v>29714</v>
      </c>
    </row>
    <row r="1918" spans="1:9" x14ac:dyDescent="0.25">
      <c r="A1918" s="3">
        <v>42650</v>
      </c>
      <c r="B1918" s="4">
        <v>29578</v>
      </c>
      <c r="C1918" s="4">
        <v>29600</v>
      </c>
      <c r="D1918" s="4">
        <v>29860</v>
      </c>
      <c r="E1918" s="4">
        <v>29300</v>
      </c>
      <c r="F1918" s="4" t="str">
        <v>19.36K</v>
      </c>
      <c r="G1918" s="4" t="str">
        <v>0.01%</v>
      </c>
      <c r="H1918" s="3">
        <v>42650</v>
      </c>
      <c r="I1918" s="4">
        <v>29580</v>
      </c>
    </row>
    <row r="1919" spans="1:9" x14ac:dyDescent="0.25">
      <c r="A1919" s="3">
        <v>42649</v>
      </c>
      <c r="B1919" s="4">
        <v>29575</v>
      </c>
      <c r="C1919" s="4">
        <v>29835</v>
      </c>
      <c r="D1919" s="4">
        <v>29949</v>
      </c>
      <c r="E1919" s="4">
        <v>29550</v>
      </c>
      <c r="F1919" s="4" t="str">
        <v>13.03K</v>
      </c>
      <c r="G1919" s="4" t="str">
        <v>-0.99%</v>
      </c>
      <c r="H1919" s="3">
        <v>42649</v>
      </c>
      <c r="I1919" s="4">
        <v>29749.5</v>
      </c>
    </row>
    <row r="1920" spans="1:9" x14ac:dyDescent="0.25">
      <c r="A1920" s="3">
        <v>42648</v>
      </c>
      <c r="B1920" s="4">
        <v>29870</v>
      </c>
      <c r="C1920" s="4">
        <v>30036</v>
      </c>
      <c r="D1920" s="4">
        <v>30036</v>
      </c>
      <c r="E1920" s="4">
        <v>29786</v>
      </c>
      <c r="F1920" s="4" t="str">
        <v>0.07K</v>
      </c>
      <c r="G1920" s="4" t="str">
        <v>-0.40%</v>
      </c>
      <c r="H1920" s="3">
        <v>42648</v>
      </c>
      <c r="I1920" s="4">
        <v>29911</v>
      </c>
    </row>
    <row r="1921" spans="1:9" x14ac:dyDescent="0.25">
      <c r="A1921" s="3">
        <v>42647</v>
      </c>
      <c r="B1921" s="4">
        <v>29991</v>
      </c>
      <c r="C1921" s="4">
        <v>30645</v>
      </c>
      <c r="D1921" s="4">
        <v>30714</v>
      </c>
      <c r="E1921" s="4">
        <v>29885</v>
      </c>
      <c r="F1921" s="4" t="str">
        <v>0.34K</v>
      </c>
      <c r="G1921" s="4" t="str">
        <v>-1.92%</v>
      </c>
      <c r="H1921" s="3">
        <v>42647</v>
      </c>
      <c r="I1921" s="4">
        <v>30299.5</v>
      </c>
    </row>
    <row r="1922" spans="1:9" x14ac:dyDescent="0.25">
      <c r="A1922" s="3">
        <v>42646</v>
      </c>
      <c r="B1922" s="4">
        <v>30579</v>
      </c>
      <c r="C1922" s="4">
        <v>30732</v>
      </c>
      <c r="D1922" s="4">
        <v>30828</v>
      </c>
      <c r="E1922" s="4">
        <v>30552</v>
      </c>
      <c r="F1922" s="4" t="str">
        <v>1.04K</v>
      </c>
      <c r="G1922" s="4" t="str">
        <v>-0.53%</v>
      </c>
      <c r="H1922" s="3">
        <v>42646</v>
      </c>
      <c r="I1922" s="4">
        <v>30690</v>
      </c>
    </row>
    <row r="1923" spans="1:9" x14ac:dyDescent="0.25">
      <c r="A1923" s="3">
        <v>42643</v>
      </c>
      <c r="B1923" s="4">
        <v>30742</v>
      </c>
      <c r="C1923" s="4">
        <v>31100</v>
      </c>
      <c r="D1923" s="4">
        <v>31240</v>
      </c>
      <c r="E1923" s="4">
        <v>30670</v>
      </c>
      <c r="F1923" s="4" t="str">
        <v>10.25K</v>
      </c>
      <c r="G1923" s="4" t="str">
        <v>-1.36%</v>
      </c>
      <c r="H1923" s="3">
        <v>42643</v>
      </c>
      <c r="I1923" s="4">
        <v>30955</v>
      </c>
    </row>
    <row r="1924" spans="1:9" x14ac:dyDescent="0.25">
      <c r="A1924" s="3">
        <v>42642</v>
      </c>
      <c r="B1924" s="4">
        <v>31165</v>
      </c>
      <c r="C1924" s="4">
        <v>30990</v>
      </c>
      <c r="D1924" s="4">
        <v>31194</v>
      </c>
      <c r="E1924" s="4">
        <v>30975</v>
      </c>
      <c r="F1924" s="4" t="str">
        <v>12.25K</v>
      </c>
      <c r="G1924" s="4" t="str">
        <v>0.68%</v>
      </c>
      <c r="H1924" s="3">
        <v>42642</v>
      </c>
      <c r="I1924" s="4">
        <v>31084.5</v>
      </c>
    </row>
    <row r="1925" spans="1:9" x14ac:dyDescent="0.25">
      <c r="A1925" s="3">
        <v>42641</v>
      </c>
      <c r="B1925" s="4">
        <v>30955</v>
      </c>
      <c r="C1925" s="4">
        <v>30980</v>
      </c>
      <c r="D1925" s="4">
        <v>31039</v>
      </c>
      <c r="E1925" s="4">
        <v>30866</v>
      </c>
      <c r="F1925" s="4" t="str">
        <v>10.46K</v>
      </c>
      <c r="G1925" s="4" t="str">
        <v>-0.07%</v>
      </c>
      <c r="H1925" s="3">
        <v>42641</v>
      </c>
      <c r="I1925" s="4">
        <v>30952.5</v>
      </c>
    </row>
    <row r="1926" spans="1:9" x14ac:dyDescent="0.25">
      <c r="A1926" s="3">
        <v>42640</v>
      </c>
      <c r="B1926" s="4">
        <v>30978</v>
      </c>
      <c r="C1926" s="4">
        <v>31271</v>
      </c>
      <c r="D1926" s="4">
        <v>31271</v>
      </c>
      <c r="E1926" s="4">
        <v>30962</v>
      </c>
      <c r="F1926" s="4" t="str">
        <v>14.03K</v>
      </c>
      <c r="G1926" s="4" t="str">
        <v>-1.12%</v>
      </c>
      <c r="H1926" s="3">
        <v>42640</v>
      </c>
      <c r="I1926" s="4">
        <v>31116.5</v>
      </c>
    </row>
    <row r="1927" spans="1:9" x14ac:dyDescent="0.25">
      <c r="A1927" s="3">
        <v>42639</v>
      </c>
      <c r="B1927" s="4">
        <v>31328</v>
      </c>
      <c r="C1927" s="4">
        <v>31236</v>
      </c>
      <c r="D1927" s="4">
        <v>31350</v>
      </c>
      <c r="E1927" s="4">
        <v>31211</v>
      </c>
      <c r="F1927" s="4" t="str">
        <v>8.32K</v>
      </c>
      <c r="G1927" s="4" t="str">
        <v>0.15%</v>
      </c>
      <c r="H1927" s="3">
        <v>42639</v>
      </c>
      <c r="I1927" s="4">
        <v>31280.5</v>
      </c>
    </row>
    <row r="1928" spans="1:9" x14ac:dyDescent="0.25">
      <c r="A1928" s="3">
        <v>42636</v>
      </c>
      <c r="B1928" s="4">
        <v>31281</v>
      </c>
      <c r="C1928" s="4">
        <v>31242</v>
      </c>
      <c r="D1928" s="4">
        <v>31350</v>
      </c>
      <c r="E1928" s="4">
        <v>31205</v>
      </c>
      <c r="F1928" s="4" t="str">
        <v>9.68K</v>
      </c>
      <c r="G1928" s="4" t="str">
        <v>-0.16%</v>
      </c>
      <c r="H1928" s="3">
        <v>42636</v>
      </c>
      <c r="I1928" s="4">
        <v>31277.5</v>
      </c>
    </row>
    <row r="1929" spans="1:9" x14ac:dyDescent="0.25">
      <c r="A1929" s="3">
        <v>42635</v>
      </c>
      <c r="B1929" s="4">
        <v>31332</v>
      </c>
      <c r="C1929" s="4">
        <v>31250</v>
      </c>
      <c r="D1929" s="4">
        <v>31380</v>
      </c>
      <c r="E1929" s="4">
        <v>31157</v>
      </c>
      <c r="F1929" s="4" t="str">
        <v>14.21K</v>
      </c>
      <c r="G1929" s="4" t="str">
        <v>0.41%</v>
      </c>
      <c r="H1929" s="3">
        <v>42635</v>
      </c>
      <c r="I1929" s="4">
        <v>31268.5</v>
      </c>
    </row>
    <row r="1930" spans="1:9" x14ac:dyDescent="0.25">
      <c r="A1930" s="3">
        <v>42634</v>
      </c>
      <c r="B1930" s="4">
        <v>31205</v>
      </c>
      <c r="C1930" s="4">
        <v>30975</v>
      </c>
      <c r="D1930" s="4">
        <v>31238</v>
      </c>
      <c r="E1930" s="4">
        <v>30841</v>
      </c>
      <c r="F1930" s="4" t="str">
        <v>13.20K</v>
      </c>
      <c r="G1930" s="4" t="str">
        <v>0.91%</v>
      </c>
      <c r="H1930" s="3">
        <v>42634</v>
      </c>
      <c r="I1930" s="4">
        <v>31039.5</v>
      </c>
    </row>
    <row r="1931" spans="1:9" x14ac:dyDescent="0.25">
      <c r="A1931" s="3">
        <v>42633</v>
      </c>
      <c r="B1931" s="4">
        <v>30924</v>
      </c>
      <c r="C1931" s="4">
        <v>30950</v>
      </c>
      <c r="D1931" s="4">
        <v>31050</v>
      </c>
      <c r="E1931" s="4">
        <v>30876</v>
      </c>
      <c r="F1931" s="4" t="str">
        <v>10.48K</v>
      </c>
      <c r="G1931" s="4" t="str">
        <v>0.07%</v>
      </c>
      <c r="H1931" s="3">
        <v>42633</v>
      </c>
      <c r="I1931" s="4">
        <v>30963</v>
      </c>
    </row>
    <row r="1932" spans="1:9" x14ac:dyDescent="0.25">
      <c r="A1932" s="3">
        <v>42632</v>
      </c>
      <c r="B1932" s="4">
        <v>30903</v>
      </c>
      <c r="C1932" s="4">
        <v>30932</v>
      </c>
      <c r="D1932" s="4">
        <v>30980</v>
      </c>
      <c r="E1932" s="4">
        <v>30880</v>
      </c>
      <c r="F1932" s="4" t="str">
        <v>9.72K</v>
      </c>
      <c r="G1932" s="4" t="str">
        <v>0.29%</v>
      </c>
      <c r="H1932" s="3">
        <v>42632</v>
      </c>
      <c r="I1932" s="4">
        <v>30930</v>
      </c>
    </row>
    <row r="1933" spans="1:9" x14ac:dyDescent="0.25">
      <c r="A1933" s="3">
        <v>42629</v>
      </c>
      <c r="B1933" s="4">
        <v>30813</v>
      </c>
      <c r="C1933" s="4">
        <v>30875</v>
      </c>
      <c r="D1933" s="4">
        <v>30934</v>
      </c>
      <c r="E1933" s="4">
        <v>30800</v>
      </c>
      <c r="F1933" s="4" t="str">
        <v>9.84K</v>
      </c>
      <c r="G1933" s="4" t="str">
        <v>-0.31%</v>
      </c>
      <c r="H1933" s="3">
        <v>42629</v>
      </c>
      <c r="I1933" s="4">
        <v>30867</v>
      </c>
    </row>
    <row r="1934" spans="1:9" x14ac:dyDescent="0.25">
      <c r="A1934" s="3">
        <v>42628</v>
      </c>
      <c r="B1934" s="4">
        <v>30910</v>
      </c>
      <c r="C1934" s="4">
        <v>31058</v>
      </c>
      <c r="D1934" s="4">
        <v>31178</v>
      </c>
      <c r="E1934" s="4">
        <v>30792</v>
      </c>
      <c r="F1934" s="4" t="str">
        <v>13.91K</v>
      </c>
      <c r="G1934" s="4" t="str">
        <v>-0.41%</v>
      </c>
      <c r="H1934" s="3">
        <v>42628</v>
      </c>
      <c r="I1934" s="4">
        <v>30985</v>
      </c>
    </row>
    <row r="1935" spans="1:9" x14ac:dyDescent="0.25">
      <c r="A1935" s="3">
        <v>42627</v>
      </c>
      <c r="B1935" s="4">
        <v>31038</v>
      </c>
      <c r="C1935" s="4">
        <v>31030</v>
      </c>
      <c r="D1935" s="4">
        <v>31116</v>
      </c>
      <c r="E1935" s="4">
        <v>31003</v>
      </c>
      <c r="F1935" s="4" t="str">
        <v>10.05K</v>
      </c>
      <c r="G1935" s="4" t="str">
        <v>-0.14%</v>
      </c>
      <c r="H1935" s="3">
        <v>42627</v>
      </c>
      <c r="I1935" s="4">
        <v>31059.5</v>
      </c>
    </row>
    <row r="1936" spans="1:9" x14ac:dyDescent="0.25">
      <c r="A1936" s="3">
        <v>42626</v>
      </c>
      <c r="B1936" s="4">
        <v>31081</v>
      </c>
      <c r="C1936" s="4">
        <v>31041</v>
      </c>
      <c r="D1936" s="4">
        <v>31179</v>
      </c>
      <c r="E1936" s="4">
        <v>31017</v>
      </c>
      <c r="F1936" s="4" t="str">
        <v>7.68K</v>
      </c>
      <c r="G1936" s="4" t="str">
        <v>0.20%</v>
      </c>
      <c r="H1936" s="3">
        <v>42626</v>
      </c>
      <c r="I1936" s="4">
        <v>31098</v>
      </c>
    </row>
    <row r="1937" spans="1:9" x14ac:dyDescent="0.25">
      <c r="A1937" s="3">
        <v>42625</v>
      </c>
      <c r="B1937" s="4">
        <v>31019</v>
      </c>
      <c r="C1937" s="4">
        <v>31150</v>
      </c>
      <c r="D1937" s="4">
        <v>31206</v>
      </c>
      <c r="E1937" s="4">
        <v>30951</v>
      </c>
      <c r="F1937" s="4" t="str">
        <v>12.82K</v>
      </c>
      <c r="G1937" s="4" t="str">
        <v>-0.63%</v>
      </c>
      <c r="H1937" s="3">
        <v>42625</v>
      </c>
      <c r="I1937" s="4">
        <v>31078.5</v>
      </c>
    </row>
    <row r="1938" spans="1:9" x14ac:dyDescent="0.25">
      <c r="A1938" s="3">
        <v>42622</v>
      </c>
      <c r="B1938" s="4">
        <v>31217</v>
      </c>
      <c r="C1938" s="4">
        <v>31245</v>
      </c>
      <c r="D1938" s="4">
        <v>31296</v>
      </c>
      <c r="E1938" s="4">
        <v>31130</v>
      </c>
      <c r="F1938" s="4" t="str">
        <v>9.97K</v>
      </c>
      <c r="G1938" s="4" t="str">
        <v>0.04%</v>
      </c>
      <c r="H1938" s="3">
        <v>42622</v>
      </c>
      <c r="I1938" s="4">
        <v>31213</v>
      </c>
    </row>
    <row r="1939" spans="1:9" x14ac:dyDescent="0.25">
      <c r="A1939" s="3">
        <v>42621</v>
      </c>
      <c r="B1939" s="4">
        <v>31203</v>
      </c>
      <c r="C1939" s="4">
        <v>31350</v>
      </c>
      <c r="D1939" s="4">
        <v>31380</v>
      </c>
      <c r="E1939" s="4">
        <v>31153</v>
      </c>
      <c r="F1939" s="4" t="str">
        <v>10.84K</v>
      </c>
      <c r="G1939" s="4" t="str">
        <v>-0.33%</v>
      </c>
      <c r="H1939" s="3">
        <v>42621</v>
      </c>
      <c r="I1939" s="4">
        <v>31266.5</v>
      </c>
    </row>
    <row r="1940" spans="1:9" x14ac:dyDescent="0.25">
      <c r="A1940" s="3">
        <v>42620</v>
      </c>
      <c r="B1940" s="4">
        <v>31305</v>
      </c>
      <c r="C1940" s="4">
        <v>31440</v>
      </c>
      <c r="D1940" s="4">
        <v>31466</v>
      </c>
      <c r="E1940" s="4">
        <v>31250</v>
      </c>
      <c r="F1940" s="4" t="str">
        <v>11.17K</v>
      </c>
      <c r="G1940" s="4" t="str">
        <v>-0.23%</v>
      </c>
      <c r="H1940" s="3">
        <v>42620</v>
      </c>
      <c r="I1940" s="4">
        <v>31358</v>
      </c>
    </row>
    <row r="1941" spans="1:9" x14ac:dyDescent="0.25">
      <c r="A1941" s="3">
        <v>42619</v>
      </c>
      <c r="B1941" s="4">
        <v>31378</v>
      </c>
      <c r="C1941" s="4">
        <v>30995</v>
      </c>
      <c r="D1941" s="4">
        <v>31410</v>
      </c>
      <c r="E1941" s="4">
        <v>30927</v>
      </c>
      <c r="F1941" s="4" t="str">
        <v>13.33K</v>
      </c>
      <c r="G1941" s="4" t="str">
        <v>1.27%</v>
      </c>
      <c r="H1941" s="3">
        <v>42619</v>
      </c>
      <c r="I1941" s="4">
        <v>31168.5</v>
      </c>
    </row>
    <row r="1942" spans="1:9" x14ac:dyDescent="0.25">
      <c r="A1942" s="3">
        <v>42618</v>
      </c>
      <c r="B1942" s="4">
        <v>30985</v>
      </c>
      <c r="C1942" s="4">
        <v>30930</v>
      </c>
      <c r="D1942" s="4">
        <v>31019</v>
      </c>
      <c r="E1942" s="4">
        <v>30922</v>
      </c>
      <c r="F1942" s="4" t="str">
        <v>1.96K</v>
      </c>
      <c r="G1942" s="4" t="str">
        <v>0.21%</v>
      </c>
      <c r="H1942" s="3">
        <v>42618</v>
      </c>
      <c r="I1942" s="4">
        <v>30970.5</v>
      </c>
    </row>
    <row r="1943" spans="1:9" x14ac:dyDescent="0.25">
      <c r="A1943" s="3">
        <v>42615</v>
      </c>
      <c r="B1943" s="4">
        <v>30920</v>
      </c>
      <c r="C1943" s="4">
        <v>30919</v>
      </c>
      <c r="D1943" s="4">
        <v>31065</v>
      </c>
      <c r="E1943" s="4">
        <v>30560</v>
      </c>
      <c r="F1943" s="4" t="str">
        <v>18.98K</v>
      </c>
      <c r="G1943" s="4" t="str">
        <v>0.48%</v>
      </c>
      <c r="H1943" s="3">
        <v>42615</v>
      </c>
      <c r="I1943" s="4">
        <v>30812.5</v>
      </c>
    </row>
    <row r="1944" spans="1:9" x14ac:dyDescent="0.25">
      <c r="A1944" s="3">
        <v>42614</v>
      </c>
      <c r="B1944" s="4">
        <v>30772</v>
      </c>
      <c r="C1944" s="4">
        <v>30750</v>
      </c>
      <c r="D1944" s="4">
        <v>30869</v>
      </c>
      <c r="E1944" s="4">
        <v>30610</v>
      </c>
      <c r="F1944" s="4" t="str">
        <v>13.28K</v>
      </c>
      <c r="G1944" s="4" t="str">
        <v>0.16%</v>
      </c>
      <c r="H1944" s="3">
        <v>42614</v>
      </c>
      <c r="I1944" s="4">
        <v>30739.5</v>
      </c>
    </row>
    <row r="1945" spans="1:9" x14ac:dyDescent="0.25">
      <c r="A1945" s="3">
        <v>42613</v>
      </c>
      <c r="B1945" s="4">
        <v>30724</v>
      </c>
      <c r="C1945" s="4">
        <v>30840</v>
      </c>
      <c r="D1945" s="4">
        <v>30884</v>
      </c>
      <c r="E1945" s="4">
        <v>30670</v>
      </c>
      <c r="F1945" s="4" t="str">
        <v>12.82K</v>
      </c>
      <c r="G1945" s="4" t="str">
        <v>-0.31%</v>
      </c>
      <c r="H1945" s="3">
        <v>42613</v>
      </c>
      <c r="I1945" s="4">
        <v>30777</v>
      </c>
    </row>
    <row r="1946" spans="1:9" x14ac:dyDescent="0.25">
      <c r="A1946" s="3">
        <v>42612</v>
      </c>
      <c r="B1946" s="4">
        <v>30821</v>
      </c>
      <c r="C1946" s="4">
        <v>31045</v>
      </c>
      <c r="D1946" s="4">
        <v>31049</v>
      </c>
      <c r="E1946" s="4">
        <v>30805</v>
      </c>
      <c r="F1946" s="4" t="str">
        <v>15.47K</v>
      </c>
      <c r="G1946" s="4" t="str">
        <v>-0.82%</v>
      </c>
      <c r="H1946" s="3">
        <v>42612</v>
      </c>
      <c r="I1946" s="4">
        <v>30927</v>
      </c>
    </row>
    <row r="1947" spans="1:9" x14ac:dyDescent="0.25">
      <c r="A1947" s="3">
        <v>42611</v>
      </c>
      <c r="B1947" s="4">
        <v>31075</v>
      </c>
      <c r="C1947" s="4">
        <v>30940</v>
      </c>
      <c r="D1947" s="4">
        <v>31093</v>
      </c>
      <c r="E1947" s="4">
        <v>30879</v>
      </c>
      <c r="F1947" s="4" t="str">
        <v>9.58K</v>
      </c>
      <c r="G1947" s="4" t="str">
        <v>0.27%</v>
      </c>
      <c r="H1947" s="3">
        <v>42611</v>
      </c>
      <c r="I1947" s="4">
        <v>30986</v>
      </c>
    </row>
    <row r="1948" spans="1:9" x14ac:dyDescent="0.25">
      <c r="A1948" s="3">
        <v>42608</v>
      </c>
      <c r="B1948" s="4">
        <v>30990</v>
      </c>
      <c r="C1948" s="4">
        <v>30910</v>
      </c>
      <c r="D1948" s="4">
        <v>31320</v>
      </c>
      <c r="E1948" s="4">
        <v>30891</v>
      </c>
      <c r="F1948" s="4" t="str">
        <v>17.86K</v>
      </c>
      <c r="G1948" s="4" t="str">
        <v>0.20%</v>
      </c>
      <c r="H1948" s="3">
        <v>42608</v>
      </c>
      <c r="I1948" s="4">
        <v>31105.5</v>
      </c>
    </row>
    <row r="1949" spans="1:9" x14ac:dyDescent="0.25">
      <c r="A1949" s="3">
        <v>42607</v>
      </c>
      <c r="B1949" s="4">
        <v>30928</v>
      </c>
      <c r="C1949" s="4">
        <v>31029</v>
      </c>
      <c r="D1949" s="4">
        <v>31054</v>
      </c>
      <c r="E1949" s="4">
        <v>30851</v>
      </c>
      <c r="F1949" s="4" t="str">
        <v>11.48K</v>
      </c>
      <c r="G1949" s="4" t="str">
        <v>-0.38%</v>
      </c>
      <c r="H1949" s="3">
        <v>42607</v>
      </c>
      <c r="I1949" s="4">
        <v>30952.5</v>
      </c>
    </row>
    <row r="1950" spans="1:9" x14ac:dyDescent="0.25">
      <c r="A1950" s="3">
        <v>42606</v>
      </c>
      <c r="B1950" s="4">
        <v>31046</v>
      </c>
      <c r="C1950" s="4">
        <v>31290</v>
      </c>
      <c r="D1950" s="4">
        <v>31357</v>
      </c>
      <c r="E1950" s="4">
        <v>31027</v>
      </c>
      <c r="F1950" s="4" t="str">
        <v>15.87K</v>
      </c>
      <c r="G1950" s="4" t="str">
        <v>-1.03%</v>
      </c>
      <c r="H1950" s="3">
        <v>42606</v>
      </c>
      <c r="I1950" s="4">
        <v>31192</v>
      </c>
    </row>
    <row r="1951" spans="1:9" x14ac:dyDescent="0.25">
      <c r="A1951" s="3">
        <v>42605</v>
      </c>
      <c r="B1951" s="4">
        <v>31370</v>
      </c>
      <c r="C1951" s="4">
        <v>31300</v>
      </c>
      <c r="D1951" s="4">
        <v>31415</v>
      </c>
      <c r="E1951" s="4">
        <v>31263</v>
      </c>
      <c r="F1951" s="4" t="str">
        <v>13.29K</v>
      </c>
      <c r="G1951" s="4" t="str">
        <v>-0.03%</v>
      </c>
      <c r="H1951" s="3">
        <v>42605</v>
      </c>
      <c r="I1951" s="4">
        <v>31339</v>
      </c>
    </row>
    <row r="1952" spans="1:9" x14ac:dyDescent="0.25">
      <c r="A1952" s="3">
        <v>42604</v>
      </c>
      <c r="B1952" s="4">
        <v>31379</v>
      </c>
      <c r="C1952" s="4">
        <v>31325</v>
      </c>
      <c r="D1952" s="4">
        <v>31395</v>
      </c>
      <c r="E1952" s="4">
        <v>31204</v>
      </c>
      <c r="F1952" s="4" t="str">
        <v>12.48K</v>
      </c>
      <c r="G1952" s="4" t="str">
        <v>-0.08%</v>
      </c>
      <c r="H1952" s="3">
        <v>42604</v>
      </c>
      <c r="I1952" s="4">
        <v>31299.5</v>
      </c>
    </row>
    <row r="1953" spans="1:9" x14ac:dyDescent="0.25">
      <c r="A1953" s="3">
        <v>42601</v>
      </c>
      <c r="B1953" s="4">
        <v>31404</v>
      </c>
      <c r="C1953" s="4">
        <v>31411</v>
      </c>
      <c r="D1953" s="4">
        <v>31492</v>
      </c>
      <c r="E1953" s="4">
        <v>31300</v>
      </c>
      <c r="F1953" s="4" t="str">
        <v>15.36K</v>
      </c>
      <c r="G1953" s="4" t="str">
        <v>-0.24%</v>
      </c>
      <c r="H1953" s="3">
        <v>42601</v>
      </c>
      <c r="I1953" s="4">
        <v>31396</v>
      </c>
    </row>
    <row r="1954" spans="1:9" x14ac:dyDescent="0.25">
      <c r="A1954" s="3">
        <v>42600</v>
      </c>
      <c r="B1954" s="4">
        <v>31478</v>
      </c>
      <c r="C1954" s="4">
        <v>31399</v>
      </c>
      <c r="D1954" s="4">
        <v>31518</v>
      </c>
      <c r="E1954" s="4">
        <v>31355</v>
      </c>
      <c r="F1954" s="4" t="str">
        <v>11.44K</v>
      </c>
      <c r="G1954" s="4" t="str">
        <v>0.35%</v>
      </c>
      <c r="H1954" s="3">
        <v>42600</v>
      </c>
      <c r="I1954" s="4">
        <v>31436.5</v>
      </c>
    </row>
    <row r="1955" spans="1:9" x14ac:dyDescent="0.25">
      <c r="A1955" s="3">
        <v>42599</v>
      </c>
      <c r="B1955" s="4">
        <v>31368</v>
      </c>
      <c r="C1955" s="4">
        <v>31360</v>
      </c>
      <c r="D1955" s="4">
        <v>31415</v>
      </c>
      <c r="E1955" s="4">
        <v>31300</v>
      </c>
      <c r="F1955" s="4" t="str">
        <v>10.60K</v>
      </c>
      <c r="G1955" s="4" t="str">
        <v>-0.31%</v>
      </c>
      <c r="H1955" s="3">
        <v>42599</v>
      </c>
      <c r="I1955" s="4">
        <v>31357.5</v>
      </c>
    </row>
    <row r="1956" spans="1:9" x14ac:dyDescent="0.25">
      <c r="A1956" s="3">
        <v>42598</v>
      </c>
      <c r="B1956" s="4">
        <v>31467</v>
      </c>
      <c r="C1956" s="4">
        <v>31250</v>
      </c>
      <c r="D1956" s="4">
        <v>31568</v>
      </c>
      <c r="E1956" s="4">
        <v>31250</v>
      </c>
      <c r="F1956" s="4" t="str">
        <v>16.88K</v>
      </c>
      <c r="G1956" s="4" t="str">
        <v>0.79%</v>
      </c>
      <c r="H1956" s="3">
        <v>42598</v>
      </c>
      <c r="I1956" s="4">
        <v>31409</v>
      </c>
    </row>
    <row r="1957" spans="1:9" x14ac:dyDescent="0.25">
      <c r="A1957" s="3">
        <v>42594</v>
      </c>
      <c r="B1957" s="4">
        <v>31219</v>
      </c>
      <c r="C1957" s="4">
        <v>31250</v>
      </c>
      <c r="D1957" s="4">
        <v>31577</v>
      </c>
      <c r="E1957" s="4">
        <v>31131</v>
      </c>
      <c r="F1957" s="4" t="str">
        <v>19.28K</v>
      </c>
      <c r="G1957" s="4" t="str">
        <v>-0.34%</v>
      </c>
      <c r="H1957" s="3">
        <v>42594</v>
      </c>
      <c r="I1957" s="4">
        <v>31354</v>
      </c>
    </row>
    <row r="1958" spans="1:9" x14ac:dyDescent="0.25">
      <c r="A1958" s="3">
        <v>42593</v>
      </c>
      <c r="B1958" s="4">
        <v>31327</v>
      </c>
      <c r="C1958" s="4">
        <v>31350</v>
      </c>
      <c r="D1958" s="4">
        <v>31492</v>
      </c>
      <c r="E1958" s="4">
        <v>31262</v>
      </c>
      <c r="F1958" s="4" t="str">
        <v>14.37K</v>
      </c>
      <c r="G1958" s="4" t="str">
        <v>-0.21%</v>
      </c>
      <c r="H1958" s="3">
        <v>42593</v>
      </c>
      <c r="I1958" s="4">
        <v>31377</v>
      </c>
    </row>
    <row r="1959" spans="1:9" x14ac:dyDescent="0.25">
      <c r="A1959" s="3">
        <v>42592</v>
      </c>
      <c r="B1959" s="4">
        <v>31393</v>
      </c>
      <c r="C1959" s="4">
        <v>31324</v>
      </c>
      <c r="D1959" s="4">
        <v>31565</v>
      </c>
      <c r="E1959" s="4">
        <v>31280</v>
      </c>
      <c r="F1959" s="4" t="str">
        <v>14.35K</v>
      </c>
      <c r="G1959" s="4" t="str">
        <v>0.38%</v>
      </c>
      <c r="H1959" s="3">
        <v>42592</v>
      </c>
      <c r="I1959" s="4">
        <v>31422.5</v>
      </c>
    </row>
    <row r="1960" spans="1:9" x14ac:dyDescent="0.25">
      <c r="A1960" s="3">
        <v>42591</v>
      </c>
      <c r="B1960" s="4">
        <v>31273</v>
      </c>
      <c r="C1960" s="4">
        <v>31174</v>
      </c>
      <c r="D1960" s="4">
        <v>31297</v>
      </c>
      <c r="E1960" s="4">
        <v>31062</v>
      </c>
      <c r="F1960" s="4" t="str">
        <v>15.15K</v>
      </c>
      <c r="G1960" s="4" t="str">
        <v>0.31%</v>
      </c>
      <c r="H1960" s="3">
        <v>42591</v>
      </c>
      <c r="I1960" s="4">
        <v>31179.5</v>
      </c>
    </row>
    <row r="1961" spans="1:9" x14ac:dyDescent="0.25">
      <c r="A1961" s="3">
        <v>42590</v>
      </c>
      <c r="B1961" s="4">
        <v>31176</v>
      </c>
      <c r="C1961" s="4">
        <v>31202</v>
      </c>
      <c r="D1961" s="4">
        <v>31215</v>
      </c>
      <c r="E1961" s="4">
        <v>31020</v>
      </c>
      <c r="F1961" s="4" t="str">
        <v>11.02K</v>
      </c>
      <c r="G1961" s="4" t="str">
        <v>0.41%</v>
      </c>
      <c r="H1961" s="3">
        <v>42590</v>
      </c>
      <c r="I1961" s="4">
        <v>31117.5</v>
      </c>
    </row>
    <row r="1962" spans="1:9" x14ac:dyDescent="0.25">
      <c r="A1962" s="3">
        <v>42587</v>
      </c>
      <c r="B1962" s="4">
        <v>31050</v>
      </c>
      <c r="C1962" s="4">
        <v>31600</v>
      </c>
      <c r="D1962" s="4">
        <v>31670</v>
      </c>
      <c r="E1962" s="4">
        <v>30674</v>
      </c>
      <c r="F1962" s="4" t="str">
        <v>0.19K</v>
      </c>
      <c r="G1962" s="4" t="str">
        <v>-1.80%</v>
      </c>
      <c r="H1962" s="3">
        <v>42587</v>
      </c>
      <c r="I1962" s="4">
        <v>31172</v>
      </c>
    </row>
    <row r="1963" spans="1:9" x14ac:dyDescent="0.25">
      <c r="A1963" s="3">
        <v>42586</v>
      </c>
      <c r="B1963" s="4">
        <v>31620</v>
      </c>
      <c r="C1963" s="4">
        <v>31506</v>
      </c>
      <c r="D1963" s="4">
        <v>31675</v>
      </c>
      <c r="E1963" s="4">
        <v>31472</v>
      </c>
      <c r="F1963" s="4" t="str">
        <v>0.11K</v>
      </c>
      <c r="G1963" s="4" t="str">
        <v>0.04%</v>
      </c>
      <c r="H1963" s="3">
        <v>42586</v>
      </c>
      <c r="I1963" s="4">
        <v>31573.5</v>
      </c>
    </row>
    <row r="1964" spans="1:9" x14ac:dyDescent="0.25">
      <c r="A1964" s="3">
        <v>42585</v>
      </c>
      <c r="B1964" s="4">
        <v>31608</v>
      </c>
      <c r="C1964" s="4">
        <v>31809</v>
      </c>
      <c r="D1964" s="4">
        <v>31939</v>
      </c>
      <c r="E1964" s="4">
        <v>31592</v>
      </c>
      <c r="F1964" s="4" t="str">
        <v>0.16K</v>
      </c>
      <c r="G1964" s="4" t="str">
        <v>-0.53%</v>
      </c>
      <c r="H1964" s="3">
        <v>42585</v>
      </c>
      <c r="I1964" s="4">
        <v>31765.5</v>
      </c>
    </row>
    <row r="1965" spans="1:9" x14ac:dyDescent="0.25">
      <c r="A1965" s="3">
        <v>42584</v>
      </c>
      <c r="B1965" s="4">
        <v>31775</v>
      </c>
      <c r="C1965" s="4">
        <v>31496</v>
      </c>
      <c r="D1965" s="4">
        <v>31839</v>
      </c>
      <c r="E1965" s="4">
        <v>31448</v>
      </c>
      <c r="F1965" s="4" t="str">
        <v>0.36K</v>
      </c>
      <c r="G1965" s="4" t="str">
        <v>0.76%</v>
      </c>
      <c r="H1965" s="3">
        <v>42584</v>
      </c>
      <c r="I1965" s="4">
        <v>31643.5</v>
      </c>
    </row>
    <row r="1966" spans="1:9" x14ac:dyDescent="0.25">
      <c r="A1966" s="3">
        <v>42583</v>
      </c>
      <c r="B1966" s="4">
        <v>31534</v>
      </c>
      <c r="C1966" s="4">
        <v>31358</v>
      </c>
      <c r="D1966" s="4">
        <v>31550</v>
      </c>
      <c r="E1966" s="4">
        <v>31358</v>
      </c>
      <c r="F1966" s="4" t="str">
        <v>1.70K</v>
      </c>
      <c r="G1966" s="4" t="str">
        <v>-0.05%</v>
      </c>
      <c r="H1966" s="3">
        <v>42583</v>
      </c>
      <c r="I1966" s="4">
        <v>31454</v>
      </c>
    </row>
    <row r="1967" spans="1:9" x14ac:dyDescent="0.25">
      <c r="A1967" s="3">
        <v>42580</v>
      </c>
      <c r="B1967" s="4">
        <v>31549</v>
      </c>
      <c r="C1967" s="4">
        <v>31150</v>
      </c>
      <c r="D1967" s="4">
        <v>31598</v>
      </c>
      <c r="E1967" s="4">
        <v>31025</v>
      </c>
      <c r="F1967" s="4" t="str">
        <v>16.74K</v>
      </c>
      <c r="G1967" s="4" t="str">
        <v>1.67%</v>
      </c>
      <c r="H1967" s="3">
        <v>42580</v>
      </c>
      <c r="I1967" s="4">
        <v>31311.5</v>
      </c>
    </row>
    <row r="1968" spans="1:9" x14ac:dyDescent="0.25">
      <c r="A1968" s="3">
        <v>42579</v>
      </c>
      <c r="B1968" s="4">
        <v>31031</v>
      </c>
      <c r="C1968" s="4">
        <v>31149</v>
      </c>
      <c r="D1968" s="4">
        <v>31285</v>
      </c>
      <c r="E1968" s="4">
        <v>30955</v>
      </c>
      <c r="F1968" s="4" t="str">
        <v>16.24K</v>
      </c>
      <c r="G1968" s="4" t="str">
        <v>0.15%</v>
      </c>
      <c r="H1968" s="3">
        <v>42579</v>
      </c>
      <c r="I1968" s="4">
        <v>31120</v>
      </c>
    </row>
    <row r="1969" spans="1:9" x14ac:dyDescent="0.25">
      <c r="A1969" s="3">
        <v>42578</v>
      </c>
      <c r="B1969" s="4">
        <v>30986</v>
      </c>
      <c r="C1969" s="4">
        <v>30823</v>
      </c>
      <c r="D1969" s="4">
        <v>31019</v>
      </c>
      <c r="E1969" s="4">
        <v>30786</v>
      </c>
      <c r="F1969" s="4" t="str">
        <v>13.84K</v>
      </c>
      <c r="G1969" s="4" t="str">
        <v>0.24%</v>
      </c>
      <c r="H1969" s="3">
        <v>42578</v>
      </c>
      <c r="I1969" s="4">
        <v>30902.5</v>
      </c>
    </row>
    <row r="1970" spans="1:9" x14ac:dyDescent="0.25">
      <c r="A1970" s="3">
        <v>42577</v>
      </c>
      <c r="B1970" s="4">
        <v>30912</v>
      </c>
      <c r="C1970" s="4">
        <v>30873</v>
      </c>
      <c r="D1970" s="4">
        <v>30950</v>
      </c>
      <c r="E1970" s="4">
        <v>30784</v>
      </c>
      <c r="F1970" s="4" t="str">
        <v>15.45K</v>
      </c>
      <c r="G1970" s="4" t="str">
        <v>0.02%</v>
      </c>
      <c r="H1970" s="3">
        <v>42577</v>
      </c>
      <c r="I1970" s="4">
        <v>30867</v>
      </c>
    </row>
    <row r="1971" spans="1:9" x14ac:dyDescent="0.25">
      <c r="A1971" s="3">
        <v>42576</v>
      </c>
      <c r="B1971" s="4">
        <v>30907</v>
      </c>
      <c r="C1971" s="4">
        <v>30782</v>
      </c>
      <c r="D1971" s="4">
        <v>30930</v>
      </c>
      <c r="E1971" s="4">
        <v>30682</v>
      </c>
      <c r="F1971" s="4" t="str">
        <v>13.39K</v>
      </c>
      <c r="G1971" s="4" t="str">
        <v>0.12%</v>
      </c>
      <c r="H1971" s="3">
        <v>42576</v>
      </c>
      <c r="I1971" s="4">
        <v>30806</v>
      </c>
    </row>
    <row r="1972" spans="1:9" x14ac:dyDescent="0.25">
      <c r="A1972" s="3">
        <v>42573</v>
      </c>
      <c r="B1972" s="4">
        <v>30871</v>
      </c>
      <c r="C1972" s="4">
        <v>30952</v>
      </c>
      <c r="D1972" s="4">
        <v>30980</v>
      </c>
      <c r="E1972" s="4">
        <v>30780</v>
      </c>
      <c r="F1972" s="4" t="str">
        <v>12.72K</v>
      </c>
      <c r="G1972" s="4" t="str">
        <v>-0.43%</v>
      </c>
      <c r="H1972" s="3">
        <v>42573</v>
      </c>
      <c r="I1972" s="4">
        <v>30880</v>
      </c>
    </row>
    <row r="1973" spans="1:9" x14ac:dyDescent="0.25">
      <c r="A1973" s="3">
        <v>42572</v>
      </c>
      <c r="B1973" s="4">
        <v>31005</v>
      </c>
      <c r="C1973" s="4">
        <v>30680</v>
      </c>
      <c r="D1973" s="4">
        <v>31045</v>
      </c>
      <c r="E1973" s="4">
        <v>30669</v>
      </c>
      <c r="F1973" s="4" t="str">
        <v>18.27K</v>
      </c>
      <c r="G1973" s="4" t="str">
        <v>0.87%</v>
      </c>
      <c r="H1973" s="3">
        <v>42572</v>
      </c>
      <c r="I1973" s="4">
        <v>30857</v>
      </c>
    </row>
    <row r="1974" spans="1:9" x14ac:dyDescent="0.25">
      <c r="A1974" s="3">
        <v>42571</v>
      </c>
      <c r="B1974" s="4">
        <v>30737</v>
      </c>
      <c r="C1974" s="4">
        <v>31065</v>
      </c>
      <c r="D1974" s="4">
        <v>31093</v>
      </c>
      <c r="E1974" s="4">
        <v>30705</v>
      </c>
      <c r="F1974" s="4" t="str">
        <v>17.84K</v>
      </c>
      <c r="G1974" s="4" t="str">
        <v>-1.15%</v>
      </c>
      <c r="H1974" s="3">
        <v>42571</v>
      </c>
      <c r="I1974" s="4">
        <v>30899</v>
      </c>
    </row>
    <row r="1975" spans="1:9" x14ac:dyDescent="0.25">
      <c r="A1975" s="3">
        <v>42570</v>
      </c>
      <c r="B1975" s="4">
        <v>31094</v>
      </c>
      <c r="C1975" s="4">
        <v>31050</v>
      </c>
      <c r="D1975" s="4">
        <v>31114</v>
      </c>
      <c r="E1975" s="4">
        <v>30941</v>
      </c>
      <c r="F1975" s="4" t="str">
        <v>13.90K</v>
      </c>
      <c r="G1975" s="4" t="str">
        <v>0.25%</v>
      </c>
      <c r="H1975" s="3">
        <v>42570</v>
      </c>
      <c r="I1975" s="4">
        <v>31027.5</v>
      </c>
    </row>
    <row r="1976" spans="1:9" x14ac:dyDescent="0.25">
      <c r="A1976" s="3">
        <v>42569</v>
      </c>
      <c r="B1976" s="4">
        <v>31015</v>
      </c>
      <c r="C1976" s="4">
        <v>30901</v>
      </c>
      <c r="D1976" s="4">
        <v>31140</v>
      </c>
      <c r="E1976" s="4">
        <v>30881</v>
      </c>
      <c r="F1976" s="4" t="str">
        <v>15.80K</v>
      </c>
      <c r="G1976" s="4" t="str">
        <v>0.12%</v>
      </c>
      <c r="H1976" s="3">
        <v>42569</v>
      </c>
      <c r="I1976" s="4">
        <v>31010.5</v>
      </c>
    </row>
    <row r="1977" spans="1:9" x14ac:dyDescent="0.25">
      <c r="A1977" s="3">
        <v>42566</v>
      </c>
      <c r="B1977" s="4">
        <v>30977</v>
      </c>
      <c r="C1977" s="4">
        <v>30900</v>
      </c>
      <c r="D1977" s="4">
        <v>31100</v>
      </c>
      <c r="E1977" s="4">
        <v>30836</v>
      </c>
      <c r="F1977" s="4" t="str">
        <v>19.53K</v>
      </c>
      <c r="G1977" s="4" t="str">
        <v>0.09%</v>
      </c>
      <c r="H1977" s="3">
        <v>42566</v>
      </c>
      <c r="I1977" s="4">
        <v>30968</v>
      </c>
    </row>
    <row r="1978" spans="1:9" x14ac:dyDescent="0.25">
      <c r="A1978" s="3">
        <v>42565</v>
      </c>
      <c r="B1978" s="4">
        <v>30950</v>
      </c>
      <c r="C1978" s="4">
        <v>31150</v>
      </c>
      <c r="D1978" s="4">
        <v>31183</v>
      </c>
      <c r="E1978" s="4">
        <v>30726</v>
      </c>
      <c r="F1978" s="4" t="str">
        <v>23.09K</v>
      </c>
      <c r="G1978" s="4" t="str">
        <v>-1.04%</v>
      </c>
      <c r="H1978" s="3">
        <v>42565</v>
      </c>
      <c r="I1978" s="4">
        <v>30954.5</v>
      </c>
    </row>
    <row r="1979" spans="1:9" x14ac:dyDescent="0.25">
      <c r="A1979" s="3">
        <v>42564</v>
      </c>
      <c r="B1979" s="4">
        <v>31274</v>
      </c>
      <c r="C1979" s="4">
        <v>31100</v>
      </c>
      <c r="D1979" s="4">
        <v>31320</v>
      </c>
      <c r="E1979" s="4">
        <v>31100</v>
      </c>
      <c r="F1979" s="4" t="str">
        <v>13.54K</v>
      </c>
      <c r="G1979" s="4" t="str">
        <v>0.76%</v>
      </c>
      <c r="H1979" s="3">
        <v>42564</v>
      </c>
      <c r="I1979" s="4">
        <v>31210</v>
      </c>
    </row>
    <row r="1980" spans="1:9" x14ac:dyDescent="0.25">
      <c r="A1980" s="3">
        <v>42563</v>
      </c>
      <c r="B1980" s="4">
        <v>31039</v>
      </c>
      <c r="C1980" s="4">
        <v>31608</v>
      </c>
      <c r="D1980" s="4">
        <v>31608</v>
      </c>
      <c r="E1980" s="4">
        <v>30992</v>
      </c>
      <c r="F1980" s="4" t="str">
        <v>18.51K</v>
      </c>
      <c r="G1980" s="4" t="str">
        <v>-1.71%</v>
      </c>
      <c r="H1980" s="3">
        <v>42563</v>
      </c>
      <c r="I1980" s="4">
        <v>31300</v>
      </c>
    </row>
    <row r="1981" spans="1:9" x14ac:dyDescent="0.25">
      <c r="A1981" s="3">
        <v>42562</v>
      </c>
      <c r="B1981" s="4">
        <v>31578</v>
      </c>
      <c r="C1981" s="4">
        <v>31750</v>
      </c>
      <c r="D1981" s="4">
        <v>31888</v>
      </c>
      <c r="E1981" s="4">
        <v>31541</v>
      </c>
      <c r="F1981" s="4" t="str">
        <v>11.85K</v>
      </c>
      <c r="G1981" s="4" t="str">
        <v>-0.44%</v>
      </c>
      <c r="H1981" s="3">
        <v>42562</v>
      </c>
      <c r="I1981" s="4">
        <v>31714.5</v>
      </c>
    </row>
    <row r="1982" spans="1:9" x14ac:dyDescent="0.25">
      <c r="A1982" s="3">
        <v>42559</v>
      </c>
      <c r="B1982" s="4">
        <v>31719</v>
      </c>
      <c r="C1982" s="4">
        <v>31875</v>
      </c>
      <c r="D1982" s="4">
        <v>31895</v>
      </c>
      <c r="E1982" s="4">
        <v>31331</v>
      </c>
      <c r="F1982" s="4" t="str">
        <v>22.62K</v>
      </c>
      <c r="G1982" s="4" t="str">
        <v>-0.51%</v>
      </c>
      <c r="H1982" s="3">
        <v>42559</v>
      </c>
      <c r="I1982" s="4">
        <v>31613</v>
      </c>
    </row>
    <row r="1983" spans="1:9" x14ac:dyDescent="0.25">
      <c r="A1983" s="3">
        <v>42558</v>
      </c>
      <c r="B1983" s="4">
        <v>31881</v>
      </c>
      <c r="C1983" s="4">
        <v>32140</v>
      </c>
      <c r="D1983" s="4">
        <v>32175</v>
      </c>
      <c r="E1983" s="4">
        <v>31724</v>
      </c>
      <c r="F1983" s="4" t="str">
        <v>19.86K</v>
      </c>
      <c r="G1983" s="4" t="str">
        <v>-0.73%</v>
      </c>
      <c r="H1983" s="3">
        <v>42558</v>
      </c>
      <c r="I1983" s="4">
        <v>31949.5</v>
      </c>
    </row>
    <row r="1984" spans="1:9" x14ac:dyDescent="0.25">
      <c r="A1984" s="3">
        <v>42557</v>
      </c>
      <c r="B1984" s="4">
        <v>32116</v>
      </c>
      <c r="C1984" s="4">
        <v>32388</v>
      </c>
      <c r="D1984" s="4">
        <v>32455</v>
      </c>
      <c r="E1984" s="4">
        <v>32068</v>
      </c>
      <c r="F1984" s="4" t="str">
        <v>11.61K</v>
      </c>
      <c r="G1984" s="4" t="str">
        <v>0.51%</v>
      </c>
      <c r="H1984" s="3">
        <v>42557</v>
      </c>
      <c r="I1984" s="4">
        <v>32261.5</v>
      </c>
    </row>
    <row r="1985" spans="1:9" x14ac:dyDescent="0.25">
      <c r="A1985" s="3">
        <v>42556</v>
      </c>
      <c r="B1985" s="4">
        <v>31953</v>
      </c>
      <c r="C1985" s="4">
        <v>31704</v>
      </c>
      <c r="D1985" s="4">
        <v>31974</v>
      </c>
      <c r="E1985" s="4">
        <v>31610</v>
      </c>
      <c r="F1985" s="4" t="str">
        <v>20.95K</v>
      </c>
      <c r="G1985" s="4" t="str">
        <v>0.53%</v>
      </c>
      <c r="H1985" s="3">
        <v>42556</v>
      </c>
      <c r="I1985" s="4">
        <v>31792</v>
      </c>
    </row>
    <row r="1986" spans="1:9" x14ac:dyDescent="0.25">
      <c r="A1986" s="3">
        <v>42555</v>
      </c>
      <c r="B1986" s="4">
        <v>31783</v>
      </c>
      <c r="C1986" s="4">
        <v>31600</v>
      </c>
      <c r="D1986" s="4">
        <v>31850</v>
      </c>
      <c r="E1986" s="4">
        <v>31600</v>
      </c>
      <c r="F1986" s="4" t="str">
        <v>16.41K</v>
      </c>
      <c r="G1986" s="4" t="str">
        <v>1.02%</v>
      </c>
      <c r="H1986" s="3">
        <v>42555</v>
      </c>
      <c r="I1986" s="4">
        <v>31725</v>
      </c>
    </row>
    <row r="1987" spans="1:9" x14ac:dyDescent="0.25">
      <c r="A1987" s="3">
        <v>42552</v>
      </c>
      <c r="B1987" s="4">
        <v>31463</v>
      </c>
      <c r="C1987" s="4">
        <v>31250</v>
      </c>
      <c r="D1987" s="4">
        <v>31585</v>
      </c>
      <c r="E1987" s="4">
        <v>31250</v>
      </c>
      <c r="F1987" s="4" t="str">
        <v>17.55K</v>
      </c>
      <c r="G1987" s="4" t="str">
        <v>0.85%</v>
      </c>
      <c r="H1987" s="3">
        <v>42552</v>
      </c>
      <c r="I1987" s="4">
        <v>31417.5</v>
      </c>
    </row>
    <row r="1988" spans="1:9" x14ac:dyDescent="0.25">
      <c r="A1988" s="3">
        <v>42551</v>
      </c>
      <c r="B1988" s="4">
        <v>31199</v>
      </c>
      <c r="C1988" s="4">
        <v>31220</v>
      </c>
      <c r="D1988" s="4">
        <v>31290</v>
      </c>
      <c r="E1988" s="4">
        <v>31131</v>
      </c>
      <c r="F1988" s="4" t="str">
        <v>17.85K</v>
      </c>
      <c r="G1988" s="4" t="str">
        <v>-0.37%</v>
      </c>
      <c r="H1988" s="3">
        <v>42551</v>
      </c>
      <c r="I1988" s="4">
        <v>31210.5</v>
      </c>
    </row>
    <row r="1989" spans="1:9" x14ac:dyDescent="0.25">
      <c r="A1989" s="3">
        <v>42550</v>
      </c>
      <c r="B1989" s="4">
        <v>31315</v>
      </c>
      <c r="C1989" s="4">
        <v>31350</v>
      </c>
      <c r="D1989" s="4">
        <v>31459</v>
      </c>
      <c r="E1989" s="4">
        <v>31253</v>
      </c>
      <c r="F1989" s="4" t="str">
        <v>19.31K</v>
      </c>
      <c r="G1989" s="4" t="str">
        <v>0.00%</v>
      </c>
      <c r="H1989" s="3">
        <v>42550</v>
      </c>
      <c r="I1989" s="4">
        <v>31356</v>
      </c>
    </row>
    <row r="1990" spans="1:9" x14ac:dyDescent="0.25">
      <c r="A1990" s="3">
        <v>42549</v>
      </c>
      <c r="B1990" s="4">
        <v>31315</v>
      </c>
      <c r="C1990" s="4">
        <v>31450</v>
      </c>
      <c r="D1990" s="4">
        <v>31450</v>
      </c>
      <c r="E1990" s="4">
        <v>31161</v>
      </c>
      <c r="F1990" s="4" t="str">
        <v>22.13K</v>
      </c>
      <c r="G1990" s="4" t="str">
        <v>-0.74%</v>
      </c>
      <c r="H1990" s="3">
        <v>42549</v>
      </c>
      <c r="I1990" s="4">
        <v>31305.5</v>
      </c>
    </row>
    <row r="1991" spans="1:9" x14ac:dyDescent="0.25">
      <c r="A1991" s="3">
        <v>42548</v>
      </c>
      <c r="B1991" s="4">
        <v>31548</v>
      </c>
      <c r="C1991" s="4">
        <v>31450</v>
      </c>
      <c r="D1991" s="4">
        <v>31740</v>
      </c>
      <c r="E1991" s="4">
        <v>31434</v>
      </c>
      <c r="F1991" s="4" t="str">
        <v>21.50K</v>
      </c>
      <c r="G1991" s="4" t="str">
        <v>0.47%</v>
      </c>
      <c r="H1991" s="3">
        <v>42548</v>
      </c>
      <c r="I1991" s="4">
        <v>31587</v>
      </c>
    </row>
    <row r="1992" spans="1:9" x14ac:dyDescent="0.25">
      <c r="A1992" s="3">
        <v>42545</v>
      </c>
      <c r="B1992" s="4">
        <v>31401</v>
      </c>
      <c r="C1992" s="4">
        <v>30020</v>
      </c>
      <c r="D1992" s="4">
        <v>31925</v>
      </c>
      <c r="E1992" s="4">
        <v>30020</v>
      </c>
      <c r="F1992" s="4" t="str">
        <v>43.34K</v>
      </c>
      <c r="G1992" s="4" t="str">
        <v>4.97%</v>
      </c>
      <c r="H1992" s="3">
        <v>42545</v>
      </c>
      <c r="I1992" s="4">
        <v>30972.5</v>
      </c>
    </row>
    <row r="1993" spans="1:9" x14ac:dyDescent="0.25">
      <c r="A1993" s="3">
        <v>42544</v>
      </c>
      <c r="B1993" s="4">
        <v>29914</v>
      </c>
      <c r="C1993" s="4">
        <v>30077</v>
      </c>
      <c r="D1993" s="4">
        <v>30190</v>
      </c>
      <c r="E1993" s="4">
        <v>29852</v>
      </c>
      <c r="F1993" s="4" t="str">
        <v>23.65K</v>
      </c>
      <c r="G1993" s="4" t="str">
        <v>-0.69%</v>
      </c>
      <c r="H1993" s="3">
        <v>42544</v>
      </c>
      <c r="I1993" s="4">
        <v>30021</v>
      </c>
    </row>
    <row r="1994" spans="1:9" x14ac:dyDescent="0.25">
      <c r="A1994" s="3">
        <v>42543</v>
      </c>
      <c r="B1994" s="4">
        <v>30122</v>
      </c>
      <c r="C1994" s="4">
        <v>30251</v>
      </c>
      <c r="D1994" s="4">
        <v>30272</v>
      </c>
      <c r="E1994" s="4">
        <v>30055</v>
      </c>
      <c r="F1994" s="4" t="str">
        <v>16.85K</v>
      </c>
      <c r="G1994" s="4" t="str">
        <v>-0.57%</v>
      </c>
      <c r="H1994" s="3">
        <v>42543</v>
      </c>
      <c r="I1994" s="4">
        <v>30163.5</v>
      </c>
    </row>
    <row r="1995" spans="1:9" x14ac:dyDescent="0.25">
      <c r="A1995" s="3">
        <v>42542</v>
      </c>
      <c r="B1995" s="4">
        <v>30296</v>
      </c>
      <c r="C1995" s="4">
        <v>30600</v>
      </c>
      <c r="D1995" s="4">
        <v>30610</v>
      </c>
      <c r="E1995" s="4">
        <v>30231</v>
      </c>
      <c r="F1995" s="4" t="str">
        <v>21.11K</v>
      </c>
      <c r="G1995" s="4" t="str">
        <v>-1.30%</v>
      </c>
      <c r="H1995" s="3">
        <v>42542</v>
      </c>
      <c r="I1995" s="4">
        <v>30420.5</v>
      </c>
    </row>
    <row r="1996" spans="1:9" x14ac:dyDescent="0.25">
      <c r="A1996" s="3">
        <v>42541</v>
      </c>
      <c r="B1996" s="4">
        <v>30695</v>
      </c>
      <c r="C1996" s="4">
        <v>30550</v>
      </c>
      <c r="D1996" s="4">
        <v>30728</v>
      </c>
      <c r="E1996" s="4">
        <v>30340</v>
      </c>
      <c r="F1996" s="4" t="str">
        <v>18.70K</v>
      </c>
      <c r="G1996" s="4" t="str">
        <v>0.30%</v>
      </c>
      <c r="H1996" s="3">
        <v>42541</v>
      </c>
      <c r="I1996" s="4">
        <v>30534</v>
      </c>
    </row>
    <row r="1997" spans="1:9" x14ac:dyDescent="0.25">
      <c r="A1997" s="3">
        <v>42538</v>
      </c>
      <c r="B1997" s="4">
        <v>30602</v>
      </c>
      <c r="C1997" s="4">
        <v>30401</v>
      </c>
      <c r="D1997" s="4">
        <v>30657</v>
      </c>
      <c r="E1997" s="4">
        <v>30302</v>
      </c>
      <c r="F1997" s="4" t="str">
        <v>19.48K</v>
      </c>
      <c r="G1997" s="4" t="str">
        <v>-0.02%</v>
      </c>
      <c r="H1997" s="3">
        <v>42538</v>
      </c>
      <c r="I1997" s="4">
        <v>30479.5</v>
      </c>
    </row>
    <row r="1998" spans="1:9" x14ac:dyDescent="0.25">
      <c r="A1998" s="3">
        <v>42537</v>
      </c>
      <c r="B1998" s="4">
        <v>30607</v>
      </c>
      <c r="C1998" s="4">
        <v>30500</v>
      </c>
      <c r="D1998" s="4">
        <v>31245</v>
      </c>
      <c r="E1998" s="4">
        <v>30476</v>
      </c>
      <c r="F1998" s="4" t="str">
        <v>30.20K</v>
      </c>
      <c r="G1998" s="4" t="str">
        <v>0.54%</v>
      </c>
      <c r="H1998" s="3">
        <v>42537</v>
      </c>
      <c r="I1998" s="4">
        <v>30860.5</v>
      </c>
    </row>
    <row r="1999" spans="1:9" x14ac:dyDescent="0.25">
      <c r="A1999" s="3">
        <v>42536</v>
      </c>
      <c r="B1999" s="4">
        <v>30444</v>
      </c>
      <c r="C1999" s="4">
        <v>30450</v>
      </c>
      <c r="D1999" s="4">
        <v>30520</v>
      </c>
      <c r="E1999" s="4">
        <v>30305</v>
      </c>
      <c r="F1999" s="4" t="str">
        <v>15.62K</v>
      </c>
      <c r="G1999" s="4" t="str">
        <v>-0.37%</v>
      </c>
      <c r="H1999" s="3">
        <v>42536</v>
      </c>
      <c r="I1999" s="4">
        <v>30412.5</v>
      </c>
    </row>
    <row r="2000" spans="1:9" x14ac:dyDescent="0.25">
      <c r="A2000" s="3">
        <v>42535</v>
      </c>
      <c r="B2000" s="4">
        <v>30558</v>
      </c>
      <c r="C2000" s="4">
        <v>30350</v>
      </c>
      <c r="D2000" s="4">
        <v>30584</v>
      </c>
      <c r="E2000" s="4">
        <v>30270</v>
      </c>
      <c r="F2000" s="4" t="str">
        <v>19.64K</v>
      </c>
      <c r="G2000" s="4" t="str">
        <v>0.52%</v>
      </c>
      <c r="H2000" s="3">
        <v>42535</v>
      </c>
      <c r="I2000" s="4">
        <v>30427</v>
      </c>
    </row>
    <row r="2001" spans="1:9" x14ac:dyDescent="0.25">
      <c r="A2001" s="3">
        <v>42534</v>
      </c>
      <c r="B2001" s="4">
        <v>30399</v>
      </c>
      <c r="C2001" s="4">
        <v>30094</v>
      </c>
      <c r="D2001" s="4">
        <v>30474</v>
      </c>
      <c r="E2001" s="4">
        <v>30094</v>
      </c>
      <c r="F2001" s="4" t="str">
        <v>17.08K</v>
      </c>
      <c r="G2001" s="4" t="str">
        <v>1.05%</v>
      </c>
      <c r="H2001" s="3">
        <v>42534</v>
      </c>
      <c r="I2001" s="4">
        <v>30284</v>
      </c>
    </row>
    <row r="2002" spans="1:9" x14ac:dyDescent="0.25">
      <c r="A2002" s="3">
        <v>42531</v>
      </c>
      <c r="B2002" s="4">
        <v>30084</v>
      </c>
      <c r="C2002" s="4">
        <v>29901</v>
      </c>
      <c r="D2002" s="4">
        <v>30141</v>
      </c>
      <c r="E2002" s="4">
        <v>29816</v>
      </c>
      <c r="F2002" s="4" t="str">
        <v>17.34K</v>
      </c>
      <c r="G2002" s="4" t="str">
        <v>0.49%</v>
      </c>
      <c r="H2002" s="3">
        <v>42531</v>
      </c>
      <c r="I2002" s="4">
        <v>29978.5</v>
      </c>
    </row>
    <row r="2003" spans="1:9" x14ac:dyDescent="0.25">
      <c r="A2003" s="3">
        <v>42530</v>
      </c>
      <c r="B2003" s="4">
        <v>29937</v>
      </c>
      <c r="C2003" s="4">
        <v>29710</v>
      </c>
      <c r="D2003" s="4">
        <v>29970</v>
      </c>
      <c r="E2003" s="4">
        <v>29612</v>
      </c>
      <c r="F2003" s="4" t="str">
        <v>17.25K</v>
      </c>
      <c r="G2003" s="4" t="str">
        <v>1.04%</v>
      </c>
      <c r="H2003" s="3">
        <v>42530</v>
      </c>
      <c r="I2003" s="4">
        <v>29791</v>
      </c>
    </row>
    <row r="2004" spans="1:9" x14ac:dyDescent="0.25">
      <c r="A2004" s="3">
        <v>42529</v>
      </c>
      <c r="B2004" s="4">
        <v>29629</v>
      </c>
      <c r="C2004" s="4">
        <v>29400</v>
      </c>
      <c r="D2004" s="4">
        <v>29725</v>
      </c>
      <c r="E2004" s="4">
        <v>29400</v>
      </c>
      <c r="F2004" s="4" t="str">
        <v>16.18K</v>
      </c>
      <c r="G2004" s="4" t="str">
        <v>0.90%</v>
      </c>
      <c r="H2004" s="3">
        <v>42529</v>
      </c>
      <c r="I2004" s="4">
        <v>29562.5</v>
      </c>
    </row>
    <row r="2005" spans="1:9" x14ac:dyDescent="0.25">
      <c r="A2005" s="3">
        <v>42528</v>
      </c>
      <c r="B2005" s="4">
        <v>29366</v>
      </c>
      <c r="C2005" s="4">
        <v>29402</v>
      </c>
      <c r="D2005" s="4">
        <v>29447</v>
      </c>
      <c r="E2005" s="4">
        <v>29176</v>
      </c>
      <c r="F2005" s="4" t="str">
        <v>13.91K</v>
      </c>
      <c r="G2005" s="4" t="str">
        <v>-0.29%</v>
      </c>
      <c r="H2005" s="3">
        <v>42528</v>
      </c>
      <c r="I2005" s="4">
        <v>29311.5</v>
      </c>
    </row>
    <row r="2006" spans="1:9" x14ac:dyDescent="0.25">
      <c r="A2006" s="3">
        <v>42527</v>
      </c>
      <c r="B2006" s="4">
        <v>29450</v>
      </c>
      <c r="C2006" s="4">
        <v>29370</v>
      </c>
      <c r="D2006" s="4">
        <v>29499</v>
      </c>
      <c r="E2006" s="4">
        <v>29342</v>
      </c>
      <c r="F2006" s="4" t="str">
        <v>12.38K</v>
      </c>
      <c r="G2006" s="4" t="str">
        <v>1.51%</v>
      </c>
      <c r="H2006" s="3">
        <v>42527</v>
      </c>
      <c r="I2006" s="4">
        <v>29420.5</v>
      </c>
    </row>
    <row r="2007" spans="1:9" x14ac:dyDescent="0.25">
      <c r="A2007" s="3">
        <v>42524</v>
      </c>
      <c r="B2007" s="4">
        <v>29011</v>
      </c>
      <c r="C2007" s="4">
        <v>28600</v>
      </c>
      <c r="D2007" s="4">
        <v>29083</v>
      </c>
      <c r="E2007" s="4">
        <v>28560</v>
      </c>
      <c r="F2007" s="4" t="str">
        <v>0.03K</v>
      </c>
      <c r="G2007" s="4" t="str">
        <v>1.47%</v>
      </c>
      <c r="H2007" s="3">
        <v>42524</v>
      </c>
      <c r="I2007" s="4">
        <v>28821.5</v>
      </c>
    </row>
    <row r="2008" spans="1:9" x14ac:dyDescent="0.25">
      <c r="A2008" s="3">
        <v>42523</v>
      </c>
      <c r="B2008" s="4">
        <v>28591</v>
      </c>
      <c r="C2008" s="4">
        <v>28665</v>
      </c>
      <c r="D2008" s="4">
        <v>28700</v>
      </c>
      <c r="E2008" s="4">
        <v>28562</v>
      </c>
      <c r="F2008" s="4" t="str">
        <v>0.10K</v>
      </c>
      <c r="G2008" s="4" t="str">
        <v>-0.19%</v>
      </c>
      <c r="H2008" s="3">
        <v>42523</v>
      </c>
      <c r="I2008" s="4">
        <v>28631</v>
      </c>
    </row>
    <row r="2009" spans="1:9" x14ac:dyDescent="0.25">
      <c r="A2009" s="3">
        <v>42522</v>
      </c>
      <c r="B2009" s="4">
        <v>28646</v>
      </c>
      <c r="C2009" s="4">
        <v>28611</v>
      </c>
      <c r="D2009" s="4">
        <v>28798</v>
      </c>
      <c r="E2009" s="4">
        <v>28480</v>
      </c>
      <c r="F2009" s="4" t="str">
        <v>0.78K</v>
      </c>
      <c r="G2009" s="4" t="str">
        <v>0.07%</v>
      </c>
      <c r="H2009" s="3">
        <v>42522</v>
      </c>
      <c r="I2009" s="4">
        <v>28639</v>
      </c>
    </row>
    <row r="2010" spans="1:9" x14ac:dyDescent="0.25">
      <c r="A2010" s="3">
        <v>42521</v>
      </c>
      <c r="B2010" s="4">
        <v>28627</v>
      </c>
      <c r="C2010" s="4">
        <v>28668</v>
      </c>
      <c r="D2010" s="4">
        <v>28719</v>
      </c>
      <c r="E2010" s="4">
        <v>28555</v>
      </c>
      <c r="F2010" s="4" t="str">
        <v>6.76K</v>
      </c>
      <c r="G2010" s="4" t="str">
        <v>0.08%</v>
      </c>
      <c r="H2010" s="3">
        <v>42521</v>
      </c>
      <c r="I2010" s="4">
        <v>28637</v>
      </c>
    </row>
    <row r="2011" spans="1:9" x14ac:dyDescent="0.25">
      <c r="A2011" s="3">
        <v>42520</v>
      </c>
      <c r="B2011" s="4">
        <v>28603</v>
      </c>
      <c r="C2011" s="4">
        <v>28523</v>
      </c>
      <c r="D2011" s="4">
        <v>28700</v>
      </c>
      <c r="E2011" s="4">
        <v>28410</v>
      </c>
      <c r="F2011" s="4" t="str">
        <v>10.29K</v>
      </c>
      <c r="G2011" s="4" t="str">
        <v>0.00%</v>
      </c>
      <c r="H2011" s="3">
        <v>42520</v>
      </c>
      <c r="I2011" s="4">
        <v>28555</v>
      </c>
    </row>
    <row r="2012" spans="1:9" x14ac:dyDescent="0.25">
      <c r="A2012" s="3">
        <v>42517</v>
      </c>
      <c r="B2012" s="4">
        <v>28603</v>
      </c>
      <c r="C2012" s="4">
        <v>28691</v>
      </c>
      <c r="D2012" s="4">
        <v>28837</v>
      </c>
      <c r="E2012" s="4">
        <v>28536</v>
      </c>
      <c r="F2012" s="4" t="str">
        <v>13.92K</v>
      </c>
      <c r="G2012" s="4" t="str">
        <v>-0.47%</v>
      </c>
      <c r="H2012" s="3">
        <v>42517</v>
      </c>
      <c r="I2012" s="4">
        <v>28686.5</v>
      </c>
    </row>
    <row r="2013" spans="1:9" x14ac:dyDescent="0.25">
      <c r="A2013" s="3">
        <v>42516</v>
      </c>
      <c r="B2013" s="4">
        <v>28738</v>
      </c>
      <c r="C2013" s="4">
        <v>29100</v>
      </c>
      <c r="D2013" s="4">
        <v>29160</v>
      </c>
      <c r="E2013" s="4">
        <v>28705</v>
      </c>
      <c r="F2013" s="4" t="str">
        <v>17.59K</v>
      </c>
      <c r="G2013" s="4" t="str">
        <v>-0.75%</v>
      </c>
      <c r="H2013" s="3">
        <v>42516</v>
      </c>
      <c r="I2013" s="4">
        <v>28932.5</v>
      </c>
    </row>
    <row r="2014" spans="1:9" x14ac:dyDescent="0.25">
      <c r="A2014" s="3">
        <v>42515</v>
      </c>
      <c r="B2014" s="4">
        <v>28955</v>
      </c>
      <c r="C2014" s="4">
        <v>29200</v>
      </c>
      <c r="D2014" s="4">
        <v>29214</v>
      </c>
      <c r="E2014" s="4">
        <v>28861</v>
      </c>
      <c r="F2014" s="4" t="str">
        <v>16.82K</v>
      </c>
      <c r="G2014" s="4" t="str">
        <v>-1.18%</v>
      </c>
      <c r="H2014" s="3">
        <v>42515</v>
      </c>
      <c r="I2014" s="4">
        <v>29037.5</v>
      </c>
    </row>
    <row r="2015" spans="1:9" x14ac:dyDescent="0.25">
      <c r="A2015" s="3">
        <v>42514</v>
      </c>
      <c r="B2015" s="4">
        <v>29300</v>
      </c>
      <c r="C2015" s="4">
        <v>29687</v>
      </c>
      <c r="D2015" s="4">
        <v>29687</v>
      </c>
      <c r="E2015" s="4">
        <v>29275</v>
      </c>
      <c r="F2015" s="4" t="str">
        <v>18.05K</v>
      </c>
      <c r="G2015" s="4" t="str">
        <v>-1.29%</v>
      </c>
      <c r="H2015" s="3">
        <v>42514</v>
      </c>
      <c r="I2015" s="4">
        <v>29481</v>
      </c>
    </row>
    <row r="2016" spans="1:9" x14ac:dyDescent="0.25">
      <c r="A2016" s="3">
        <v>42513</v>
      </c>
      <c r="B2016" s="4">
        <v>29684</v>
      </c>
      <c r="C2016" s="4">
        <v>29677</v>
      </c>
      <c r="D2016" s="4">
        <v>29727</v>
      </c>
      <c r="E2016" s="4">
        <v>29570</v>
      </c>
      <c r="F2016" s="4" t="str">
        <v>10.91K</v>
      </c>
      <c r="G2016" s="4" t="str">
        <v>-0.02%</v>
      </c>
      <c r="H2016" s="3">
        <v>42513</v>
      </c>
      <c r="I2016" s="4">
        <v>29648.5</v>
      </c>
    </row>
    <row r="2017" spans="1:9" x14ac:dyDescent="0.25">
      <c r="A2017" s="3">
        <v>42510</v>
      </c>
      <c r="B2017" s="4">
        <v>29691</v>
      </c>
      <c r="C2017" s="4">
        <v>29718</v>
      </c>
      <c r="D2017" s="4">
        <v>29870</v>
      </c>
      <c r="E2017" s="4">
        <v>29653</v>
      </c>
      <c r="F2017" s="4" t="str">
        <v>12.85K</v>
      </c>
      <c r="G2017" s="4" t="str">
        <v>-0.36%</v>
      </c>
      <c r="H2017" s="3">
        <v>42510</v>
      </c>
      <c r="I2017" s="4">
        <v>29761.5</v>
      </c>
    </row>
    <row r="2018" spans="1:9" x14ac:dyDescent="0.25">
      <c r="A2018" s="3">
        <v>42509</v>
      </c>
      <c r="B2018" s="4">
        <v>29797</v>
      </c>
      <c r="C2018" s="4">
        <v>29917</v>
      </c>
      <c r="D2018" s="4">
        <v>29917</v>
      </c>
      <c r="E2018" s="4">
        <v>29623</v>
      </c>
      <c r="F2018" s="4" t="str">
        <v>16.29K</v>
      </c>
      <c r="G2018" s="4" t="str">
        <v>-0.86%</v>
      </c>
      <c r="H2018" s="3">
        <v>42509</v>
      </c>
      <c r="I2018" s="4">
        <v>29770</v>
      </c>
    </row>
    <row r="2019" spans="1:9" x14ac:dyDescent="0.25">
      <c r="A2019" s="3">
        <v>42508</v>
      </c>
      <c r="B2019" s="4">
        <v>30055</v>
      </c>
      <c r="C2019" s="4">
        <v>30041</v>
      </c>
      <c r="D2019" s="4">
        <v>30083</v>
      </c>
      <c r="E2019" s="4">
        <v>29911</v>
      </c>
      <c r="F2019" s="4" t="str">
        <v>13.82K</v>
      </c>
      <c r="G2019" s="4" t="str">
        <v>0.02%</v>
      </c>
      <c r="H2019" s="3">
        <v>42508</v>
      </c>
      <c r="I2019" s="4">
        <v>29997</v>
      </c>
    </row>
    <row r="2020" spans="1:9" x14ac:dyDescent="0.25">
      <c r="A2020" s="3">
        <v>42507</v>
      </c>
      <c r="B2020" s="4">
        <v>30049</v>
      </c>
      <c r="C2020" s="4">
        <v>29999</v>
      </c>
      <c r="D2020" s="4">
        <v>30140</v>
      </c>
      <c r="E2020" s="4">
        <v>29855</v>
      </c>
      <c r="F2020" s="4" t="str">
        <v>16.05K</v>
      </c>
      <c r="G2020" s="4" t="str">
        <v>0.24%</v>
      </c>
      <c r="H2020" s="3">
        <v>42507</v>
      </c>
      <c r="I2020" s="4">
        <v>29997.5</v>
      </c>
    </row>
    <row r="2021" spans="1:9" x14ac:dyDescent="0.25">
      <c r="A2021" s="3">
        <v>42506</v>
      </c>
      <c r="B2021" s="4">
        <v>29977</v>
      </c>
      <c r="C2021" s="4">
        <v>30064</v>
      </c>
      <c r="D2021" s="4">
        <v>30269</v>
      </c>
      <c r="E2021" s="4">
        <v>29912</v>
      </c>
      <c r="F2021" s="4" t="str">
        <v>15.07K</v>
      </c>
      <c r="G2021" s="4" t="str">
        <v>-0.19%</v>
      </c>
      <c r="H2021" s="3">
        <v>42506</v>
      </c>
      <c r="I2021" s="4">
        <v>30090.5</v>
      </c>
    </row>
    <row r="2022" spans="1:9" x14ac:dyDescent="0.25">
      <c r="A2022" s="3">
        <v>42503</v>
      </c>
      <c r="B2022" s="4">
        <v>30034</v>
      </c>
      <c r="C2022" s="4">
        <v>29943</v>
      </c>
      <c r="D2022" s="4">
        <v>30068</v>
      </c>
      <c r="E2022" s="4">
        <v>29750</v>
      </c>
      <c r="F2022" s="4" t="str">
        <v>16.14K</v>
      </c>
      <c r="G2022" s="4" t="str">
        <v>0.44%</v>
      </c>
      <c r="H2022" s="3">
        <v>42503</v>
      </c>
      <c r="I2022" s="4">
        <v>29909</v>
      </c>
    </row>
    <row r="2023" spans="1:9" x14ac:dyDescent="0.25">
      <c r="A2023" s="3">
        <v>42502</v>
      </c>
      <c r="B2023" s="4">
        <v>29901</v>
      </c>
      <c r="C2023" s="4">
        <v>29886</v>
      </c>
      <c r="D2023" s="4">
        <v>30095</v>
      </c>
      <c r="E2023" s="4">
        <v>29757</v>
      </c>
      <c r="F2023" s="4" t="str">
        <v>16.82K</v>
      </c>
      <c r="G2023" s="4" t="str">
        <v>-0.11%</v>
      </c>
      <c r="H2023" s="3">
        <v>42502</v>
      </c>
      <c r="I2023" s="4">
        <v>29926</v>
      </c>
    </row>
    <row r="2024" spans="1:9" x14ac:dyDescent="0.25">
      <c r="A2024" s="3">
        <v>42501</v>
      </c>
      <c r="B2024" s="4">
        <v>29935</v>
      </c>
      <c r="C2024" s="4">
        <v>29901</v>
      </c>
      <c r="D2024" s="4">
        <v>30075</v>
      </c>
      <c r="E2024" s="4">
        <v>29835</v>
      </c>
      <c r="F2024" s="4" t="str">
        <v>15.84K</v>
      </c>
      <c r="G2024" s="4" t="str">
        <v>0.51%</v>
      </c>
      <c r="H2024" s="3">
        <v>42501</v>
      </c>
      <c r="I2024" s="4">
        <v>29955</v>
      </c>
    </row>
    <row r="2025" spans="1:9" x14ac:dyDescent="0.25">
      <c r="A2025" s="3">
        <v>42500</v>
      </c>
      <c r="B2025" s="4">
        <v>29783</v>
      </c>
      <c r="C2025" s="4">
        <v>29797</v>
      </c>
      <c r="D2025" s="4">
        <v>29864</v>
      </c>
      <c r="E2025" s="4">
        <v>29607</v>
      </c>
      <c r="F2025" s="4" t="str">
        <v>14.62K</v>
      </c>
      <c r="G2025" s="4" t="str">
        <v>-0.07%</v>
      </c>
      <c r="H2025" s="3">
        <v>42500</v>
      </c>
      <c r="I2025" s="4">
        <v>29735.5</v>
      </c>
    </row>
    <row r="2026" spans="1:9" x14ac:dyDescent="0.25">
      <c r="A2026" s="3">
        <v>42499</v>
      </c>
      <c r="B2026" s="4">
        <v>29805</v>
      </c>
      <c r="C2026" s="4">
        <v>30215</v>
      </c>
      <c r="D2026" s="4">
        <v>30215</v>
      </c>
      <c r="E2026" s="4">
        <v>29765</v>
      </c>
      <c r="F2026" s="4" t="str">
        <v>17.87K</v>
      </c>
      <c r="G2026" s="4" t="str">
        <v>-1.89%</v>
      </c>
      <c r="H2026" s="3">
        <v>42499</v>
      </c>
      <c r="I2026" s="4">
        <v>29990</v>
      </c>
    </row>
    <row r="2027" spans="1:9" x14ac:dyDescent="0.25">
      <c r="A2027" s="3">
        <v>42496</v>
      </c>
      <c r="B2027" s="4">
        <v>30378</v>
      </c>
      <c r="C2027" s="4">
        <v>30120</v>
      </c>
      <c r="D2027" s="4">
        <v>30420</v>
      </c>
      <c r="E2027" s="4">
        <v>30000</v>
      </c>
      <c r="F2027" s="4" t="str">
        <v>24.45K</v>
      </c>
      <c r="G2027" s="4" t="str">
        <v>1.61%</v>
      </c>
      <c r="H2027" s="3">
        <v>42496</v>
      </c>
      <c r="I2027" s="4">
        <v>30210</v>
      </c>
    </row>
    <row r="2028" spans="1:9" x14ac:dyDescent="0.25">
      <c r="A2028" s="3">
        <v>42495</v>
      </c>
      <c r="B2028" s="4">
        <v>29897</v>
      </c>
      <c r="C2028" s="4">
        <v>30120</v>
      </c>
      <c r="D2028" s="4">
        <v>30180</v>
      </c>
      <c r="E2028" s="4">
        <v>29860</v>
      </c>
      <c r="F2028" s="4" t="str">
        <v>18.83K</v>
      </c>
      <c r="G2028" s="4" t="str">
        <v>-0.31%</v>
      </c>
      <c r="H2028" s="3">
        <v>42495</v>
      </c>
      <c r="I2028" s="4">
        <v>30020</v>
      </c>
    </row>
    <row r="2029" spans="1:9" x14ac:dyDescent="0.25">
      <c r="A2029" s="3">
        <v>42494</v>
      </c>
      <c r="B2029" s="4">
        <v>29991</v>
      </c>
      <c r="C2029" s="4">
        <v>30150</v>
      </c>
      <c r="D2029" s="4">
        <v>30314</v>
      </c>
      <c r="E2029" s="4">
        <v>29966</v>
      </c>
      <c r="F2029" s="4" t="str">
        <v>21.52K</v>
      </c>
      <c r="G2029" s="4" t="str">
        <v>-0.77%</v>
      </c>
      <c r="H2029" s="3">
        <v>42494</v>
      </c>
      <c r="I2029" s="4">
        <v>30140</v>
      </c>
    </row>
    <row r="2030" spans="1:9" x14ac:dyDescent="0.25">
      <c r="A2030" s="3">
        <v>42493</v>
      </c>
      <c r="B2030" s="4">
        <v>30224</v>
      </c>
      <c r="C2030" s="4">
        <v>30285</v>
      </c>
      <c r="D2030" s="4">
        <v>30448</v>
      </c>
      <c r="E2030" s="4">
        <v>30126</v>
      </c>
      <c r="F2030" s="4" t="str">
        <v>22.04K</v>
      </c>
      <c r="G2030" s="4" t="str">
        <v>-0.23%</v>
      </c>
      <c r="H2030" s="3">
        <v>42493</v>
      </c>
      <c r="I2030" s="4">
        <v>30287</v>
      </c>
    </row>
    <row r="2031" spans="1:9" x14ac:dyDescent="0.25">
      <c r="A2031" s="3">
        <v>42492</v>
      </c>
      <c r="B2031" s="4">
        <v>30294</v>
      </c>
      <c r="C2031" s="4">
        <v>30300</v>
      </c>
      <c r="D2031" s="4">
        <v>30538</v>
      </c>
      <c r="E2031" s="4">
        <v>30240</v>
      </c>
      <c r="F2031" s="4" t="str">
        <v>16.78K</v>
      </c>
      <c r="G2031" s="4" t="str">
        <v>0.09%</v>
      </c>
      <c r="H2031" s="3">
        <v>42492</v>
      </c>
      <c r="I2031" s="4">
        <v>30389</v>
      </c>
    </row>
    <row r="2032" spans="1:9" x14ac:dyDescent="0.25">
      <c r="A2032" s="3">
        <v>42489</v>
      </c>
      <c r="B2032" s="4">
        <v>30266</v>
      </c>
      <c r="C2032" s="4">
        <v>29749</v>
      </c>
      <c r="D2032" s="4">
        <v>30375</v>
      </c>
      <c r="E2032" s="4">
        <v>29749</v>
      </c>
      <c r="F2032" s="4" t="str">
        <v>22.99K</v>
      </c>
      <c r="G2032" s="4" t="str">
        <v>1.95%</v>
      </c>
      <c r="H2032" s="3">
        <v>42489</v>
      </c>
      <c r="I2032" s="4">
        <v>30062</v>
      </c>
    </row>
    <row r="2033" spans="1:9" x14ac:dyDescent="0.25">
      <c r="A2033" s="3">
        <v>42488</v>
      </c>
      <c r="B2033" s="4">
        <v>29686</v>
      </c>
      <c r="C2033" s="4">
        <v>29350</v>
      </c>
      <c r="D2033" s="4">
        <v>29727</v>
      </c>
      <c r="E2033" s="4">
        <v>29275</v>
      </c>
      <c r="F2033" s="4" t="str">
        <v>17.68K</v>
      </c>
      <c r="G2033" s="4" t="str">
        <v>1.03%</v>
      </c>
      <c r="H2033" s="3">
        <v>42488</v>
      </c>
      <c r="I2033" s="4">
        <v>29501</v>
      </c>
    </row>
    <row r="2034" spans="1:9" x14ac:dyDescent="0.25">
      <c r="A2034" s="3">
        <v>42487</v>
      </c>
      <c r="B2034" s="4">
        <v>29383</v>
      </c>
      <c r="C2034" s="4">
        <v>29246</v>
      </c>
      <c r="D2034" s="4">
        <v>29435</v>
      </c>
      <c r="E2034" s="4">
        <v>29246</v>
      </c>
      <c r="F2034" s="4" t="str">
        <v>15.74K</v>
      </c>
      <c r="G2034" s="4" t="str">
        <v>0.62%</v>
      </c>
      <c r="H2034" s="3">
        <v>42487</v>
      </c>
      <c r="I2034" s="4">
        <v>29340.5</v>
      </c>
    </row>
    <row r="2035" spans="1:9" x14ac:dyDescent="0.25">
      <c r="A2035" s="3">
        <v>42486</v>
      </c>
      <c r="B2035" s="4">
        <v>29202</v>
      </c>
      <c r="C2035" s="4">
        <v>29287</v>
      </c>
      <c r="D2035" s="4">
        <v>29287</v>
      </c>
      <c r="E2035" s="4">
        <v>29013</v>
      </c>
      <c r="F2035" s="4" t="str">
        <v>15.44K</v>
      </c>
      <c r="G2035" s="4" t="str">
        <v>-0.21%</v>
      </c>
      <c r="H2035" s="3">
        <v>42486</v>
      </c>
      <c r="I2035" s="4">
        <v>29150</v>
      </c>
    </row>
    <row r="2036" spans="1:9" x14ac:dyDescent="0.25">
      <c r="A2036" s="3">
        <v>42485</v>
      </c>
      <c r="B2036" s="4">
        <v>29262</v>
      </c>
      <c r="C2036" s="4">
        <v>29092</v>
      </c>
      <c r="D2036" s="4">
        <v>29300</v>
      </c>
      <c r="E2036" s="4">
        <v>29060</v>
      </c>
      <c r="F2036" s="4" t="str">
        <v>14.07K</v>
      </c>
      <c r="G2036" s="4" t="str">
        <v>0.83%</v>
      </c>
      <c r="H2036" s="3">
        <v>42485</v>
      </c>
      <c r="I2036" s="4">
        <v>29180</v>
      </c>
    </row>
    <row r="2037" spans="1:9" x14ac:dyDescent="0.25">
      <c r="A2037" s="3">
        <v>42482</v>
      </c>
      <c r="B2037" s="4">
        <v>29021</v>
      </c>
      <c r="C2037" s="4">
        <v>29373</v>
      </c>
      <c r="D2037" s="4">
        <v>29420</v>
      </c>
      <c r="E2037" s="4">
        <v>28986</v>
      </c>
      <c r="F2037" s="4" t="str">
        <v>15.81K</v>
      </c>
      <c r="G2037" s="4" t="str">
        <v>-1.14%</v>
      </c>
      <c r="H2037" s="3">
        <v>42482</v>
      </c>
      <c r="I2037" s="4">
        <v>29203</v>
      </c>
    </row>
    <row r="2038" spans="1:9" x14ac:dyDescent="0.25">
      <c r="A2038" s="3">
        <v>42481</v>
      </c>
      <c r="B2038" s="4">
        <v>29357</v>
      </c>
      <c r="C2038" s="4">
        <v>29255</v>
      </c>
      <c r="D2038" s="4">
        <v>29756</v>
      </c>
      <c r="E2038" s="4">
        <v>29210</v>
      </c>
      <c r="F2038" s="4" t="str">
        <v>24.23K</v>
      </c>
      <c r="G2038" s="4" t="str">
        <v>0.14%</v>
      </c>
      <c r="H2038" s="3">
        <v>42481</v>
      </c>
      <c r="I2038" s="4">
        <v>29483</v>
      </c>
    </row>
    <row r="2039" spans="1:9" x14ac:dyDescent="0.25">
      <c r="A2039" s="3">
        <v>42480</v>
      </c>
      <c r="B2039" s="4">
        <v>29317</v>
      </c>
      <c r="C2039" s="4">
        <v>29324</v>
      </c>
      <c r="D2039" s="4">
        <v>29418</v>
      </c>
      <c r="E2039" s="4">
        <v>29170</v>
      </c>
      <c r="F2039" s="4" t="str">
        <v>14.00K</v>
      </c>
      <c r="G2039" s="4" t="str">
        <v>-0.03%</v>
      </c>
      <c r="H2039" s="3">
        <v>42480</v>
      </c>
      <c r="I2039" s="4">
        <v>29294</v>
      </c>
    </row>
    <row r="2040" spans="1:9" x14ac:dyDescent="0.25">
      <c r="A2040" s="3">
        <v>42479</v>
      </c>
      <c r="B2040" s="4">
        <v>29326</v>
      </c>
      <c r="C2040" s="4">
        <v>29050</v>
      </c>
      <c r="D2040" s="4">
        <v>29375</v>
      </c>
      <c r="E2040" s="4">
        <v>29050</v>
      </c>
      <c r="F2040" s="4" t="str">
        <v>9.93K</v>
      </c>
      <c r="G2040" s="4" t="str">
        <v>1.18%</v>
      </c>
      <c r="H2040" s="3">
        <v>42479</v>
      </c>
      <c r="I2040" s="4">
        <v>29212.5</v>
      </c>
    </row>
    <row r="2041" spans="1:9" x14ac:dyDescent="0.25">
      <c r="A2041" s="3">
        <v>42478</v>
      </c>
      <c r="B2041" s="4">
        <v>28983</v>
      </c>
      <c r="C2041" s="4">
        <v>29010</v>
      </c>
      <c r="D2041" s="4">
        <v>29170</v>
      </c>
      <c r="E2041" s="4">
        <v>28934</v>
      </c>
      <c r="F2041" s="4" t="str">
        <v>13.67K</v>
      </c>
      <c r="G2041" s="4" t="str">
        <v>0.08%</v>
      </c>
      <c r="H2041" s="3">
        <v>42478</v>
      </c>
      <c r="I2041" s="4">
        <v>29052</v>
      </c>
    </row>
    <row r="2042" spans="1:9" x14ac:dyDescent="0.25">
      <c r="A2042" s="3">
        <v>42475</v>
      </c>
      <c r="B2042" s="4">
        <v>28959</v>
      </c>
      <c r="C2042" s="4">
        <v>28825</v>
      </c>
      <c r="D2042" s="4">
        <v>28993</v>
      </c>
      <c r="E2042" s="4">
        <v>28806</v>
      </c>
      <c r="F2042" s="4" t="str">
        <v>6.82K</v>
      </c>
      <c r="G2042" s="4" t="str">
        <v>0.69%</v>
      </c>
      <c r="H2042" s="3">
        <v>42475</v>
      </c>
      <c r="I2042" s="4">
        <v>28899.5</v>
      </c>
    </row>
    <row r="2043" spans="1:9" x14ac:dyDescent="0.25">
      <c r="A2043" s="3">
        <v>42474</v>
      </c>
      <c r="B2043" s="4">
        <v>28760</v>
      </c>
      <c r="C2043" s="4">
        <v>29050</v>
      </c>
      <c r="D2043" s="4">
        <v>29090</v>
      </c>
      <c r="E2043" s="4">
        <v>28715</v>
      </c>
      <c r="F2043" s="4" t="str">
        <v>10.57K</v>
      </c>
      <c r="G2043" s="4" t="str">
        <v>-1.51%</v>
      </c>
      <c r="H2043" s="3">
        <v>42474</v>
      </c>
      <c r="I2043" s="4">
        <v>28902.5</v>
      </c>
    </row>
    <row r="2044" spans="1:9" x14ac:dyDescent="0.25">
      <c r="A2044" s="3">
        <v>42473</v>
      </c>
      <c r="B2044" s="4">
        <v>29202</v>
      </c>
      <c r="C2044" s="4">
        <v>29286</v>
      </c>
      <c r="D2044" s="4">
        <v>29286</v>
      </c>
      <c r="E2044" s="4">
        <v>29058</v>
      </c>
      <c r="F2044" s="4" t="str">
        <v>14.93K</v>
      </c>
      <c r="G2044" s="4" t="str">
        <v>-0.46%</v>
      </c>
      <c r="H2044" s="3">
        <v>42473</v>
      </c>
      <c r="I2044" s="4">
        <v>29172</v>
      </c>
    </row>
    <row r="2045" spans="1:9" x14ac:dyDescent="0.25">
      <c r="A2045" s="3">
        <v>42472</v>
      </c>
      <c r="B2045" s="4">
        <v>29336</v>
      </c>
      <c r="C2045" s="4">
        <v>29284</v>
      </c>
      <c r="D2045" s="4">
        <v>29495</v>
      </c>
      <c r="E2045" s="4">
        <v>29240</v>
      </c>
      <c r="F2045" s="4" t="str">
        <v>15.68K</v>
      </c>
      <c r="G2045" s="4" t="str">
        <v>0.02%</v>
      </c>
      <c r="H2045" s="3">
        <v>42472</v>
      </c>
      <c r="I2045" s="4">
        <v>29367.5</v>
      </c>
    </row>
    <row r="2046" spans="1:9" x14ac:dyDescent="0.25">
      <c r="A2046" s="3">
        <v>42471</v>
      </c>
      <c r="B2046" s="4">
        <v>29330</v>
      </c>
      <c r="C2046" s="4">
        <v>29181</v>
      </c>
      <c r="D2046" s="4">
        <v>29400</v>
      </c>
      <c r="E2046" s="4">
        <v>29135</v>
      </c>
      <c r="F2046" s="4" t="str">
        <v>16.35K</v>
      </c>
      <c r="G2046" s="4" t="str">
        <v>0.68%</v>
      </c>
      <c r="H2046" s="3">
        <v>42471</v>
      </c>
      <c r="I2046" s="4">
        <v>29267.5</v>
      </c>
    </row>
    <row r="2047" spans="1:9" x14ac:dyDescent="0.25">
      <c r="A2047" s="3">
        <v>42468</v>
      </c>
      <c r="B2047" s="4">
        <v>29131</v>
      </c>
      <c r="C2047" s="4">
        <v>29145</v>
      </c>
      <c r="D2047" s="4">
        <v>29152</v>
      </c>
      <c r="E2047" s="4">
        <v>28851</v>
      </c>
      <c r="F2047" s="4" t="str">
        <v>15.78K</v>
      </c>
      <c r="G2047" s="4" t="str">
        <v>0.24%</v>
      </c>
      <c r="H2047" s="3">
        <v>42468</v>
      </c>
      <c r="I2047" s="4">
        <v>29001.5</v>
      </c>
    </row>
    <row r="2048" spans="1:9" x14ac:dyDescent="0.25">
      <c r="A2048" s="3">
        <v>42467</v>
      </c>
      <c r="B2048" s="4">
        <v>29060</v>
      </c>
      <c r="C2048" s="4">
        <v>28690</v>
      </c>
      <c r="D2048" s="4">
        <v>29140</v>
      </c>
      <c r="E2048" s="4">
        <v>28690</v>
      </c>
      <c r="F2048" s="4" t="str">
        <v>21.35K</v>
      </c>
      <c r="G2048" s="4" t="str">
        <v>1.45%</v>
      </c>
      <c r="H2048" s="3">
        <v>42467</v>
      </c>
      <c r="I2048" s="4">
        <v>28915</v>
      </c>
    </row>
    <row r="2049" spans="1:9" x14ac:dyDescent="0.25">
      <c r="A2049" s="3">
        <v>42466</v>
      </c>
      <c r="B2049" s="4">
        <v>28646</v>
      </c>
      <c r="C2049" s="4">
        <v>28785</v>
      </c>
      <c r="D2049" s="4">
        <v>28847</v>
      </c>
      <c r="E2049" s="4">
        <v>28579</v>
      </c>
      <c r="F2049" s="4" t="str">
        <v>13.21K</v>
      </c>
      <c r="G2049" s="4" t="str">
        <v>0.56%</v>
      </c>
      <c r="H2049" s="3">
        <v>42466</v>
      </c>
      <c r="I2049" s="4">
        <v>28713</v>
      </c>
    </row>
    <row r="2050" spans="1:9" x14ac:dyDescent="0.25">
      <c r="A2050" s="3">
        <v>42465</v>
      </c>
      <c r="B2050" s="4">
        <v>28486</v>
      </c>
      <c r="C2050" s="4">
        <v>28400</v>
      </c>
      <c r="D2050" s="4">
        <v>28680</v>
      </c>
      <c r="E2050" s="4">
        <v>28325</v>
      </c>
      <c r="F2050" s="4" t="str">
        <v>0.03K</v>
      </c>
      <c r="G2050" s="4" t="str">
        <v>1.13%</v>
      </c>
      <c r="H2050" s="3">
        <v>42465</v>
      </c>
      <c r="I2050" s="4">
        <v>28502.5</v>
      </c>
    </row>
    <row r="2051" spans="1:9" x14ac:dyDescent="0.25">
      <c r="A2051" s="3">
        <v>42464</v>
      </c>
      <c r="B2051" s="4">
        <v>28168</v>
      </c>
      <c r="C2051" s="4">
        <v>28080</v>
      </c>
      <c r="D2051" s="4">
        <v>28200</v>
      </c>
      <c r="E2051" s="4">
        <v>28056</v>
      </c>
      <c r="F2051" s="4" t="str">
        <v>0.38K</v>
      </c>
      <c r="G2051" s="4" t="str">
        <v>0.46%</v>
      </c>
      <c r="H2051" s="3">
        <v>42464</v>
      </c>
      <c r="I2051" s="4">
        <v>28128</v>
      </c>
    </row>
    <row r="2052" spans="1:9" x14ac:dyDescent="0.25">
      <c r="A2052" s="3">
        <v>42461</v>
      </c>
      <c r="B2052" s="4">
        <v>28040</v>
      </c>
      <c r="C2052" s="4">
        <v>28561</v>
      </c>
      <c r="D2052" s="4">
        <v>28640</v>
      </c>
      <c r="E2052" s="4">
        <v>27970</v>
      </c>
      <c r="F2052" s="4" t="str">
        <v>1.92K</v>
      </c>
      <c r="G2052" s="4" t="str">
        <v>-1.78%</v>
      </c>
      <c r="H2052" s="3">
        <v>42461</v>
      </c>
      <c r="I2052" s="4">
        <v>28305</v>
      </c>
    </row>
    <row r="2053" spans="1:9" x14ac:dyDescent="0.25">
      <c r="A2053" s="3">
        <v>42460</v>
      </c>
      <c r="B2053" s="4">
        <v>28549</v>
      </c>
      <c r="C2053" s="4">
        <v>28441</v>
      </c>
      <c r="D2053" s="4">
        <v>28682</v>
      </c>
      <c r="E2053" s="4">
        <v>28426</v>
      </c>
      <c r="F2053" s="4" t="str">
        <v>10.65K</v>
      </c>
      <c r="G2053" s="4" t="str">
        <v>0.50%</v>
      </c>
      <c r="H2053" s="3">
        <v>42460</v>
      </c>
      <c r="I2053" s="4">
        <v>28554</v>
      </c>
    </row>
    <row r="2054" spans="1:9" x14ac:dyDescent="0.25">
      <c r="A2054" s="3">
        <v>42459</v>
      </c>
      <c r="B2054" s="4">
        <v>28407</v>
      </c>
      <c r="C2054" s="4">
        <v>28655</v>
      </c>
      <c r="D2054" s="4">
        <v>28830</v>
      </c>
      <c r="E2054" s="4">
        <v>28361</v>
      </c>
      <c r="F2054" s="4" t="str">
        <v>16.04K</v>
      </c>
      <c r="G2054" s="4" t="str">
        <v>-1.17%</v>
      </c>
      <c r="H2054" s="3">
        <v>42459</v>
      </c>
      <c r="I2054" s="4">
        <v>28595.5</v>
      </c>
    </row>
    <row r="2055" spans="1:9" x14ac:dyDescent="0.25">
      <c r="A2055" s="3">
        <v>42458</v>
      </c>
      <c r="B2055" s="4">
        <v>28743</v>
      </c>
      <c r="C2055" s="4">
        <v>28389</v>
      </c>
      <c r="D2055" s="4">
        <v>28782</v>
      </c>
      <c r="E2055" s="4">
        <v>28341</v>
      </c>
      <c r="F2055" s="4" t="str">
        <v>17.01K</v>
      </c>
      <c r="G2055" s="4" t="str">
        <v>1.00%</v>
      </c>
      <c r="H2055" s="3">
        <v>42458</v>
      </c>
      <c r="I2055" s="4">
        <v>28561.5</v>
      </c>
    </row>
    <row r="2056" spans="1:9" x14ac:dyDescent="0.25">
      <c r="A2056" s="3">
        <v>42457</v>
      </c>
      <c r="B2056" s="4">
        <v>28458</v>
      </c>
      <c r="C2056" s="4">
        <v>28525</v>
      </c>
      <c r="D2056" s="4">
        <v>28525</v>
      </c>
      <c r="E2056" s="4">
        <v>28270</v>
      </c>
      <c r="F2056" s="4" t="str">
        <v>9.58K</v>
      </c>
      <c r="G2056" s="4" t="str">
        <v>-0.49%</v>
      </c>
      <c r="H2056" s="3">
        <v>42457</v>
      </c>
      <c r="I2056" s="4">
        <v>28397.5</v>
      </c>
    </row>
    <row r="2057" spans="1:9" x14ac:dyDescent="0.25">
      <c r="A2057" s="3">
        <v>42453</v>
      </c>
      <c r="B2057" s="4">
        <v>28599</v>
      </c>
      <c r="C2057" s="4">
        <v>28500</v>
      </c>
      <c r="D2057" s="4">
        <v>28665</v>
      </c>
      <c r="E2057" s="4">
        <v>28450</v>
      </c>
      <c r="F2057" s="4" t="str">
        <v>3.94K</v>
      </c>
      <c r="G2057" s="4" t="str">
        <v>-0.02%</v>
      </c>
      <c r="H2057" s="3">
        <v>42453</v>
      </c>
      <c r="I2057" s="4">
        <v>28557.5</v>
      </c>
    </row>
    <row r="2058" spans="1:9" x14ac:dyDescent="0.25">
      <c r="A2058" s="3">
        <v>42452</v>
      </c>
      <c r="B2058" s="4">
        <v>28604</v>
      </c>
      <c r="C2058" s="4">
        <v>29000</v>
      </c>
      <c r="D2058" s="4">
        <v>29000</v>
      </c>
      <c r="E2058" s="4">
        <v>28512</v>
      </c>
      <c r="F2058" s="4" t="str">
        <v>18.21K</v>
      </c>
      <c r="G2058" s="4" t="str">
        <v>-1.53%</v>
      </c>
      <c r="H2058" s="3">
        <v>42452</v>
      </c>
      <c r="I2058" s="4">
        <v>28756</v>
      </c>
    </row>
    <row r="2059" spans="1:9" x14ac:dyDescent="0.25">
      <c r="A2059" s="3">
        <v>42451</v>
      </c>
      <c r="B2059" s="4">
        <v>29049</v>
      </c>
      <c r="C2059" s="4">
        <v>28961</v>
      </c>
      <c r="D2059" s="4">
        <v>29340</v>
      </c>
      <c r="E2059" s="4">
        <v>28891</v>
      </c>
      <c r="F2059" s="4" t="str">
        <v>19.57K</v>
      </c>
      <c r="G2059" s="4" t="str">
        <v>0.37%</v>
      </c>
      <c r="H2059" s="3">
        <v>42451</v>
      </c>
      <c r="I2059" s="4">
        <v>29115.5</v>
      </c>
    </row>
    <row r="2060" spans="1:9" x14ac:dyDescent="0.25">
      <c r="A2060" s="3">
        <v>42450</v>
      </c>
      <c r="B2060" s="4">
        <v>28941</v>
      </c>
      <c r="C2060" s="4">
        <v>29100</v>
      </c>
      <c r="D2060" s="4">
        <v>29114</v>
      </c>
      <c r="E2060" s="4">
        <v>28820</v>
      </c>
      <c r="F2060" s="4" t="str">
        <v>17.02K</v>
      </c>
      <c r="G2060" s="4" t="str">
        <v>-0.65%</v>
      </c>
      <c r="H2060" s="3">
        <v>42450</v>
      </c>
      <c r="I2060" s="4">
        <v>28967</v>
      </c>
    </row>
    <row r="2061" spans="1:9" x14ac:dyDescent="0.25">
      <c r="A2061" s="3">
        <v>42447</v>
      </c>
      <c r="B2061" s="4">
        <v>29131</v>
      </c>
      <c r="C2061" s="4">
        <v>29399</v>
      </c>
      <c r="D2061" s="4">
        <v>29450</v>
      </c>
      <c r="E2061" s="4">
        <v>29003</v>
      </c>
      <c r="F2061" s="4" t="str">
        <v>15.73K</v>
      </c>
      <c r="G2061" s="4" t="str">
        <v>-0.77%</v>
      </c>
      <c r="H2061" s="3">
        <v>42447</v>
      </c>
      <c r="I2061" s="4">
        <v>29226.5</v>
      </c>
    </row>
    <row r="2062" spans="1:9" x14ac:dyDescent="0.25">
      <c r="A2062" s="3">
        <v>42446</v>
      </c>
      <c r="B2062" s="4">
        <v>29356</v>
      </c>
      <c r="C2062" s="4">
        <v>29185</v>
      </c>
      <c r="D2062" s="4">
        <v>29600</v>
      </c>
      <c r="E2062" s="4">
        <v>29185</v>
      </c>
      <c r="F2062" s="4" t="str">
        <v>21.42K</v>
      </c>
      <c r="G2062" s="4" t="str">
        <v>1.35%</v>
      </c>
      <c r="H2062" s="3">
        <v>42446</v>
      </c>
      <c r="I2062" s="4">
        <v>29392.5</v>
      </c>
    </row>
    <row r="2063" spans="1:9" x14ac:dyDescent="0.25">
      <c r="A2063" s="3">
        <v>42445</v>
      </c>
      <c r="B2063" s="4">
        <v>28966</v>
      </c>
      <c r="C2063" s="4">
        <v>29051</v>
      </c>
      <c r="D2063" s="4">
        <v>29145</v>
      </c>
      <c r="E2063" s="4">
        <v>28923</v>
      </c>
      <c r="F2063" s="4" t="str">
        <v>13.79K</v>
      </c>
      <c r="G2063" s="4" t="str">
        <v>-0.24%</v>
      </c>
      <c r="H2063" s="3">
        <v>42445</v>
      </c>
      <c r="I2063" s="4">
        <v>29034</v>
      </c>
    </row>
    <row r="2064" spans="1:9" x14ac:dyDescent="0.25">
      <c r="A2064" s="3">
        <v>42444</v>
      </c>
      <c r="B2064" s="4">
        <v>29037</v>
      </c>
      <c r="C2064" s="4">
        <v>29125</v>
      </c>
      <c r="D2064" s="4">
        <v>29200</v>
      </c>
      <c r="E2064" s="4">
        <v>28872</v>
      </c>
      <c r="F2064" s="4" t="str">
        <v>19.80K</v>
      </c>
      <c r="G2064" s="4" t="str">
        <v>-0.51%</v>
      </c>
      <c r="H2064" s="3">
        <v>42444</v>
      </c>
      <c r="I2064" s="4">
        <v>29036</v>
      </c>
    </row>
    <row r="2065" spans="1:9" x14ac:dyDescent="0.25">
      <c r="A2065" s="3">
        <v>42443</v>
      </c>
      <c r="B2065" s="4">
        <v>29187</v>
      </c>
      <c r="C2065" s="4">
        <v>29398</v>
      </c>
      <c r="D2065" s="4">
        <v>29577</v>
      </c>
      <c r="E2065" s="4">
        <v>29126</v>
      </c>
      <c r="F2065" s="4" t="str">
        <v>18.14K</v>
      </c>
      <c r="G2065" s="4" t="str">
        <v>-1.06%</v>
      </c>
      <c r="H2065" s="3">
        <v>42443</v>
      </c>
      <c r="I2065" s="4">
        <v>29351.5</v>
      </c>
    </row>
    <row r="2066" spans="1:9" x14ac:dyDescent="0.25">
      <c r="A2066" s="3">
        <v>42440</v>
      </c>
      <c r="B2066" s="4">
        <v>29500</v>
      </c>
      <c r="C2066" s="4">
        <v>29850</v>
      </c>
      <c r="D2066" s="4">
        <v>29923</v>
      </c>
      <c r="E2066" s="4">
        <v>29462</v>
      </c>
      <c r="F2066" s="4" t="str">
        <v>19.73K</v>
      </c>
      <c r="G2066" s="4" t="str">
        <v>-1.44%</v>
      </c>
      <c r="H2066" s="3">
        <v>42440</v>
      </c>
      <c r="I2066" s="4">
        <v>29692.5</v>
      </c>
    </row>
    <row r="2067" spans="1:9" x14ac:dyDescent="0.25">
      <c r="A2067" s="3">
        <v>42439</v>
      </c>
      <c r="B2067" s="4">
        <v>29931</v>
      </c>
      <c r="C2067" s="4">
        <v>29550</v>
      </c>
      <c r="D2067" s="4">
        <v>29961</v>
      </c>
      <c r="E2067" s="4">
        <v>29065</v>
      </c>
      <c r="F2067" s="4" t="str">
        <v>33.09K</v>
      </c>
      <c r="G2067" s="4" t="str">
        <v>1.13%</v>
      </c>
      <c r="H2067" s="3">
        <v>42439</v>
      </c>
      <c r="I2067" s="4">
        <v>29513</v>
      </c>
    </row>
    <row r="2068" spans="1:9" x14ac:dyDescent="0.25">
      <c r="A2068" s="3">
        <v>42438</v>
      </c>
      <c r="B2068" s="4">
        <v>29598</v>
      </c>
      <c r="C2068" s="4">
        <v>29666</v>
      </c>
      <c r="D2068" s="4">
        <v>29718</v>
      </c>
      <c r="E2068" s="4">
        <v>29301</v>
      </c>
      <c r="F2068" s="4" t="str">
        <v>22.48K</v>
      </c>
      <c r="G2068" s="4" t="str">
        <v>-0.71%</v>
      </c>
      <c r="H2068" s="3">
        <v>42438</v>
      </c>
      <c r="I2068" s="4">
        <v>29509.5</v>
      </c>
    </row>
    <row r="2069" spans="1:9" x14ac:dyDescent="0.25">
      <c r="A2069" s="3">
        <v>42437</v>
      </c>
      <c r="B2069" s="4">
        <v>29809</v>
      </c>
      <c r="C2069" s="4">
        <v>29650</v>
      </c>
      <c r="D2069" s="4">
        <v>30161</v>
      </c>
      <c r="E2069" s="4">
        <v>29650</v>
      </c>
      <c r="F2069" s="4" t="str">
        <v>23.95K</v>
      </c>
      <c r="G2069" s="4" t="str">
        <v>0.73%</v>
      </c>
      <c r="H2069" s="3">
        <v>42437</v>
      </c>
      <c r="I2069" s="4">
        <v>29905.5</v>
      </c>
    </row>
    <row r="2070" spans="1:9" x14ac:dyDescent="0.25">
      <c r="A2070" s="3">
        <v>42436</v>
      </c>
      <c r="B2070" s="4">
        <v>29592</v>
      </c>
      <c r="C2070" s="4">
        <v>29850</v>
      </c>
      <c r="D2070" s="4">
        <v>29965</v>
      </c>
      <c r="E2070" s="4">
        <v>29544</v>
      </c>
      <c r="F2070" s="4" t="str">
        <v>8.92K</v>
      </c>
      <c r="G2070" s="4" t="str">
        <v>-0.58%</v>
      </c>
      <c r="H2070" s="3">
        <v>42436</v>
      </c>
      <c r="I2070" s="4">
        <v>29754.5</v>
      </c>
    </row>
    <row r="2071" spans="1:9" x14ac:dyDescent="0.25">
      <c r="A2071" s="3">
        <v>42433</v>
      </c>
      <c r="B2071" s="4">
        <v>29766</v>
      </c>
      <c r="C2071" s="4">
        <v>29700</v>
      </c>
      <c r="D2071" s="4">
        <v>30040</v>
      </c>
      <c r="E2071" s="4">
        <v>29413</v>
      </c>
      <c r="F2071" s="4" t="str">
        <v>32.74K</v>
      </c>
      <c r="G2071" s="4" t="str">
        <v>0.51%</v>
      </c>
      <c r="H2071" s="3">
        <v>42433</v>
      </c>
      <c r="I2071" s="4">
        <v>29726.5</v>
      </c>
    </row>
    <row r="2072" spans="1:9" x14ac:dyDescent="0.25">
      <c r="A2072" s="3">
        <v>42432</v>
      </c>
      <c r="B2072" s="4">
        <v>29616</v>
      </c>
      <c r="C2072" s="4">
        <v>29275</v>
      </c>
      <c r="D2072" s="4">
        <v>29681</v>
      </c>
      <c r="E2072" s="4">
        <v>29245</v>
      </c>
      <c r="F2072" s="4" t="str">
        <v>17.47K</v>
      </c>
      <c r="G2072" s="4" t="str">
        <v>0.94%</v>
      </c>
      <c r="H2072" s="3">
        <v>42432</v>
      </c>
      <c r="I2072" s="4">
        <v>29463</v>
      </c>
    </row>
    <row r="2073" spans="1:9" x14ac:dyDescent="0.25">
      <c r="A2073" s="3">
        <v>42431</v>
      </c>
      <c r="B2073" s="4">
        <v>29339</v>
      </c>
      <c r="C2073" s="4">
        <v>29199</v>
      </c>
      <c r="D2073" s="4">
        <v>29391</v>
      </c>
      <c r="E2073" s="4">
        <v>29079</v>
      </c>
      <c r="F2073" s="4" t="str">
        <v>21.70K</v>
      </c>
      <c r="G2073" s="4" t="str">
        <v>0.39%</v>
      </c>
      <c r="H2073" s="3">
        <v>42431</v>
      </c>
      <c r="I2073" s="4">
        <v>29235</v>
      </c>
    </row>
    <row r="2074" spans="1:9" x14ac:dyDescent="0.25">
      <c r="A2074" s="3">
        <v>42430</v>
      </c>
      <c r="B2074" s="4">
        <v>29226</v>
      </c>
      <c r="C2074" s="4">
        <v>29650</v>
      </c>
      <c r="D2074" s="4">
        <v>29838</v>
      </c>
      <c r="E2074" s="4">
        <v>29186</v>
      </c>
      <c r="F2074" s="4" t="str">
        <v>23.87K</v>
      </c>
      <c r="G2074" s="4" t="str">
        <v>-0.97%</v>
      </c>
      <c r="H2074" s="3">
        <v>42430</v>
      </c>
      <c r="I2074" s="4">
        <v>29512</v>
      </c>
    </row>
    <row r="2075" spans="1:9" x14ac:dyDescent="0.25">
      <c r="A2075" s="3">
        <v>42429</v>
      </c>
      <c r="B2075" s="4">
        <v>29513</v>
      </c>
      <c r="C2075" s="4">
        <v>29409</v>
      </c>
      <c r="D2075" s="4">
        <v>29750</v>
      </c>
      <c r="E2075" s="4">
        <v>29381</v>
      </c>
      <c r="F2075" s="4" t="str">
        <v>24.78K</v>
      </c>
      <c r="G2075" s="4" t="str">
        <v>0.60%</v>
      </c>
      <c r="H2075" s="3">
        <v>42429</v>
      </c>
      <c r="I2075" s="4">
        <v>29565.5</v>
      </c>
    </row>
    <row r="2076" spans="1:9" x14ac:dyDescent="0.25">
      <c r="A2076" s="3">
        <v>42426</v>
      </c>
      <c r="B2076" s="4">
        <v>29337</v>
      </c>
      <c r="C2076" s="4">
        <v>29650</v>
      </c>
      <c r="D2076" s="4">
        <v>29729</v>
      </c>
      <c r="E2076" s="4">
        <v>29152</v>
      </c>
      <c r="F2076" s="4" t="str">
        <v>24.67K</v>
      </c>
      <c r="G2076" s="4" t="str">
        <v>-1.47%</v>
      </c>
      <c r="H2076" s="3">
        <v>42426</v>
      </c>
      <c r="I2076" s="4">
        <v>29440.5</v>
      </c>
    </row>
    <row r="2077" spans="1:9" x14ac:dyDescent="0.25">
      <c r="A2077" s="3">
        <v>42425</v>
      </c>
      <c r="B2077" s="4">
        <v>29774</v>
      </c>
      <c r="C2077" s="4">
        <v>29475</v>
      </c>
      <c r="D2077" s="4">
        <v>29820</v>
      </c>
      <c r="E2077" s="4">
        <v>29394</v>
      </c>
      <c r="F2077" s="4" t="str">
        <v>23.05K</v>
      </c>
      <c r="G2077" s="4" t="str">
        <v>0.74%</v>
      </c>
      <c r="H2077" s="3">
        <v>42425</v>
      </c>
      <c r="I2077" s="4">
        <v>29607</v>
      </c>
    </row>
    <row r="2078" spans="1:9" x14ac:dyDescent="0.25">
      <c r="A2078" s="3">
        <v>42424</v>
      </c>
      <c r="B2078" s="4">
        <v>29554</v>
      </c>
      <c r="C2078" s="4">
        <v>29403</v>
      </c>
      <c r="D2078" s="4">
        <v>29936</v>
      </c>
      <c r="E2078" s="4">
        <v>29241</v>
      </c>
      <c r="F2078" s="4" t="str">
        <v>26.12K</v>
      </c>
      <c r="G2078" s="4" t="str">
        <v>0.86%</v>
      </c>
      <c r="H2078" s="3">
        <v>42424</v>
      </c>
      <c r="I2078" s="4">
        <v>29588.5</v>
      </c>
    </row>
    <row r="2079" spans="1:9" x14ac:dyDescent="0.25">
      <c r="A2079" s="3">
        <v>42423</v>
      </c>
      <c r="B2079" s="4">
        <v>29302</v>
      </c>
      <c r="C2079" s="4">
        <v>29000</v>
      </c>
      <c r="D2079" s="4">
        <v>29397</v>
      </c>
      <c r="E2079" s="4">
        <v>29000</v>
      </c>
      <c r="F2079" s="4" t="str">
        <v>20.50K</v>
      </c>
      <c r="G2079" s="4" t="str">
        <v>1.16%</v>
      </c>
      <c r="H2079" s="3">
        <v>42423</v>
      </c>
      <c r="I2079" s="4">
        <v>29198.5</v>
      </c>
    </row>
    <row r="2080" spans="1:9" x14ac:dyDescent="0.25">
      <c r="A2080" s="3">
        <v>42422</v>
      </c>
      <c r="B2080" s="4">
        <v>28966</v>
      </c>
      <c r="C2080" s="4">
        <v>29101</v>
      </c>
      <c r="D2080" s="4">
        <v>29165</v>
      </c>
      <c r="E2080" s="4">
        <v>28801</v>
      </c>
      <c r="F2080" s="4" t="str">
        <v>20.52K</v>
      </c>
      <c r="G2080" s="4" t="str">
        <v>-1.86%</v>
      </c>
      <c r="H2080" s="3">
        <v>42422</v>
      </c>
      <c r="I2080" s="4">
        <v>28983</v>
      </c>
    </row>
    <row r="2081" spans="1:9" x14ac:dyDescent="0.25">
      <c r="A2081" s="3">
        <v>42419</v>
      </c>
      <c r="B2081" s="4">
        <v>29515</v>
      </c>
      <c r="C2081" s="4">
        <v>29386</v>
      </c>
      <c r="D2081" s="4">
        <v>29638</v>
      </c>
      <c r="E2081" s="4">
        <v>29290</v>
      </c>
      <c r="F2081" s="4" t="str">
        <v>19.08K</v>
      </c>
      <c r="G2081" s="4" t="str">
        <v>0.70%</v>
      </c>
      <c r="H2081" s="3">
        <v>42419</v>
      </c>
      <c r="I2081" s="4">
        <v>29464</v>
      </c>
    </row>
    <row r="2082" spans="1:9" x14ac:dyDescent="0.25">
      <c r="A2082" s="3">
        <v>42418</v>
      </c>
      <c r="B2082" s="4">
        <v>29309</v>
      </c>
      <c r="C2082" s="4">
        <v>28888</v>
      </c>
      <c r="D2082" s="4">
        <v>29369</v>
      </c>
      <c r="E2082" s="4">
        <v>28707</v>
      </c>
      <c r="F2082" s="4" t="str">
        <v>17.67K</v>
      </c>
      <c r="G2082" s="4" t="str">
        <v>1.46%</v>
      </c>
      <c r="H2082" s="3">
        <v>42418</v>
      </c>
      <c r="I2082" s="4">
        <v>29038</v>
      </c>
    </row>
    <row r="2083" spans="1:9" x14ac:dyDescent="0.25">
      <c r="A2083" s="3">
        <v>42417</v>
      </c>
      <c r="B2083" s="4">
        <v>28888</v>
      </c>
      <c r="C2083" s="4">
        <v>28953</v>
      </c>
      <c r="D2083" s="4">
        <v>29050</v>
      </c>
      <c r="E2083" s="4">
        <v>28731</v>
      </c>
      <c r="F2083" s="4" t="str">
        <v>16.23K</v>
      </c>
      <c r="G2083" s="4" t="str">
        <v>-0.04%</v>
      </c>
      <c r="H2083" s="3">
        <v>42417</v>
      </c>
      <c r="I2083" s="4">
        <v>28890.5</v>
      </c>
    </row>
    <row r="2084" spans="1:9" x14ac:dyDescent="0.25">
      <c r="A2084" s="3">
        <v>42416</v>
      </c>
      <c r="B2084" s="4">
        <v>28899</v>
      </c>
      <c r="C2084" s="4">
        <v>28610</v>
      </c>
      <c r="D2084" s="4">
        <v>29075</v>
      </c>
      <c r="E2084" s="4">
        <v>28425</v>
      </c>
      <c r="F2084" s="4" t="str">
        <v>22.63K</v>
      </c>
      <c r="G2084" s="4" t="str">
        <v>0.73%</v>
      </c>
      <c r="H2084" s="3">
        <v>42416</v>
      </c>
      <c r="I2084" s="4">
        <v>28750</v>
      </c>
    </row>
    <row r="2085" spans="1:9" x14ac:dyDescent="0.25">
      <c r="A2085" s="3">
        <v>42415</v>
      </c>
      <c r="B2085" s="4">
        <v>28690</v>
      </c>
      <c r="C2085" s="4">
        <v>29302</v>
      </c>
      <c r="D2085" s="4">
        <v>29302</v>
      </c>
      <c r="E2085" s="4">
        <v>28613</v>
      </c>
      <c r="F2085" s="4" t="str">
        <v>16.02K</v>
      </c>
      <c r="G2085" s="4" t="str">
        <v>-2.37%</v>
      </c>
      <c r="H2085" s="3">
        <v>42415</v>
      </c>
      <c r="I2085" s="4">
        <v>28957.5</v>
      </c>
    </row>
    <row r="2086" spans="1:9" x14ac:dyDescent="0.25">
      <c r="A2086" s="3">
        <v>42412</v>
      </c>
      <c r="B2086" s="4">
        <v>29386</v>
      </c>
      <c r="C2086" s="4">
        <v>29600</v>
      </c>
      <c r="D2086" s="4">
        <v>29805</v>
      </c>
      <c r="E2086" s="4">
        <v>29340</v>
      </c>
      <c r="F2086" s="4" t="str">
        <v>19.60K</v>
      </c>
      <c r="G2086" s="4" t="str">
        <v>-1.36%</v>
      </c>
      <c r="H2086" s="3">
        <v>42412</v>
      </c>
      <c r="I2086" s="4">
        <v>29572.5</v>
      </c>
    </row>
    <row r="2087" spans="1:9" x14ac:dyDescent="0.25">
      <c r="A2087" s="3">
        <v>42411</v>
      </c>
      <c r="B2087" s="4">
        <v>29791</v>
      </c>
      <c r="C2087" s="4">
        <v>28350</v>
      </c>
      <c r="D2087" s="4">
        <v>30095</v>
      </c>
      <c r="E2087" s="4">
        <v>28350</v>
      </c>
      <c r="F2087" s="4" t="str">
        <v>34.82K</v>
      </c>
      <c r="G2087" s="4" t="str">
        <v>5.21%</v>
      </c>
      <c r="H2087" s="3">
        <v>42411</v>
      </c>
      <c r="I2087" s="4">
        <v>29222.5</v>
      </c>
    </row>
    <row r="2088" spans="1:9" x14ac:dyDescent="0.25">
      <c r="A2088" s="3">
        <v>42410</v>
      </c>
      <c r="B2088" s="4">
        <v>28317</v>
      </c>
      <c r="C2088" s="4">
        <v>28350</v>
      </c>
      <c r="D2088" s="4">
        <v>28350</v>
      </c>
      <c r="E2088" s="4">
        <v>28025</v>
      </c>
      <c r="F2088" s="4" t="str">
        <v>20.87K</v>
      </c>
      <c r="G2088" s="4" t="str">
        <v>-0.42%</v>
      </c>
      <c r="H2088" s="3">
        <v>42410</v>
      </c>
      <c r="I2088" s="4">
        <v>28187.5</v>
      </c>
    </row>
    <row r="2089" spans="1:9" x14ac:dyDescent="0.25">
      <c r="A2089" s="3">
        <v>42409</v>
      </c>
      <c r="B2089" s="4">
        <v>28437</v>
      </c>
      <c r="C2089" s="4">
        <v>28421</v>
      </c>
      <c r="D2089" s="4">
        <v>28507</v>
      </c>
      <c r="E2089" s="4">
        <v>28190</v>
      </c>
      <c r="F2089" s="4" t="str">
        <v>21.62K</v>
      </c>
      <c r="G2089" s="4" t="str">
        <v>-0.07%</v>
      </c>
      <c r="H2089" s="3">
        <v>42409</v>
      </c>
      <c r="I2089" s="4">
        <v>28348.5</v>
      </c>
    </row>
    <row r="2090" spans="1:9" x14ac:dyDescent="0.25">
      <c r="A2090" s="3">
        <v>42408</v>
      </c>
      <c r="B2090" s="4">
        <v>28458</v>
      </c>
      <c r="C2090" s="4">
        <v>27578</v>
      </c>
      <c r="D2090" s="4">
        <v>28527</v>
      </c>
      <c r="E2090" s="4">
        <v>27578</v>
      </c>
      <c r="F2090" s="4" t="str">
        <v>23.12K</v>
      </c>
      <c r="G2090" s="4" t="str">
        <v>2.67%</v>
      </c>
      <c r="H2090" s="3">
        <v>42408</v>
      </c>
      <c r="I2090" s="4">
        <v>28052.5</v>
      </c>
    </row>
    <row r="2091" spans="1:9" x14ac:dyDescent="0.25">
      <c r="A2091" s="3">
        <v>42405</v>
      </c>
      <c r="B2091" s="4">
        <v>27717</v>
      </c>
      <c r="C2091" s="4">
        <v>27420</v>
      </c>
      <c r="D2091" s="4">
        <v>27834</v>
      </c>
      <c r="E2091" s="4">
        <v>27400</v>
      </c>
      <c r="F2091" s="4" t="str">
        <v>0.18K</v>
      </c>
      <c r="G2091" s="4" t="str">
        <v>1.31%</v>
      </c>
      <c r="H2091" s="3">
        <v>42405</v>
      </c>
      <c r="I2091" s="4">
        <v>27617</v>
      </c>
    </row>
    <row r="2092" spans="1:9" x14ac:dyDescent="0.25">
      <c r="A2092" s="3">
        <v>42404</v>
      </c>
      <c r="B2092" s="4">
        <v>27358</v>
      </c>
      <c r="C2092" s="4">
        <v>27200</v>
      </c>
      <c r="D2092" s="4">
        <v>27434</v>
      </c>
      <c r="E2092" s="4">
        <v>27182</v>
      </c>
      <c r="F2092" s="4" t="str">
        <v>0.06K</v>
      </c>
      <c r="G2092" s="4" t="str">
        <v>0.59%</v>
      </c>
      <c r="H2092" s="3">
        <v>42404</v>
      </c>
      <c r="I2092" s="4">
        <v>27308</v>
      </c>
    </row>
    <row r="2093" spans="1:9" x14ac:dyDescent="0.25">
      <c r="A2093" s="3">
        <v>42403</v>
      </c>
      <c r="B2093" s="4">
        <v>27198</v>
      </c>
      <c r="C2093" s="4">
        <v>27035</v>
      </c>
      <c r="D2093" s="4">
        <v>27240</v>
      </c>
      <c r="E2093" s="4">
        <v>26911</v>
      </c>
      <c r="F2093" s="4" t="str">
        <v>0.10K</v>
      </c>
      <c r="G2093" s="4" t="str">
        <v>1.14%</v>
      </c>
      <c r="H2093" s="3">
        <v>42403</v>
      </c>
      <c r="I2093" s="4">
        <v>27075.5</v>
      </c>
    </row>
    <row r="2094" spans="1:9" x14ac:dyDescent="0.25">
      <c r="A2094" s="3">
        <v>42402</v>
      </c>
      <c r="B2094" s="4">
        <v>26891</v>
      </c>
      <c r="C2094" s="4">
        <v>26848</v>
      </c>
      <c r="D2094" s="4">
        <v>26998</v>
      </c>
      <c r="E2094" s="4">
        <v>26750</v>
      </c>
      <c r="F2094" s="4" t="str">
        <v>0.39K</v>
      </c>
      <c r="G2094" s="4" t="str">
        <v>0.41%</v>
      </c>
      <c r="H2094" s="3">
        <v>42402</v>
      </c>
      <c r="I2094" s="4">
        <v>26874</v>
      </c>
    </row>
    <row r="2095" spans="1:9" x14ac:dyDescent="0.25">
      <c r="A2095" s="3">
        <v>42401</v>
      </c>
      <c r="B2095" s="4">
        <v>26782</v>
      </c>
      <c r="C2095" s="4">
        <v>26700</v>
      </c>
      <c r="D2095" s="4">
        <v>26883</v>
      </c>
      <c r="E2095" s="4">
        <v>26617</v>
      </c>
      <c r="F2095" s="4" t="str">
        <v>2.20K</v>
      </c>
      <c r="G2095" s="4" t="str">
        <v>0.54%</v>
      </c>
      <c r="H2095" s="3">
        <v>42401</v>
      </c>
      <c r="I2095" s="4">
        <v>26750</v>
      </c>
    </row>
    <row r="2096" spans="1:9" x14ac:dyDescent="0.25">
      <c r="A2096" s="3">
        <v>42398</v>
      </c>
      <c r="B2096" s="4">
        <v>26638</v>
      </c>
      <c r="C2096" s="4">
        <v>26665</v>
      </c>
      <c r="D2096" s="4">
        <v>26695</v>
      </c>
      <c r="E2096" s="4">
        <v>26485</v>
      </c>
      <c r="F2096" s="4" t="str">
        <v>12.37K</v>
      </c>
      <c r="G2096" s="4" t="str">
        <v>-0.27%</v>
      </c>
      <c r="H2096" s="3">
        <v>42398</v>
      </c>
      <c r="I2096" s="4">
        <v>26590</v>
      </c>
    </row>
    <row r="2097" spans="1:9" x14ac:dyDescent="0.25">
      <c r="A2097" s="3">
        <v>42397</v>
      </c>
      <c r="B2097" s="4">
        <v>26710</v>
      </c>
      <c r="C2097" s="4">
        <v>26844</v>
      </c>
      <c r="D2097" s="4">
        <v>26867</v>
      </c>
      <c r="E2097" s="4">
        <v>26600</v>
      </c>
      <c r="F2097" s="4" t="str">
        <v>14.52K</v>
      </c>
      <c r="G2097" s="4" t="str">
        <v>-0.15%</v>
      </c>
      <c r="H2097" s="3">
        <v>42397</v>
      </c>
      <c r="I2097" s="4">
        <v>26733.5</v>
      </c>
    </row>
    <row r="2098" spans="1:9" x14ac:dyDescent="0.25">
      <c r="A2098" s="3">
        <v>42396</v>
      </c>
      <c r="B2098" s="4">
        <v>26749</v>
      </c>
      <c r="C2098" s="4">
        <v>26450</v>
      </c>
      <c r="D2098" s="4">
        <v>26809</v>
      </c>
      <c r="E2098" s="4">
        <v>26450</v>
      </c>
      <c r="F2098" s="4" t="str">
        <v>12.13K</v>
      </c>
      <c r="G2098" s="4" t="str">
        <v>1.37%</v>
      </c>
      <c r="H2098" s="3">
        <v>42396</v>
      </c>
      <c r="I2098" s="4">
        <v>26629.5</v>
      </c>
    </row>
    <row r="2099" spans="1:9" x14ac:dyDescent="0.25">
      <c r="A2099" s="3">
        <v>42394</v>
      </c>
      <c r="B2099" s="4">
        <v>26387</v>
      </c>
      <c r="C2099" s="4">
        <v>26247</v>
      </c>
      <c r="D2099" s="4">
        <v>26442</v>
      </c>
      <c r="E2099" s="4">
        <v>26206</v>
      </c>
      <c r="F2099" s="4" t="str">
        <v>13.55K</v>
      </c>
      <c r="G2099" s="4" t="str">
        <v>0.87%</v>
      </c>
      <c r="H2099" s="3">
        <v>42394</v>
      </c>
      <c r="I2099" s="4">
        <v>26324</v>
      </c>
    </row>
    <row r="2100" spans="1:9" x14ac:dyDescent="0.25">
      <c r="A2100" s="3">
        <v>42391</v>
      </c>
      <c r="B2100" s="4">
        <v>26160</v>
      </c>
      <c r="C2100" s="4">
        <v>26281</v>
      </c>
      <c r="D2100" s="4">
        <v>26282</v>
      </c>
      <c r="E2100" s="4">
        <v>26100</v>
      </c>
      <c r="F2100" s="4" t="str">
        <v>15.20K</v>
      </c>
      <c r="G2100" s="4" t="str">
        <v>-0.11%</v>
      </c>
      <c r="H2100" s="3">
        <v>42391</v>
      </c>
      <c r="I2100" s="4">
        <v>26191</v>
      </c>
    </row>
    <row r="2101" spans="1:9" x14ac:dyDescent="0.25">
      <c r="A2101" s="3">
        <v>42390</v>
      </c>
      <c r="B2101" s="4">
        <v>26190</v>
      </c>
      <c r="C2101" s="4">
        <v>26361</v>
      </c>
      <c r="D2101" s="4">
        <v>26507</v>
      </c>
      <c r="E2101" s="4">
        <v>26151</v>
      </c>
      <c r="F2101" s="4" t="str">
        <v>22.62K</v>
      </c>
      <c r="G2101" s="4" t="str">
        <v>-1.39%</v>
      </c>
      <c r="H2101" s="3">
        <v>42390</v>
      </c>
      <c r="I2101" s="4">
        <v>26329</v>
      </c>
    </row>
    <row r="2102" spans="1:9" x14ac:dyDescent="0.25">
      <c r="A2102" s="3">
        <v>42389</v>
      </c>
      <c r="B2102" s="4">
        <v>26559</v>
      </c>
      <c r="C2102" s="4">
        <v>26199</v>
      </c>
      <c r="D2102" s="4">
        <v>26658</v>
      </c>
      <c r="E2102" s="4">
        <v>26164</v>
      </c>
      <c r="F2102" s="4" t="str">
        <v>24.22K</v>
      </c>
      <c r="G2102" s="4" t="str">
        <v>1.93%</v>
      </c>
      <c r="H2102" s="3">
        <v>42389</v>
      </c>
      <c r="I2102" s="4">
        <v>26411</v>
      </c>
    </row>
    <row r="2103" spans="1:9" x14ac:dyDescent="0.25">
      <c r="A2103" s="3">
        <v>42388</v>
      </c>
      <c r="B2103" s="4">
        <v>26057</v>
      </c>
      <c r="C2103" s="4">
        <v>26023</v>
      </c>
      <c r="D2103" s="4">
        <v>26080</v>
      </c>
      <c r="E2103" s="4">
        <v>25860</v>
      </c>
      <c r="F2103" s="4" t="str">
        <v>14.44K</v>
      </c>
      <c r="G2103" s="4" t="str">
        <v>-0.03%</v>
      </c>
      <c r="H2103" s="3">
        <v>42388</v>
      </c>
      <c r="I2103" s="4">
        <v>25970</v>
      </c>
    </row>
    <row r="2104" spans="1:9" x14ac:dyDescent="0.25">
      <c r="A2104" s="3">
        <v>42387</v>
      </c>
      <c r="B2104" s="4">
        <v>26065</v>
      </c>
      <c r="C2104" s="4">
        <v>26053</v>
      </c>
      <c r="D2104" s="4">
        <v>26100</v>
      </c>
      <c r="E2104" s="4">
        <v>25966</v>
      </c>
      <c r="F2104" s="4" t="str">
        <v>9.73K</v>
      </c>
      <c r="G2104" s="4" t="str">
        <v>-0.18%</v>
      </c>
      <c r="H2104" s="3">
        <v>42387</v>
      </c>
      <c r="I2104" s="4">
        <v>26033</v>
      </c>
    </row>
    <row r="2105" spans="1:9" x14ac:dyDescent="0.25">
      <c r="A2105" s="3">
        <v>42384</v>
      </c>
      <c r="B2105" s="4">
        <v>26112</v>
      </c>
      <c r="C2105" s="4">
        <v>25658</v>
      </c>
      <c r="D2105" s="4">
        <v>26215</v>
      </c>
      <c r="E2105" s="4">
        <v>25658</v>
      </c>
      <c r="F2105" s="4" t="str">
        <v>20.66K</v>
      </c>
      <c r="G2105" s="4" t="str">
        <v>1.85%</v>
      </c>
      <c r="H2105" s="3">
        <v>42384</v>
      </c>
      <c r="I2105" s="4">
        <v>25936.5</v>
      </c>
    </row>
    <row r="2106" spans="1:9" x14ac:dyDescent="0.25">
      <c r="A2106" s="3">
        <v>42383</v>
      </c>
      <c r="B2106" s="4">
        <v>25637</v>
      </c>
      <c r="C2106" s="4">
        <v>25824</v>
      </c>
      <c r="D2106" s="4">
        <v>26015</v>
      </c>
      <c r="E2106" s="4">
        <v>25591</v>
      </c>
      <c r="F2106" s="4" t="str">
        <v>18.09K</v>
      </c>
      <c r="G2106" s="4" t="str">
        <v>-0.38%</v>
      </c>
      <c r="H2106" s="3">
        <v>42383</v>
      </c>
      <c r="I2106" s="4">
        <v>25803</v>
      </c>
    </row>
    <row r="2107" spans="1:9" x14ac:dyDescent="0.25">
      <c r="A2107" s="3">
        <v>42382</v>
      </c>
      <c r="B2107" s="4">
        <v>25735</v>
      </c>
      <c r="C2107" s="4">
        <v>25620</v>
      </c>
      <c r="D2107" s="4">
        <v>25790</v>
      </c>
      <c r="E2107" s="4">
        <v>25516</v>
      </c>
      <c r="F2107" s="4" t="str">
        <v>15.48K</v>
      </c>
      <c r="G2107" s="4" t="str">
        <v>0.24%</v>
      </c>
      <c r="H2107" s="3">
        <v>42382</v>
      </c>
      <c r="I2107" s="4">
        <v>25653</v>
      </c>
    </row>
    <row r="2108" spans="1:9" x14ac:dyDescent="0.25">
      <c r="A2108" s="3">
        <v>42381</v>
      </c>
      <c r="B2108" s="4">
        <v>25674</v>
      </c>
      <c r="C2108" s="4">
        <v>25883</v>
      </c>
      <c r="D2108" s="4">
        <v>25966</v>
      </c>
      <c r="E2108" s="4">
        <v>25614</v>
      </c>
      <c r="F2108" s="4" t="str">
        <v>17.69K</v>
      </c>
      <c r="G2108" s="4" t="str">
        <v>-0.76%</v>
      </c>
      <c r="H2108" s="3">
        <v>42381</v>
      </c>
      <c r="I2108" s="4">
        <v>25790</v>
      </c>
    </row>
    <row r="2109" spans="1:9" x14ac:dyDescent="0.25">
      <c r="A2109" s="3">
        <v>42380</v>
      </c>
      <c r="B2109" s="4">
        <v>25870</v>
      </c>
      <c r="C2109" s="4">
        <v>26098</v>
      </c>
      <c r="D2109" s="4">
        <v>26118</v>
      </c>
      <c r="E2109" s="4">
        <v>25834</v>
      </c>
      <c r="F2109" s="4" t="str">
        <v>16.99K</v>
      </c>
      <c r="G2109" s="4" t="str">
        <v>-0.43%</v>
      </c>
      <c r="H2109" s="3">
        <v>42380</v>
      </c>
      <c r="I2109" s="4">
        <v>25976</v>
      </c>
    </row>
    <row r="2110" spans="1:9" x14ac:dyDescent="0.25">
      <c r="A2110" s="3">
        <v>42377</v>
      </c>
      <c r="B2110" s="4">
        <v>25982</v>
      </c>
      <c r="C2110" s="4">
        <v>26022</v>
      </c>
      <c r="D2110" s="4">
        <v>26088</v>
      </c>
      <c r="E2110" s="4">
        <v>25770</v>
      </c>
      <c r="F2110" s="4" t="str">
        <v>22.33K</v>
      </c>
      <c r="G2110" s="4" t="str">
        <v>-0.45%</v>
      </c>
      <c r="H2110" s="3">
        <v>42377</v>
      </c>
      <c r="I2110" s="4">
        <v>25929</v>
      </c>
    </row>
    <row r="2111" spans="1:9" x14ac:dyDescent="0.25">
      <c r="A2111" s="3">
        <v>42376</v>
      </c>
      <c r="B2111" s="4">
        <v>26100</v>
      </c>
      <c r="C2111" s="4">
        <v>25800</v>
      </c>
      <c r="D2111" s="4">
        <v>26123</v>
      </c>
      <c r="E2111" s="4">
        <v>25769</v>
      </c>
      <c r="F2111" s="4" t="str">
        <v>23.02K</v>
      </c>
      <c r="G2111" s="4" t="str">
        <v>1.39%</v>
      </c>
      <c r="H2111" s="3">
        <v>42376</v>
      </c>
      <c r="I2111" s="4">
        <v>25946</v>
      </c>
    </row>
    <row r="2112" spans="1:9" x14ac:dyDescent="0.25">
      <c r="A2112" s="3">
        <v>42375</v>
      </c>
      <c r="B2112" s="4">
        <v>25741</v>
      </c>
      <c r="C2112" s="4">
        <v>25469</v>
      </c>
      <c r="D2112" s="4">
        <v>25784</v>
      </c>
      <c r="E2112" s="4">
        <v>25439</v>
      </c>
      <c r="F2112" s="4" t="str">
        <v>22.28K</v>
      </c>
      <c r="G2112" s="4" t="str">
        <v>1.39%</v>
      </c>
      <c r="H2112" s="3">
        <v>42375</v>
      </c>
      <c r="I2112" s="4">
        <v>25611.5</v>
      </c>
    </row>
    <row r="2113" spans="1:9" x14ac:dyDescent="0.25">
      <c r="A2113" s="3">
        <v>42374</v>
      </c>
      <c r="B2113" s="4">
        <v>25388</v>
      </c>
      <c r="C2113" s="4">
        <v>25336</v>
      </c>
      <c r="D2113" s="4">
        <v>25490</v>
      </c>
      <c r="E2113" s="4">
        <v>25318</v>
      </c>
      <c r="F2113" s="4" t="str">
        <v>14.22K</v>
      </c>
      <c r="G2113" s="4" t="str">
        <v>-0.04%</v>
      </c>
      <c r="H2113" s="3">
        <v>42374</v>
      </c>
      <c r="I2113" s="4">
        <v>25404</v>
      </c>
    </row>
    <row r="2114" spans="1:9" x14ac:dyDescent="0.25">
      <c r="A2114" s="3">
        <v>42373</v>
      </c>
      <c r="B2114" s="4">
        <v>25397</v>
      </c>
      <c r="C2114" s="4">
        <v>25040</v>
      </c>
      <c r="D2114" s="4">
        <v>25521</v>
      </c>
      <c r="E2114" s="4">
        <v>25034</v>
      </c>
      <c r="F2114" s="4" t="str">
        <v>19.48K</v>
      </c>
      <c r="G2114" s="4" t="str">
        <v>1.74%</v>
      </c>
      <c r="H2114" s="3">
        <v>42373</v>
      </c>
      <c r="I2114" s="4">
        <v>25277.5</v>
      </c>
    </row>
    <row r="2115" spans="1:9" x14ac:dyDescent="0.25">
      <c r="A2115" s="3">
        <v>42370</v>
      </c>
      <c r="B2115" s="4">
        <v>24962</v>
      </c>
      <c r="C2115" s="4">
        <v>24913</v>
      </c>
      <c r="D2115" s="4">
        <v>25039</v>
      </c>
      <c r="E2115" s="4">
        <v>24913</v>
      </c>
      <c r="F2115" s="4" t="str">
        <v>1.95K</v>
      </c>
      <c r="G2115" s="4" t="str">
        <v>0.12%</v>
      </c>
      <c r="H2115" s="3">
        <v>42370</v>
      </c>
      <c r="I2115" s="4">
        <v>24976</v>
      </c>
    </row>
    <row r="2116" spans="1:9" x14ac:dyDescent="0.25">
      <c r="A2116" s="3">
        <v>42369</v>
      </c>
      <c r="B2116" s="4">
        <v>24931</v>
      </c>
      <c r="C2116" s="4">
        <v>25009</v>
      </c>
      <c r="D2116" s="4">
        <v>25013</v>
      </c>
      <c r="E2116" s="4">
        <v>24850</v>
      </c>
      <c r="F2116" s="4" t="str">
        <v>8.26K</v>
      </c>
      <c r="G2116" s="4" t="str">
        <v>-0.20%</v>
      </c>
      <c r="H2116" s="3">
        <v>42369</v>
      </c>
      <c r="I2116" s="4">
        <v>24931.5</v>
      </c>
    </row>
    <row r="2117" spans="1:9" x14ac:dyDescent="0.25">
      <c r="A2117" s="3">
        <v>42368</v>
      </c>
      <c r="B2117" s="4">
        <v>24982</v>
      </c>
      <c r="C2117" s="4">
        <v>25200</v>
      </c>
      <c r="D2117" s="4">
        <v>25217</v>
      </c>
      <c r="E2117" s="4">
        <v>24970</v>
      </c>
      <c r="F2117" s="4" t="str">
        <v>12.45K</v>
      </c>
      <c r="G2117" s="4" t="str">
        <v>-0.59%</v>
      </c>
      <c r="H2117" s="3">
        <v>42368</v>
      </c>
      <c r="I2117" s="4">
        <v>25093.5</v>
      </c>
    </row>
    <row r="2118" spans="1:9" x14ac:dyDescent="0.25">
      <c r="A2118" s="3">
        <v>42367</v>
      </c>
      <c r="B2118" s="4">
        <v>25130</v>
      </c>
      <c r="C2118" s="4">
        <v>25207</v>
      </c>
      <c r="D2118" s="4">
        <v>25279</v>
      </c>
      <c r="E2118" s="4">
        <v>25111</v>
      </c>
      <c r="F2118" s="4" t="str">
        <v>10.95K</v>
      </c>
      <c r="G2118" s="4" t="str">
        <v>0.02%</v>
      </c>
      <c r="H2118" s="3">
        <v>42367</v>
      </c>
      <c r="I2118" s="4">
        <v>25195</v>
      </c>
    </row>
    <row r="2119" spans="1:9" x14ac:dyDescent="0.25">
      <c r="A2119" s="3">
        <v>42366</v>
      </c>
      <c r="B2119" s="4">
        <v>25125</v>
      </c>
      <c r="C2119" s="4">
        <v>25193</v>
      </c>
      <c r="D2119" s="4">
        <v>25205</v>
      </c>
      <c r="E2119" s="4">
        <v>25111</v>
      </c>
      <c r="F2119" s="4" t="str">
        <v>7.85K</v>
      </c>
      <c r="G2119" s="4" t="str">
        <v>-0.35%</v>
      </c>
      <c r="H2119" s="3">
        <v>42366</v>
      </c>
      <c r="I2119" s="4">
        <v>25158</v>
      </c>
    </row>
    <row r="2120" spans="1:9" x14ac:dyDescent="0.25">
      <c r="A2120" s="3">
        <v>42362</v>
      </c>
      <c r="B2120" s="4">
        <v>25212</v>
      </c>
      <c r="C2120" s="4">
        <v>25123</v>
      </c>
      <c r="D2120" s="4">
        <v>25227</v>
      </c>
      <c r="E2120" s="4">
        <v>25092</v>
      </c>
      <c r="F2120" s="4" t="str">
        <v>5.25K</v>
      </c>
      <c r="G2120" s="4" t="str">
        <v>0.58%</v>
      </c>
      <c r="H2120" s="3">
        <v>42362</v>
      </c>
      <c r="I2120" s="4">
        <v>25159.5</v>
      </c>
    </row>
    <row r="2121" spans="1:9" x14ac:dyDescent="0.25">
      <c r="A2121" s="3">
        <v>42361</v>
      </c>
      <c r="B2121" s="4">
        <v>25067</v>
      </c>
      <c r="C2121" s="4">
        <v>25222</v>
      </c>
      <c r="D2121" s="4">
        <v>25240</v>
      </c>
      <c r="E2121" s="4">
        <v>25055</v>
      </c>
      <c r="F2121" s="4" t="str">
        <v>11.94K</v>
      </c>
      <c r="G2121" s="4" t="str">
        <v>-0.73%</v>
      </c>
      <c r="H2121" s="3">
        <v>42361</v>
      </c>
      <c r="I2121" s="4">
        <v>25147.5</v>
      </c>
    </row>
    <row r="2122" spans="1:9" x14ac:dyDescent="0.25">
      <c r="A2122" s="3">
        <v>42360</v>
      </c>
      <c r="B2122" s="4">
        <v>25251</v>
      </c>
      <c r="C2122" s="4">
        <v>25339</v>
      </c>
      <c r="D2122" s="4">
        <v>25397</v>
      </c>
      <c r="E2122" s="4">
        <v>25230</v>
      </c>
      <c r="F2122" s="4" t="str">
        <v>12.00K</v>
      </c>
      <c r="G2122" s="4" t="str">
        <v>-0.53%</v>
      </c>
      <c r="H2122" s="3">
        <v>42360</v>
      </c>
      <c r="I2122" s="4">
        <v>25313.5</v>
      </c>
    </row>
    <row r="2123" spans="1:9" x14ac:dyDescent="0.25">
      <c r="A2123" s="3">
        <v>42359</v>
      </c>
      <c r="B2123" s="4">
        <v>25385</v>
      </c>
      <c r="C2123" s="4">
        <v>25173</v>
      </c>
      <c r="D2123" s="4">
        <v>25413</v>
      </c>
      <c r="E2123" s="4">
        <v>25130</v>
      </c>
      <c r="F2123" s="4" t="str">
        <v>15.33K</v>
      </c>
      <c r="G2123" s="4" t="str">
        <v>1.21%</v>
      </c>
      <c r="H2123" s="3">
        <v>42359</v>
      </c>
      <c r="I2123" s="4">
        <v>25271.5</v>
      </c>
    </row>
    <row r="2124" spans="1:9" x14ac:dyDescent="0.25">
      <c r="A2124" s="3">
        <v>42356</v>
      </c>
      <c r="B2124" s="4">
        <v>25082</v>
      </c>
      <c r="C2124" s="4">
        <v>24871</v>
      </c>
      <c r="D2124" s="4">
        <v>25228</v>
      </c>
      <c r="E2124" s="4">
        <v>24846</v>
      </c>
      <c r="F2124" s="4" t="str">
        <v>16.88K</v>
      </c>
      <c r="G2124" s="4" t="str">
        <v>0.97%</v>
      </c>
      <c r="H2124" s="3">
        <v>42356</v>
      </c>
      <c r="I2124" s="4">
        <v>25037</v>
      </c>
    </row>
    <row r="2125" spans="1:9" x14ac:dyDescent="0.25">
      <c r="A2125" s="3">
        <v>42355</v>
      </c>
      <c r="B2125" s="4">
        <v>24841</v>
      </c>
      <c r="C2125" s="4">
        <v>25370</v>
      </c>
      <c r="D2125" s="4">
        <v>25370</v>
      </c>
      <c r="E2125" s="4">
        <v>24740</v>
      </c>
      <c r="F2125" s="4" t="str">
        <v>21.52K</v>
      </c>
      <c r="G2125" s="4" t="str">
        <v>-2.46%</v>
      </c>
      <c r="H2125" s="3">
        <v>42355</v>
      </c>
      <c r="I2125" s="4">
        <v>25055</v>
      </c>
    </row>
    <row r="2126" spans="1:9" x14ac:dyDescent="0.25">
      <c r="A2126" s="3">
        <v>42354</v>
      </c>
      <c r="B2126" s="4">
        <v>25468</v>
      </c>
      <c r="C2126" s="4">
        <v>25307</v>
      </c>
      <c r="D2126" s="4">
        <v>25498</v>
      </c>
      <c r="E2126" s="4">
        <v>25203</v>
      </c>
      <c r="F2126" s="4" t="str">
        <v>13.79K</v>
      </c>
      <c r="G2126" s="4" t="str">
        <v>0.80%</v>
      </c>
      <c r="H2126" s="3">
        <v>42354</v>
      </c>
      <c r="I2126" s="4">
        <v>25350.5</v>
      </c>
    </row>
    <row r="2127" spans="1:9" x14ac:dyDescent="0.25">
      <c r="A2127" s="3">
        <v>42353</v>
      </c>
      <c r="B2127" s="4">
        <v>25266</v>
      </c>
      <c r="C2127" s="4">
        <v>25333</v>
      </c>
      <c r="D2127" s="4">
        <v>25419</v>
      </c>
      <c r="E2127" s="4">
        <v>25190</v>
      </c>
      <c r="F2127" s="4" t="str">
        <v>13.69K</v>
      </c>
      <c r="G2127" s="4" t="str">
        <v>-0.32%</v>
      </c>
      <c r="H2127" s="3">
        <v>42353</v>
      </c>
      <c r="I2127" s="4">
        <v>25304.5</v>
      </c>
    </row>
    <row r="2128" spans="1:9" x14ac:dyDescent="0.25">
      <c r="A2128" s="3">
        <v>42352</v>
      </c>
      <c r="B2128" s="4">
        <v>25347</v>
      </c>
      <c r="C2128" s="4">
        <v>25606</v>
      </c>
      <c r="D2128" s="4">
        <v>25623</v>
      </c>
      <c r="E2128" s="4">
        <v>25335</v>
      </c>
      <c r="F2128" s="4" t="str">
        <v>13.58K</v>
      </c>
      <c r="G2128" s="4" t="str">
        <v>-1.29%</v>
      </c>
      <c r="H2128" s="3">
        <v>42352</v>
      </c>
      <c r="I2128" s="4">
        <v>25479</v>
      </c>
    </row>
    <row r="2129" spans="1:9" x14ac:dyDescent="0.25">
      <c r="A2129" s="3">
        <v>42349</v>
      </c>
      <c r="B2129" s="4">
        <v>25679</v>
      </c>
      <c r="C2129" s="4">
        <v>25357</v>
      </c>
      <c r="D2129" s="4">
        <v>25714</v>
      </c>
      <c r="E2129" s="4">
        <v>25270</v>
      </c>
      <c r="F2129" s="4" t="str">
        <v>18.31K</v>
      </c>
      <c r="G2129" s="4" t="str">
        <v>1.03%</v>
      </c>
      <c r="H2129" s="3">
        <v>42349</v>
      </c>
      <c r="I2129" s="4">
        <v>25492</v>
      </c>
    </row>
    <row r="2130" spans="1:9" x14ac:dyDescent="0.25">
      <c r="A2130" s="3">
        <v>42348</v>
      </c>
      <c r="B2130" s="4">
        <v>25418</v>
      </c>
      <c r="C2130" s="4">
        <v>25515</v>
      </c>
      <c r="D2130" s="4">
        <v>25544</v>
      </c>
      <c r="E2130" s="4">
        <v>25391</v>
      </c>
      <c r="F2130" s="4" t="str">
        <v>10.36K</v>
      </c>
      <c r="G2130" s="4" t="str">
        <v>-0.72%</v>
      </c>
      <c r="H2130" s="3">
        <v>42348</v>
      </c>
      <c r="I2130" s="4">
        <v>25467.5</v>
      </c>
    </row>
    <row r="2131" spans="1:9" x14ac:dyDescent="0.25">
      <c r="A2131" s="3">
        <v>42347</v>
      </c>
      <c r="B2131" s="4">
        <v>25602</v>
      </c>
      <c r="C2131" s="4">
        <v>25530</v>
      </c>
      <c r="D2131" s="4">
        <v>25747</v>
      </c>
      <c r="E2131" s="4">
        <v>25430</v>
      </c>
      <c r="F2131" s="4" t="str">
        <v>15.68K</v>
      </c>
      <c r="G2131" s="4" t="str">
        <v>0.30%</v>
      </c>
      <c r="H2131" s="3">
        <v>42347</v>
      </c>
      <c r="I2131" s="4">
        <v>25588.5</v>
      </c>
    </row>
    <row r="2132" spans="1:9" x14ac:dyDescent="0.25">
      <c r="A2132" s="3">
        <v>42346</v>
      </c>
      <c r="B2132" s="4">
        <v>25526</v>
      </c>
      <c r="C2132" s="4">
        <v>25500</v>
      </c>
      <c r="D2132" s="4">
        <v>25614</v>
      </c>
      <c r="E2132" s="4">
        <v>25387</v>
      </c>
      <c r="F2132" s="4" t="str">
        <v>14.58K</v>
      </c>
      <c r="G2132" s="4" t="str">
        <v>-0.10%</v>
      </c>
      <c r="H2132" s="3">
        <v>42346</v>
      </c>
      <c r="I2132" s="4">
        <v>25500.5</v>
      </c>
    </row>
    <row r="2133" spans="1:9" x14ac:dyDescent="0.25">
      <c r="A2133" s="3">
        <v>42345</v>
      </c>
      <c r="B2133" s="4">
        <v>25552</v>
      </c>
      <c r="C2133" s="4">
        <v>25710</v>
      </c>
      <c r="D2133" s="4">
        <v>25715</v>
      </c>
      <c r="E2133" s="4">
        <v>25512</v>
      </c>
      <c r="F2133" s="4" t="str">
        <v>9.11K</v>
      </c>
      <c r="G2133" s="4" t="str">
        <v>1.13%</v>
      </c>
      <c r="H2133" s="3">
        <v>42345</v>
      </c>
      <c r="I2133" s="4">
        <v>25613.5</v>
      </c>
    </row>
    <row r="2134" spans="1:9" x14ac:dyDescent="0.25">
      <c r="A2134" s="3">
        <v>42342</v>
      </c>
      <c r="B2134" s="4">
        <v>25267</v>
      </c>
      <c r="C2134" s="4">
        <v>25095</v>
      </c>
      <c r="D2134" s="4">
        <v>25685</v>
      </c>
      <c r="E2134" s="4">
        <v>25040</v>
      </c>
      <c r="F2134" s="4" t="str">
        <v>0.02K</v>
      </c>
      <c r="G2134" s="4" t="str">
        <v>1.32%</v>
      </c>
      <c r="H2134" s="3">
        <v>42342</v>
      </c>
      <c r="I2134" s="4">
        <v>25362.5</v>
      </c>
    </row>
    <row r="2135" spans="1:9" x14ac:dyDescent="0.25">
      <c r="A2135" s="3">
        <v>42341</v>
      </c>
      <c r="B2135" s="4">
        <v>24937</v>
      </c>
      <c r="C2135" s="4">
        <v>24804</v>
      </c>
      <c r="D2135" s="4">
        <v>25060</v>
      </c>
      <c r="E2135" s="4">
        <v>24757</v>
      </c>
      <c r="F2135" s="4" t="str">
        <v>0.21K</v>
      </c>
      <c r="G2135" s="4" t="str">
        <v>0.39%</v>
      </c>
      <c r="H2135" s="3">
        <v>42341</v>
      </c>
      <c r="I2135" s="4">
        <v>24908.5</v>
      </c>
    </row>
    <row r="2136" spans="1:9" x14ac:dyDescent="0.25">
      <c r="A2136" s="3">
        <v>42340</v>
      </c>
      <c r="B2136" s="4">
        <v>24840</v>
      </c>
      <c r="C2136" s="4">
        <v>25065</v>
      </c>
      <c r="D2136" s="4">
        <v>25127</v>
      </c>
      <c r="E2136" s="4">
        <v>24814</v>
      </c>
      <c r="F2136" s="4" t="str">
        <v>0.24K</v>
      </c>
      <c r="G2136" s="4" t="str">
        <v>-0.62%</v>
      </c>
      <c r="H2136" s="3">
        <v>42340</v>
      </c>
      <c r="I2136" s="4">
        <v>24970.5</v>
      </c>
    </row>
    <row r="2137" spans="1:9" x14ac:dyDescent="0.25">
      <c r="A2137" s="3">
        <v>42339</v>
      </c>
      <c r="B2137" s="4">
        <v>24994</v>
      </c>
      <c r="C2137" s="4">
        <v>25183</v>
      </c>
      <c r="D2137" s="4">
        <v>25218</v>
      </c>
      <c r="E2137" s="4">
        <v>24973</v>
      </c>
      <c r="F2137" s="4" t="str">
        <v>2.17K</v>
      </c>
      <c r="G2137" s="4" t="str">
        <v>-0.30%</v>
      </c>
      <c r="H2137" s="3">
        <v>42339</v>
      </c>
      <c r="I2137" s="4">
        <v>25095.5</v>
      </c>
    </row>
    <row r="2138" spans="1:9" x14ac:dyDescent="0.25">
      <c r="A2138" s="3">
        <v>42338</v>
      </c>
      <c r="B2138" s="4">
        <v>25069</v>
      </c>
      <c r="C2138" s="4">
        <v>24994</v>
      </c>
      <c r="D2138" s="4">
        <v>25115</v>
      </c>
      <c r="E2138" s="4">
        <v>24935</v>
      </c>
      <c r="F2138" s="4" t="str">
        <v>9.18K</v>
      </c>
      <c r="G2138" s="4" t="str">
        <v>0.04%</v>
      </c>
      <c r="H2138" s="3">
        <v>42338</v>
      </c>
      <c r="I2138" s="4">
        <v>25025</v>
      </c>
    </row>
    <row r="2139" spans="1:9" x14ac:dyDescent="0.25">
      <c r="A2139" s="3">
        <v>42335</v>
      </c>
      <c r="B2139" s="4">
        <v>25059</v>
      </c>
      <c r="C2139" s="4">
        <v>25244</v>
      </c>
      <c r="D2139" s="4">
        <v>25278</v>
      </c>
      <c r="E2139" s="4">
        <v>24965</v>
      </c>
      <c r="F2139" s="4" t="str">
        <v>14.45K</v>
      </c>
      <c r="G2139" s="4" t="str">
        <v>-0.88%</v>
      </c>
      <c r="H2139" s="3">
        <v>42335</v>
      </c>
      <c r="I2139" s="4">
        <v>25121.5</v>
      </c>
    </row>
    <row r="2140" spans="1:9" x14ac:dyDescent="0.25">
      <c r="A2140" s="3">
        <v>42334</v>
      </c>
      <c r="B2140" s="4">
        <v>25281</v>
      </c>
      <c r="C2140" s="4">
        <v>25255</v>
      </c>
      <c r="D2140" s="4">
        <v>25337</v>
      </c>
      <c r="E2140" s="4">
        <v>25250</v>
      </c>
      <c r="F2140" s="4" t="str">
        <v>7.84K</v>
      </c>
      <c r="G2140" s="4" t="str">
        <v>0.23%</v>
      </c>
      <c r="H2140" s="3">
        <v>42334</v>
      </c>
      <c r="I2140" s="4">
        <v>25293.5</v>
      </c>
    </row>
    <row r="2141" spans="1:9" x14ac:dyDescent="0.25">
      <c r="A2141" s="3">
        <v>42333</v>
      </c>
      <c r="B2141" s="4">
        <v>25222</v>
      </c>
      <c r="C2141" s="4">
        <v>25243</v>
      </c>
      <c r="D2141" s="4">
        <v>25275</v>
      </c>
      <c r="E2141" s="4">
        <v>25141</v>
      </c>
      <c r="F2141" s="4" t="str">
        <v>6.98K</v>
      </c>
      <c r="G2141" s="4" t="str">
        <v>-0.26%</v>
      </c>
      <c r="H2141" s="3">
        <v>42333</v>
      </c>
      <c r="I2141" s="4">
        <v>25208</v>
      </c>
    </row>
    <row r="2142" spans="1:9" x14ac:dyDescent="0.25">
      <c r="A2142" s="3">
        <v>42332</v>
      </c>
      <c r="B2142" s="4">
        <v>25289</v>
      </c>
      <c r="C2142" s="4">
        <v>25193</v>
      </c>
      <c r="D2142" s="4">
        <v>25379</v>
      </c>
      <c r="E2142" s="4">
        <v>25171</v>
      </c>
      <c r="F2142" s="4" t="str">
        <v>12.90K</v>
      </c>
      <c r="G2142" s="4" t="str">
        <v>0.49%</v>
      </c>
      <c r="H2142" s="3">
        <v>42332</v>
      </c>
      <c r="I2142" s="4">
        <v>25275</v>
      </c>
    </row>
    <row r="2143" spans="1:9" x14ac:dyDescent="0.25">
      <c r="A2143" s="3">
        <v>42331</v>
      </c>
      <c r="B2143" s="4">
        <v>25165</v>
      </c>
      <c r="C2143" s="4">
        <v>25183</v>
      </c>
      <c r="D2143" s="4">
        <v>25280</v>
      </c>
      <c r="E2143" s="4">
        <v>25081</v>
      </c>
      <c r="F2143" s="4" t="str">
        <v>14.03K</v>
      </c>
      <c r="G2143" s="4" t="str">
        <v>-0.31%</v>
      </c>
      <c r="H2143" s="3">
        <v>42331</v>
      </c>
      <c r="I2143" s="4">
        <v>25180.5</v>
      </c>
    </row>
    <row r="2144" spans="1:9" x14ac:dyDescent="0.25">
      <c r="A2144" s="3">
        <v>42328</v>
      </c>
      <c r="B2144" s="4">
        <v>25243</v>
      </c>
      <c r="C2144" s="4">
        <v>25361</v>
      </c>
      <c r="D2144" s="4">
        <v>25491</v>
      </c>
      <c r="E2144" s="4">
        <v>25200</v>
      </c>
      <c r="F2144" s="4" t="str">
        <v>15.03K</v>
      </c>
      <c r="G2144" s="4" t="str">
        <v>-0.19%</v>
      </c>
      <c r="H2144" s="3">
        <v>42328</v>
      </c>
      <c r="I2144" s="4">
        <v>25345.5</v>
      </c>
    </row>
    <row r="2145" spans="1:9" x14ac:dyDescent="0.25">
      <c r="A2145" s="3">
        <v>42327</v>
      </c>
      <c r="B2145" s="4">
        <v>25291</v>
      </c>
      <c r="C2145" s="4">
        <v>25186</v>
      </c>
      <c r="D2145" s="4">
        <v>25443</v>
      </c>
      <c r="E2145" s="4">
        <v>25100</v>
      </c>
      <c r="F2145" s="4" t="str">
        <v>16.55K</v>
      </c>
      <c r="G2145" s="4" t="str">
        <v>0.79%</v>
      </c>
      <c r="H2145" s="3">
        <v>42327</v>
      </c>
      <c r="I2145" s="4">
        <v>25271.5</v>
      </c>
    </row>
    <row r="2146" spans="1:9" x14ac:dyDescent="0.25">
      <c r="A2146" s="3">
        <v>42326</v>
      </c>
      <c r="B2146" s="4">
        <v>25094</v>
      </c>
      <c r="C2146" s="4">
        <v>24997</v>
      </c>
      <c r="D2146" s="4">
        <v>25174</v>
      </c>
      <c r="E2146" s="4">
        <v>24997</v>
      </c>
      <c r="F2146" s="4" t="str">
        <v>12.16K</v>
      </c>
      <c r="G2146" s="4" t="str">
        <v>0.26%</v>
      </c>
      <c r="H2146" s="3">
        <v>42326</v>
      </c>
      <c r="I2146" s="4">
        <v>25085.5</v>
      </c>
    </row>
    <row r="2147" spans="1:9" x14ac:dyDescent="0.25">
      <c r="A2147" s="3">
        <v>42325</v>
      </c>
      <c r="B2147" s="4">
        <v>25028</v>
      </c>
      <c r="C2147" s="4">
        <v>25290</v>
      </c>
      <c r="D2147" s="4">
        <v>25368</v>
      </c>
      <c r="E2147" s="4">
        <v>24960</v>
      </c>
      <c r="F2147" s="4" t="str">
        <v>17.99K</v>
      </c>
      <c r="G2147" s="4" t="str">
        <v>-1.26%</v>
      </c>
      <c r="H2147" s="3">
        <v>42325</v>
      </c>
      <c r="I2147" s="4">
        <v>25164</v>
      </c>
    </row>
    <row r="2148" spans="1:9" x14ac:dyDescent="0.25">
      <c r="A2148" s="3">
        <v>42324</v>
      </c>
      <c r="B2148" s="4">
        <v>25347</v>
      </c>
      <c r="C2148" s="4">
        <v>25585</v>
      </c>
      <c r="D2148" s="4">
        <v>25725</v>
      </c>
      <c r="E2148" s="4">
        <v>25327</v>
      </c>
      <c r="F2148" s="4" t="str">
        <v>17.09K</v>
      </c>
      <c r="G2148" s="4" t="str">
        <v>-0.10%</v>
      </c>
      <c r="H2148" s="3">
        <v>42324</v>
      </c>
      <c r="I2148" s="4">
        <v>25526</v>
      </c>
    </row>
    <row r="2149" spans="1:9" x14ac:dyDescent="0.25">
      <c r="A2149" s="3">
        <v>42321</v>
      </c>
      <c r="B2149" s="4">
        <v>25372</v>
      </c>
      <c r="C2149" s="4">
        <v>25390</v>
      </c>
      <c r="D2149" s="4">
        <v>25499</v>
      </c>
      <c r="E2149" s="4">
        <v>25336</v>
      </c>
      <c r="F2149" s="4" t="str">
        <v>10.52K</v>
      </c>
      <c r="G2149" s="4" t="str">
        <v>0.17%</v>
      </c>
      <c r="H2149" s="3">
        <v>42321</v>
      </c>
      <c r="I2149" s="4">
        <v>25417.5</v>
      </c>
    </row>
    <row r="2150" spans="1:9" x14ac:dyDescent="0.25">
      <c r="A2150" s="3">
        <v>42320</v>
      </c>
      <c r="B2150" s="4">
        <v>25329</v>
      </c>
      <c r="C2150" s="4">
        <v>25455</v>
      </c>
      <c r="D2150" s="4">
        <v>25540</v>
      </c>
      <c r="E2150" s="4">
        <v>25202</v>
      </c>
      <c r="F2150" s="4" t="str">
        <v>10.63K</v>
      </c>
      <c r="G2150" s="4" t="str">
        <v>-0.56%</v>
      </c>
      <c r="H2150" s="3">
        <v>42320</v>
      </c>
      <c r="I2150" s="4">
        <v>25371</v>
      </c>
    </row>
    <row r="2151" spans="1:9" x14ac:dyDescent="0.25">
      <c r="A2151" s="3">
        <v>42319</v>
      </c>
      <c r="B2151" s="4">
        <v>25471</v>
      </c>
      <c r="C2151" s="4">
        <v>25495</v>
      </c>
      <c r="D2151" s="4">
        <v>25529</v>
      </c>
      <c r="E2151" s="4">
        <v>25461</v>
      </c>
      <c r="F2151" s="4" t="str">
        <v>2.35K</v>
      </c>
      <c r="G2151" s="4" t="str">
        <v>-0.43%</v>
      </c>
      <c r="H2151" s="3">
        <v>42319</v>
      </c>
      <c r="I2151" s="4">
        <v>25495</v>
      </c>
    </row>
    <row r="2152" spans="1:9" x14ac:dyDescent="0.25">
      <c r="A2152" s="3">
        <v>42318</v>
      </c>
      <c r="B2152" s="4">
        <v>25582</v>
      </c>
      <c r="C2152" s="4">
        <v>25695</v>
      </c>
      <c r="D2152" s="4">
        <v>25725</v>
      </c>
      <c r="E2152" s="4">
        <v>25491</v>
      </c>
      <c r="F2152" s="4" t="str">
        <v>10.52K</v>
      </c>
      <c r="G2152" s="4" t="str">
        <v>-0.40%</v>
      </c>
      <c r="H2152" s="3">
        <v>42318</v>
      </c>
      <c r="I2152" s="4">
        <v>25608</v>
      </c>
    </row>
    <row r="2153" spans="1:9" x14ac:dyDescent="0.25">
      <c r="A2153" s="3">
        <v>42317</v>
      </c>
      <c r="B2153" s="4">
        <v>25686</v>
      </c>
      <c r="C2153" s="4">
        <v>25722</v>
      </c>
      <c r="D2153" s="4">
        <v>25763</v>
      </c>
      <c r="E2153" s="4">
        <v>25625</v>
      </c>
      <c r="F2153" s="4" t="str">
        <v>11.94K</v>
      </c>
      <c r="G2153" s="4" t="str">
        <v>0.64%</v>
      </c>
      <c r="H2153" s="3">
        <v>42317</v>
      </c>
      <c r="I2153" s="4">
        <v>25694</v>
      </c>
    </row>
    <row r="2154" spans="1:9" x14ac:dyDescent="0.25">
      <c r="A2154" s="3">
        <v>42314</v>
      </c>
      <c r="B2154" s="4">
        <v>25523</v>
      </c>
      <c r="C2154" s="4">
        <v>25815</v>
      </c>
      <c r="D2154" s="4">
        <v>25899</v>
      </c>
      <c r="E2154" s="4">
        <v>25464</v>
      </c>
      <c r="F2154" s="4" t="str">
        <v>18.41K</v>
      </c>
      <c r="G2154" s="4" t="str">
        <v>-1.23%</v>
      </c>
      <c r="H2154" s="3">
        <v>42314</v>
      </c>
      <c r="I2154" s="4">
        <v>25681.5</v>
      </c>
    </row>
    <row r="2155" spans="1:9" x14ac:dyDescent="0.25">
      <c r="A2155" s="3">
        <v>42313</v>
      </c>
      <c r="B2155" s="4">
        <v>25841</v>
      </c>
      <c r="C2155" s="4">
        <v>25819</v>
      </c>
      <c r="D2155" s="4">
        <v>25922</v>
      </c>
      <c r="E2155" s="4">
        <v>25743</v>
      </c>
      <c r="F2155" s="4" t="str">
        <v>16.11K</v>
      </c>
      <c r="G2155" s="4" t="str">
        <v>0.27%</v>
      </c>
      <c r="H2155" s="3">
        <v>42313</v>
      </c>
      <c r="I2155" s="4">
        <v>25832.5</v>
      </c>
    </row>
    <row r="2156" spans="1:9" x14ac:dyDescent="0.25">
      <c r="A2156" s="3">
        <v>42312</v>
      </c>
      <c r="B2156" s="4">
        <v>25771</v>
      </c>
      <c r="C2156" s="4">
        <v>25940</v>
      </c>
      <c r="D2156" s="4">
        <v>26073</v>
      </c>
      <c r="E2156" s="4">
        <v>25732</v>
      </c>
      <c r="F2156" s="4" t="str">
        <v>15.46K</v>
      </c>
      <c r="G2156" s="4" t="str">
        <v>-0.58%</v>
      </c>
      <c r="H2156" s="3">
        <v>42312</v>
      </c>
      <c r="I2156" s="4">
        <v>25902.5</v>
      </c>
    </row>
    <row r="2157" spans="1:9" x14ac:dyDescent="0.25">
      <c r="A2157" s="3">
        <v>42311</v>
      </c>
      <c r="B2157" s="4">
        <v>25922</v>
      </c>
      <c r="C2157" s="4">
        <v>26393</v>
      </c>
      <c r="D2157" s="4">
        <v>26432</v>
      </c>
      <c r="E2157" s="4">
        <v>25884</v>
      </c>
      <c r="F2157" s="4" t="str">
        <v>21.07K</v>
      </c>
      <c r="G2157" s="4" t="str">
        <v>-1.84%</v>
      </c>
      <c r="H2157" s="3">
        <v>42311</v>
      </c>
      <c r="I2157" s="4">
        <v>26158</v>
      </c>
    </row>
    <row r="2158" spans="1:9" x14ac:dyDescent="0.25">
      <c r="A2158" s="3">
        <v>42310</v>
      </c>
      <c r="B2158" s="4">
        <v>26409</v>
      </c>
      <c r="C2158" s="4">
        <v>26480</v>
      </c>
      <c r="D2158" s="4">
        <v>26540</v>
      </c>
      <c r="E2158" s="4">
        <v>26381</v>
      </c>
      <c r="F2158" s="4" t="str">
        <v>9.92K</v>
      </c>
      <c r="G2158" s="4" t="str">
        <v>-0.34%</v>
      </c>
      <c r="H2158" s="3">
        <v>42310</v>
      </c>
      <c r="I2158" s="4">
        <v>26460.5</v>
      </c>
    </row>
    <row r="2159" spans="1:9" x14ac:dyDescent="0.25">
      <c r="A2159" s="3">
        <v>42307</v>
      </c>
      <c r="B2159" s="4">
        <v>26499</v>
      </c>
      <c r="C2159" s="4">
        <v>26588</v>
      </c>
      <c r="D2159" s="4">
        <v>26625</v>
      </c>
      <c r="E2159" s="4">
        <v>26461</v>
      </c>
      <c r="F2159" s="4" t="str">
        <v>14.05K</v>
      </c>
      <c r="G2159" s="4" t="str">
        <v>-0.46%</v>
      </c>
      <c r="H2159" s="3">
        <v>42307</v>
      </c>
      <c r="I2159" s="4">
        <v>26543</v>
      </c>
    </row>
    <row r="2160" spans="1:9" x14ac:dyDescent="0.25">
      <c r="A2160" s="3">
        <v>42306</v>
      </c>
      <c r="B2160" s="4">
        <v>26621</v>
      </c>
      <c r="C2160" s="4">
        <v>27040</v>
      </c>
      <c r="D2160" s="4">
        <v>27040</v>
      </c>
      <c r="E2160" s="4">
        <v>26605</v>
      </c>
      <c r="F2160" s="4" t="str">
        <v>19.48K</v>
      </c>
      <c r="G2160" s="4" t="str">
        <v>-1.67%</v>
      </c>
      <c r="H2160" s="3">
        <v>42306</v>
      </c>
      <c r="I2160" s="4">
        <v>26822.5</v>
      </c>
    </row>
    <row r="2161" spans="1:9" x14ac:dyDescent="0.25">
      <c r="A2161" s="3">
        <v>42305</v>
      </c>
      <c r="B2161" s="4">
        <v>27073</v>
      </c>
      <c r="C2161" s="4">
        <v>26945</v>
      </c>
      <c r="D2161" s="4">
        <v>27189</v>
      </c>
      <c r="E2161" s="4">
        <v>26932</v>
      </c>
      <c r="F2161" s="4" t="str">
        <v>14.50K</v>
      </c>
      <c r="G2161" s="4" t="str">
        <v>0.55%</v>
      </c>
      <c r="H2161" s="3">
        <v>42305</v>
      </c>
      <c r="I2161" s="4">
        <v>27060.5</v>
      </c>
    </row>
    <row r="2162" spans="1:9" x14ac:dyDescent="0.25">
      <c r="A2162" s="3">
        <v>42304</v>
      </c>
      <c r="B2162" s="4">
        <v>26925</v>
      </c>
      <c r="C2162" s="4">
        <v>26806</v>
      </c>
      <c r="D2162" s="4">
        <v>26940</v>
      </c>
      <c r="E2162" s="4">
        <v>26780</v>
      </c>
      <c r="F2162" s="4" t="str">
        <v>10.22K</v>
      </c>
      <c r="G2162" s="4" t="str">
        <v>0.38%</v>
      </c>
      <c r="H2162" s="3">
        <v>42304</v>
      </c>
      <c r="I2162" s="4">
        <v>26860</v>
      </c>
    </row>
    <row r="2163" spans="1:9" x14ac:dyDescent="0.25">
      <c r="A2163" s="3">
        <v>42303</v>
      </c>
      <c r="B2163" s="4">
        <v>26823</v>
      </c>
      <c r="C2163" s="4">
        <v>26834</v>
      </c>
      <c r="D2163" s="4">
        <v>26927</v>
      </c>
      <c r="E2163" s="4">
        <v>26770</v>
      </c>
      <c r="F2163" s="4" t="str">
        <v>11.53K</v>
      </c>
      <c r="G2163" s="4" t="str">
        <v>0.05%</v>
      </c>
      <c r="H2163" s="3">
        <v>42303</v>
      </c>
      <c r="I2163" s="4">
        <v>26848.5</v>
      </c>
    </row>
    <row r="2164" spans="1:9" x14ac:dyDescent="0.25">
      <c r="A2164" s="3">
        <v>42300</v>
      </c>
      <c r="B2164" s="4">
        <v>26809</v>
      </c>
      <c r="C2164" s="4">
        <v>26874</v>
      </c>
      <c r="D2164" s="4">
        <v>27095</v>
      </c>
      <c r="E2164" s="4">
        <v>26726</v>
      </c>
      <c r="F2164" s="4" t="str">
        <v>18.50K</v>
      </c>
      <c r="G2164" s="4" t="str">
        <v>-0.21%</v>
      </c>
      <c r="H2164" s="3">
        <v>42300</v>
      </c>
      <c r="I2164" s="4">
        <v>26910.5</v>
      </c>
    </row>
    <row r="2165" spans="1:9" x14ac:dyDescent="0.25">
      <c r="A2165" s="3">
        <v>42299</v>
      </c>
      <c r="B2165" s="4">
        <v>26865</v>
      </c>
      <c r="C2165" s="4">
        <v>26963</v>
      </c>
      <c r="D2165" s="4">
        <v>27008</v>
      </c>
      <c r="E2165" s="4">
        <v>26843</v>
      </c>
      <c r="F2165" s="4" t="str">
        <v>7.53K</v>
      </c>
      <c r="G2165" s="4" t="str">
        <v>-0.33%</v>
      </c>
      <c r="H2165" s="3">
        <v>42299</v>
      </c>
      <c r="I2165" s="4">
        <v>26925.5</v>
      </c>
    </row>
    <row r="2166" spans="1:9" x14ac:dyDescent="0.25">
      <c r="A2166" s="3">
        <v>42298</v>
      </c>
      <c r="B2166" s="4">
        <v>26955</v>
      </c>
      <c r="C2166" s="4">
        <v>27120</v>
      </c>
      <c r="D2166" s="4">
        <v>27197</v>
      </c>
      <c r="E2166" s="4">
        <v>26925</v>
      </c>
      <c r="F2166" s="4" t="str">
        <v>12.48K</v>
      </c>
      <c r="G2166" s="4" t="str">
        <v>-0.58%</v>
      </c>
      <c r="H2166" s="3">
        <v>42298</v>
      </c>
      <c r="I2166" s="4">
        <v>27061</v>
      </c>
    </row>
    <row r="2167" spans="1:9" x14ac:dyDescent="0.25">
      <c r="A2167" s="3">
        <v>42297</v>
      </c>
      <c r="B2167" s="4">
        <v>27112</v>
      </c>
      <c r="C2167" s="4">
        <v>26927</v>
      </c>
      <c r="D2167" s="4">
        <v>27190</v>
      </c>
      <c r="E2167" s="4">
        <v>26913</v>
      </c>
      <c r="F2167" s="4" t="str">
        <v>15.88K</v>
      </c>
      <c r="G2167" s="4" t="str">
        <v>0.39%</v>
      </c>
      <c r="H2167" s="3">
        <v>42297</v>
      </c>
      <c r="I2167" s="4">
        <v>27051.5</v>
      </c>
    </row>
    <row r="2168" spans="1:9" x14ac:dyDescent="0.25">
      <c r="A2168" s="3">
        <v>42296</v>
      </c>
      <c r="B2168" s="4">
        <v>27006</v>
      </c>
      <c r="C2168" s="4">
        <v>27111</v>
      </c>
      <c r="D2168" s="4">
        <v>27111</v>
      </c>
      <c r="E2168" s="4">
        <v>26922</v>
      </c>
      <c r="F2168" s="4" t="str">
        <v>10.48K</v>
      </c>
      <c r="G2168" s="4" t="str">
        <v>-0.53%</v>
      </c>
      <c r="H2168" s="3">
        <v>42296</v>
      </c>
      <c r="I2168" s="4">
        <v>27016.5</v>
      </c>
    </row>
    <row r="2169" spans="1:9" x14ac:dyDescent="0.25">
      <c r="A2169" s="3">
        <v>42293</v>
      </c>
      <c r="B2169" s="4">
        <v>27150</v>
      </c>
      <c r="C2169" s="4">
        <v>27225</v>
      </c>
      <c r="D2169" s="4">
        <v>27225</v>
      </c>
      <c r="E2169" s="4">
        <v>27063</v>
      </c>
      <c r="F2169" s="4" t="str">
        <v>11.70K</v>
      </c>
      <c r="G2169" s="4" t="str">
        <v>-0.39%</v>
      </c>
      <c r="H2169" s="3">
        <v>42293</v>
      </c>
      <c r="I2169" s="4">
        <v>27144</v>
      </c>
    </row>
    <row r="2170" spans="1:9" x14ac:dyDescent="0.25">
      <c r="A2170" s="3">
        <v>42292</v>
      </c>
      <c r="B2170" s="4">
        <v>27257</v>
      </c>
      <c r="C2170" s="4">
        <v>27211</v>
      </c>
      <c r="D2170" s="4">
        <v>27368</v>
      </c>
      <c r="E2170" s="4">
        <v>27061</v>
      </c>
      <c r="F2170" s="4" t="str">
        <v>21.02K</v>
      </c>
      <c r="G2170" s="4" t="str">
        <v>0.19%</v>
      </c>
      <c r="H2170" s="3">
        <v>42292</v>
      </c>
      <c r="I2170" s="4">
        <v>27214.5</v>
      </c>
    </row>
    <row r="2171" spans="1:9" x14ac:dyDescent="0.25">
      <c r="A2171" s="3">
        <v>42291</v>
      </c>
      <c r="B2171" s="4">
        <v>27206</v>
      </c>
      <c r="C2171" s="4">
        <v>27108</v>
      </c>
      <c r="D2171" s="4">
        <v>27290</v>
      </c>
      <c r="E2171" s="4">
        <v>26900</v>
      </c>
      <c r="F2171" s="4" t="str">
        <v>20.78K</v>
      </c>
      <c r="G2171" s="4" t="str">
        <v>0.84%</v>
      </c>
      <c r="H2171" s="3">
        <v>42291</v>
      </c>
      <c r="I2171" s="4">
        <v>27095</v>
      </c>
    </row>
    <row r="2172" spans="1:9" x14ac:dyDescent="0.25">
      <c r="A2172" s="3">
        <v>42290</v>
      </c>
      <c r="B2172" s="4">
        <v>26979</v>
      </c>
      <c r="C2172" s="4">
        <v>26725</v>
      </c>
      <c r="D2172" s="4">
        <v>27026</v>
      </c>
      <c r="E2172" s="4">
        <v>26631</v>
      </c>
      <c r="F2172" s="4" t="str">
        <v>17.66K</v>
      </c>
      <c r="G2172" s="4" t="str">
        <v>0.71%</v>
      </c>
      <c r="H2172" s="3">
        <v>42290</v>
      </c>
      <c r="I2172" s="4">
        <v>26828.5</v>
      </c>
    </row>
    <row r="2173" spans="1:9" x14ac:dyDescent="0.25">
      <c r="A2173" s="3">
        <v>42289</v>
      </c>
      <c r="B2173" s="4">
        <v>26788</v>
      </c>
      <c r="C2173" s="4">
        <v>26675</v>
      </c>
      <c r="D2173" s="4">
        <v>26938</v>
      </c>
      <c r="E2173" s="4">
        <v>26664</v>
      </c>
      <c r="F2173" s="4" t="str">
        <v>14.76K</v>
      </c>
      <c r="G2173" s="4" t="str">
        <v>0.62%</v>
      </c>
      <c r="H2173" s="3">
        <v>42289</v>
      </c>
      <c r="I2173" s="4">
        <v>26801</v>
      </c>
    </row>
    <row r="2174" spans="1:9" x14ac:dyDescent="0.25">
      <c r="A2174" s="3">
        <v>42286</v>
      </c>
      <c r="B2174" s="4">
        <v>26622</v>
      </c>
      <c r="C2174" s="4">
        <v>26424</v>
      </c>
      <c r="D2174" s="4">
        <v>26696</v>
      </c>
      <c r="E2174" s="4">
        <v>26402</v>
      </c>
      <c r="F2174" s="4" t="str">
        <v>15.14K</v>
      </c>
      <c r="G2174" s="4" t="str">
        <v>0.67%</v>
      </c>
      <c r="H2174" s="3">
        <v>42286</v>
      </c>
      <c r="I2174" s="4">
        <v>26549</v>
      </c>
    </row>
    <row r="2175" spans="1:9" x14ac:dyDescent="0.25">
      <c r="A2175" s="3">
        <v>42285</v>
      </c>
      <c r="B2175" s="4">
        <v>26446</v>
      </c>
      <c r="C2175" s="4">
        <v>26501</v>
      </c>
      <c r="D2175" s="4">
        <v>26534</v>
      </c>
      <c r="E2175" s="4">
        <v>26337</v>
      </c>
      <c r="F2175" s="4" t="str">
        <v>14.52K</v>
      </c>
      <c r="G2175" s="4" t="str">
        <v>-0.41%</v>
      </c>
      <c r="H2175" s="3">
        <v>42285</v>
      </c>
      <c r="I2175" s="4">
        <v>26435.5</v>
      </c>
    </row>
    <row r="2176" spans="1:9" x14ac:dyDescent="0.25">
      <c r="A2176" s="3">
        <v>42284</v>
      </c>
      <c r="B2176" s="4">
        <v>26555</v>
      </c>
      <c r="C2176" s="4">
        <v>26700</v>
      </c>
      <c r="D2176" s="4">
        <v>26788</v>
      </c>
      <c r="E2176" s="4">
        <v>26416</v>
      </c>
      <c r="F2176" s="4" t="str">
        <v>17.49K</v>
      </c>
      <c r="G2176" s="4" t="str">
        <v>-0.25%</v>
      </c>
      <c r="H2176" s="3">
        <v>42284</v>
      </c>
      <c r="I2176" s="4">
        <v>26602</v>
      </c>
    </row>
    <row r="2177" spans="1:9" x14ac:dyDescent="0.25">
      <c r="A2177" s="3">
        <v>42283</v>
      </c>
      <c r="B2177" s="4">
        <v>26621</v>
      </c>
      <c r="C2177" s="4">
        <v>26424</v>
      </c>
      <c r="D2177" s="4">
        <v>26728</v>
      </c>
      <c r="E2177" s="4">
        <v>26385</v>
      </c>
      <c r="F2177" s="4" t="str">
        <v>15.99K</v>
      </c>
      <c r="G2177" s="4" t="str">
        <v>2.12%</v>
      </c>
      <c r="H2177" s="3">
        <v>42283</v>
      </c>
      <c r="I2177" s="4">
        <v>26556.5</v>
      </c>
    </row>
    <row r="2178" spans="1:9" x14ac:dyDescent="0.25">
      <c r="A2178" s="3">
        <v>42282</v>
      </c>
      <c r="B2178" s="4">
        <v>26068</v>
      </c>
      <c r="C2178" s="4">
        <v>26173</v>
      </c>
      <c r="D2178" s="4">
        <v>26201</v>
      </c>
      <c r="E2178" s="4">
        <v>26013</v>
      </c>
      <c r="F2178" s="4" t="str">
        <v>0.30K</v>
      </c>
      <c r="G2178" s="4" t="str">
        <v>1.14%</v>
      </c>
      <c r="H2178" s="3">
        <v>42282</v>
      </c>
      <c r="I2178" s="4">
        <v>26107</v>
      </c>
    </row>
    <row r="2179" spans="1:9" x14ac:dyDescent="0.25">
      <c r="A2179" s="3">
        <v>42278</v>
      </c>
      <c r="B2179" s="4">
        <v>25773</v>
      </c>
      <c r="C2179" s="4">
        <v>25827</v>
      </c>
      <c r="D2179" s="4">
        <v>25875</v>
      </c>
      <c r="E2179" s="4">
        <v>25711</v>
      </c>
      <c r="F2179" s="4" t="str">
        <v>1.48K</v>
      </c>
      <c r="G2179" s="4" t="str">
        <v>-0.32%</v>
      </c>
      <c r="H2179" s="3">
        <v>42278</v>
      </c>
      <c r="I2179" s="4">
        <v>25793</v>
      </c>
    </row>
    <row r="2180" spans="1:9" x14ac:dyDescent="0.25">
      <c r="A2180" s="3">
        <v>42277</v>
      </c>
      <c r="B2180" s="4">
        <v>25856</v>
      </c>
      <c r="C2180" s="4">
        <v>26212</v>
      </c>
      <c r="D2180" s="4">
        <v>26212</v>
      </c>
      <c r="E2180" s="4">
        <v>25760</v>
      </c>
      <c r="F2180" s="4" t="str">
        <v>16.24K</v>
      </c>
      <c r="G2180" s="4" t="str">
        <v>-1.47%</v>
      </c>
      <c r="H2180" s="3">
        <v>42277</v>
      </c>
      <c r="I2180" s="4">
        <v>25986</v>
      </c>
    </row>
    <row r="2181" spans="1:9" x14ac:dyDescent="0.25">
      <c r="A2181" s="3">
        <v>42276</v>
      </c>
      <c r="B2181" s="4">
        <v>26243</v>
      </c>
      <c r="C2181" s="4">
        <v>26536</v>
      </c>
      <c r="D2181" s="4">
        <v>26568</v>
      </c>
      <c r="E2181" s="4">
        <v>26211</v>
      </c>
      <c r="F2181" s="4" t="str">
        <v>17.45K</v>
      </c>
      <c r="G2181" s="4" t="str">
        <v>-0.98%</v>
      </c>
      <c r="H2181" s="3">
        <v>42276</v>
      </c>
      <c r="I2181" s="4">
        <v>26389.5</v>
      </c>
    </row>
    <row r="2182" spans="1:9" x14ac:dyDescent="0.25">
      <c r="A2182" s="3">
        <v>42275</v>
      </c>
      <c r="B2182" s="4">
        <v>26504</v>
      </c>
      <c r="C2182" s="4">
        <v>26692</v>
      </c>
      <c r="D2182" s="4">
        <v>26725</v>
      </c>
      <c r="E2182" s="4">
        <v>26341</v>
      </c>
      <c r="F2182" s="4" t="str">
        <v>15.36K</v>
      </c>
      <c r="G2182" s="4" t="str">
        <v>-0.86%</v>
      </c>
      <c r="H2182" s="3">
        <v>42275</v>
      </c>
      <c r="I2182" s="4">
        <v>26533</v>
      </c>
    </row>
    <row r="2183" spans="1:9" x14ac:dyDescent="0.25">
      <c r="A2183" s="3">
        <v>42272</v>
      </c>
      <c r="B2183" s="4">
        <v>26734</v>
      </c>
      <c r="C2183" s="4">
        <v>26825</v>
      </c>
      <c r="D2183" s="4">
        <v>26825</v>
      </c>
      <c r="E2183" s="4">
        <v>26628</v>
      </c>
      <c r="F2183" s="4" t="str">
        <v>10.04K</v>
      </c>
      <c r="G2183" s="4" t="str">
        <v>-0.81%</v>
      </c>
      <c r="H2183" s="3">
        <v>42272</v>
      </c>
      <c r="I2183" s="4">
        <v>26726.5</v>
      </c>
    </row>
    <row r="2184" spans="1:9" x14ac:dyDescent="0.25">
      <c r="A2184" s="3">
        <v>42271</v>
      </c>
      <c r="B2184" s="4">
        <v>26952</v>
      </c>
      <c r="C2184" s="4">
        <v>26520</v>
      </c>
      <c r="D2184" s="4">
        <v>27100</v>
      </c>
      <c r="E2184" s="4">
        <v>26465</v>
      </c>
      <c r="F2184" s="4" t="str">
        <v>20.08K</v>
      </c>
      <c r="G2184" s="4" t="str">
        <v>1.83%</v>
      </c>
      <c r="H2184" s="3">
        <v>42271</v>
      </c>
      <c r="I2184" s="4">
        <v>26782.5</v>
      </c>
    </row>
    <row r="2185" spans="1:9" x14ac:dyDescent="0.25">
      <c r="A2185" s="3">
        <v>42270</v>
      </c>
      <c r="B2185" s="4">
        <v>26467</v>
      </c>
      <c r="C2185" s="4">
        <v>26229</v>
      </c>
      <c r="D2185" s="4">
        <v>26490</v>
      </c>
      <c r="E2185" s="4">
        <v>26209</v>
      </c>
      <c r="F2185" s="4" t="str">
        <v>13.90K</v>
      </c>
      <c r="G2185" s="4" t="str">
        <v>0.87%</v>
      </c>
      <c r="H2185" s="3">
        <v>42270</v>
      </c>
      <c r="I2185" s="4">
        <v>26349.5</v>
      </c>
    </row>
    <row r="2186" spans="1:9" x14ac:dyDescent="0.25">
      <c r="A2186" s="3">
        <v>42269</v>
      </c>
      <c r="B2186" s="4">
        <v>26238</v>
      </c>
      <c r="C2186" s="4">
        <v>26319</v>
      </c>
      <c r="D2186" s="4">
        <v>26450</v>
      </c>
      <c r="E2186" s="4">
        <v>26181</v>
      </c>
      <c r="F2186" s="4" t="str">
        <v>18.39K</v>
      </c>
      <c r="G2186" s="4" t="str">
        <v>-0.41%</v>
      </c>
      <c r="H2186" s="3">
        <v>42269</v>
      </c>
      <c r="I2186" s="4">
        <v>26315.5</v>
      </c>
    </row>
    <row r="2187" spans="1:9" x14ac:dyDescent="0.25">
      <c r="A2187" s="3">
        <v>42268</v>
      </c>
      <c r="B2187" s="4">
        <v>26345</v>
      </c>
      <c r="C2187" s="4">
        <v>26487</v>
      </c>
      <c r="D2187" s="4">
        <v>26547</v>
      </c>
      <c r="E2187" s="4">
        <v>26290</v>
      </c>
      <c r="F2187" s="4" t="str">
        <v>12.20K</v>
      </c>
      <c r="G2187" s="4" t="str">
        <v>-0.47%</v>
      </c>
      <c r="H2187" s="3">
        <v>42268</v>
      </c>
      <c r="I2187" s="4">
        <v>26418.5</v>
      </c>
    </row>
    <row r="2188" spans="1:9" x14ac:dyDescent="0.25">
      <c r="A2188" s="3">
        <v>42265</v>
      </c>
      <c r="B2188" s="4">
        <v>26469</v>
      </c>
      <c r="C2188" s="4">
        <v>26350</v>
      </c>
      <c r="D2188" s="4">
        <v>26590</v>
      </c>
      <c r="E2188" s="4">
        <v>26313</v>
      </c>
      <c r="F2188" s="4" t="str">
        <v>17.24K</v>
      </c>
      <c r="G2188" s="4" t="str">
        <v>1.15%</v>
      </c>
      <c r="H2188" s="3">
        <v>42265</v>
      </c>
      <c r="I2188" s="4">
        <v>26451.5</v>
      </c>
    </row>
    <row r="2189" spans="1:9" x14ac:dyDescent="0.25">
      <c r="A2189" s="3">
        <v>42264</v>
      </c>
      <c r="B2189" s="4">
        <v>26168</v>
      </c>
      <c r="C2189" s="4">
        <v>26208</v>
      </c>
      <c r="D2189" s="4">
        <v>26248</v>
      </c>
      <c r="E2189" s="4">
        <v>26136</v>
      </c>
      <c r="F2189" s="4" t="str">
        <v>5.92K</v>
      </c>
      <c r="G2189" s="4" t="str">
        <v>-0.47%</v>
      </c>
      <c r="H2189" s="3">
        <v>42264</v>
      </c>
      <c r="I2189" s="4">
        <v>26192</v>
      </c>
    </row>
    <row r="2190" spans="1:9" x14ac:dyDescent="0.25">
      <c r="A2190" s="3">
        <v>42263</v>
      </c>
      <c r="B2190" s="4">
        <v>26291</v>
      </c>
      <c r="C2190" s="4">
        <v>25993</v>
      </c>
      <c r="D2190" s="4">
        <v>26350</v>
      </c>
      <c r="E2190" s="4">
        <v>25965</v>
      </c>
      <c r="F2190" s="4" t="str">
        <v>19.63K</v>
      </c>
      <c r="G2190" s="4" t="str">
        <v>1.20%</v>
      </c>
      <c r="H2190" s="3">
        <v>42263</v>
      </c>
      <c r="I2190" s="4">
        <v>26157.5</v>
      </c>
    </row>
    <row r="2191" spans="1:9" x14ac:dyDescent="0.25">
      <c r="A2191" s="3">
        <v>42262</v>
      </c>
      <c r="B2191" s="4">
        <v>25980</v>
      </c>
      <c r="C2191" s="4">
        <v>26068</v>
      </c>
      <c r="D2191" s="4">
        <v>26088</v>
      </c>
      <c r="E2191" s="4">
        <v>25940</v>
      </c>
      <c r="F2191" s="4" t="str">
        <v>12.27K</v>
      </c>
      <c r="G2191" s="4" t="str">
        <v>-0.35%</v>
      </c>
      <c r="H2191" s="3">
        <v>42262</v>
      </c>
      <c r="I2191" s="4">
        <v>26014</v>
      </c>
    </row>
    <row r="2192" spans="1:9" x14ac:dyDescent="0.25">
      <c r="A2192" s="3">
        <v>42261</v>
      </c>
      <c r="B2192" s="4">
        <v>26070</v>
      </c>
      <c r="C2192" s="4">
        <v>26123</v>
      </c>
      <c r="D2192" s="4">
        <v>26125</v>
      </c>
      <c r="E2192" s="4">
        <v>25963</v>
      </c>
      <c r="F2192" s="4" t="str">
        <v>10.08K</v>
      </c>
      <c r="G2192" s="4" t="str">
        <v>0.40%</v>
      </c>
      <c r="H2192" s="3">
        <v>42261</v>
      </c>
      <c r="I2192" s="4">
        <v>26044</v>
      </c>
    </row>
    <row r="2193" spans="1:9" x14ac:dyDescent="0.25">
      <c r="A2193" s="3">
        <v>42258</v>
      </c>
      <c r="B2193" s="4">
        <v>25967</v>
      </c>
      <c r="C2193" s="4">
        <v>26179</v>
      </c>
      <c r="D2193" s="4">
        <v>26200</v>
      </c>
      <c r="E2193" s="4">
        <v>25900</v>
      </c>
      <c r="F2193" s="4" t="str">
        <v>13.42K</v>
      </c>
      <c r="G2193" s="4" t="str">
        <v>-0.75%</v>
      </c>
      <c r="H2193" s="3">
        <v>42258</v>
      </c>
      <c r="I2193" s="4">
        <v>26050</v>
      </c>
    </row>
    <row r="2194" spans="1:9" x14ac:dyDescent="0.25">
      <c r="A2194" s="3">
        <v>42257</v>
      </c>
      <c r="B2194" s="4">
        <v>26163</v>
      </c>
      <c r="C2194" s="4">
        <v>26143</v>
      </c>
      <c r="D2194" s="4">
        <v>26289</v>
      </c>
      <c r="E2194" s="4">
        <v>26042</v>
      </c>
      <c r="F2194" s="4" t="str">
        <v>15.26K</v>
      </c>
      <c r="G2194" s="4" t="str">
        <v>0.41%</v>
      </c>
      <c r="H2194" s="3">
        <v>42257</v>
      </c>
      <c r="I2194" s="4">
        <v>26165.5</v>
      </c>
    </row>
    <row r="2195" spans="1:9" x14ac:dyDescent="0.25">
      <c r="A2195" s="3">
        <v>42256</v>
      </c>
      <c r="B2195" s="4">
        <v>26057</v>
      </c>
      <c r="C2195" s="4">
        <v>26449</v>
      </c>
      <c r="D2195" s="4">
        <v>26472</v>
      </c>
      <c r="E2195" s="4">
        <v>25984</v>
      </c>
      <c r="F2195" s="4" t="str">
        <v>12.33K</v>
      </c>
      <c r="G2195" s="4" t="str">
        <v>-1.39%</v>
      </c>
      <c r="H2195" s="3">
        <v>42256</v>
      </c>
      <c r="I2195" s="4">
        <v>26228</v>
      </c>
    </row>
    <row r="2196" spans="1:9" x14ac:dyDescent="0.25">
      <c r="A2196" s="3">
        <v>42255</v>
      </c>
      <c r="B2196" s="4">
        <v>26424</v>
      </c>
      <c r="C2196" s="4">
        <v>26499</v>
      </c>
      <c r="D2196" s="4">
        <v>26518</v>
      </c>
      <c r="E2196" s="4">
        <v>26386</v>
      </c>
      <c r="F2196" s="4" t="str">
        <v>9.45K</v>
      </c>
      <c r="G2196" s="4" t="str">
        <v>-0.29%</v>
      </c>
      <c r="H2196" s="3">
        <v>42255</v>
      </c>
      <c r="I2196" s="4">
        <v>26452</v>
      </c>
    </row>
    <row r="2197" spans="1:9" x14ac:dyDescent="0.25">
      <c r="A2197" s="3">
        <v>42254</v>
      </c>
      <c r="B2197" s="4">
        <v>26500</v>
      </c>
      <c r="C2197" s="4">
        <v>26580</v>
      </c>
      <c r="D2197" s="4">
        <v>26607</v>
      </c>
      <c r="E2197" s="4">
        <v>26462</v>
      </c>
      <c r="F2197" s="4" t="str">
        <v>6.44K</v>
      </c>
      <c r="G2197" s="4" t="str">
        <v>-0.12%</v>
      </c>
      <c r="H2197" s="3">
        <v>42254</v>
      </c>
      <c r="I2197" s="4">
        <v>26534.5</v>
      </c>
    </row>
    <row r="2198" spans="1:9" x14ac:dyDescent="0.25">
      <c r="A2198" s="3">
        <v>42251</v>
      </c>
      <c r="B2198" s="4">
        <v>26532</v>
      </c>
      <c r="C2198" s="4">
        <v>26422</v>
      </c>
      <c r="D2198" s="4">
        <v>26683</v>
      </c>
      <c r="E2198" s="4">
        <v>26402</v>
      </c>
      <c r="F2198" s="4" t="str">
        <v>17.66K</v>
      </c>
      <c r="G2198" s="4" t="str">
        <v>0.52%</v>
      </c>
      <c r="H2198" s="3">
        <v>42251</v>
      </c>
      <c r="I2198" s="4">
        <v>26542.5</v>
      </c>
    </row>
    <row r="2199" spans="1:9" x14ac:dyDescent="0.25">
      <c r="A2199" s="3">
        <v>42250</v>
      </c>
      <c r="B2199" s="4">
        <v>26394</v>
      </c>
      <c r="C2199" s="4">
        <v>26622</v>
      </c>
      <c r="D2199" s="4">
        <v>26636</v>
      </c>
      <c r="E2199" s="4">
        <v>26326</v>
      </c>
      <c r="F2199" s="4" t="str">
        <v>15.24K</v>
      </c>
      <c r="G2199" s="4" t="str">
        <v>-0.88%</v>
      </c>
      <c r="H2199" s="3">
        <v>42250</v>
      </c>
      <c r="I2199" s="4">
        <v>26481</v>
      </c>
    </row>
    <row r="2200" spans="1:9" x14ac:dyDescent="0.25">
      <c r="A2200" s="3">
        <v>42249</v>
      </c>
      <c r="B2200" s="4">
        <v>26629</v>
      </c>
      <c r="C2200" s="4">
        <v>26800</v>
      </c>
      <c r="D2200" s="4">
        <v>26843</v>
      </c>
      <c r="E2200" s="4">
        <v>26609</v>
      </c>
      <c r="F2200" s="4" t="str">
        <v>17.69K</v>
      </c>
      <c r="G2200" s="4" t="str">
        <v>-0.76%</v>
      </c>
      <c r="H2200" s="3">
        <v>42249</v>
      </c>
      <c r="I2200" s="4">
        <v>26726</v>
      </c>
    </row>
    <row r="2201" spans="1:9" x14ac:dyDescent="0.25">
      <c r="A2201" s="3">
        <v>42248</v>
      </c>
      <c r="B2201" s="4">
        <v>26833</v>
      </c>
      <c r="C2201" s="4">
        <v>26770</v>
      </c>
      <c r="D2201" s="4">
        <v>27017</v>
      </c>
      <c r="E2201" s="4">
        <v>26753</v>
      </c>
      <c r="F2201" s="4" t="str">
        <v>17.35K</v>
      </c>
      <c r="G2201" s="4" t="str">
        <v>0.57%</v>
      </c>
      <c r="H2201" s="3">
        <v>42248</v>
      </c>
      <c r="I2201" s="4">
        <v>26885</v>
      </c>
    </row>
    <row r="2202" spans="1:9" x14ac:dyDescent="0.25">
      <c r="A2202" s="3">
        <v>42247</v>
      </c>
      <c r="B2202" s="4">
        <v>26682</v>
      </c>
      <c r="C2202" s="4">
        <v>26673</v>
      </c>
      <c r="D2202" s="4">
        <v>26750</v>
      </c>
      <c r="E2202" s="4">
        <v>26523</v>
      </c>
      <c r="F2202" s="4" t="str">
        <v>11.10K</v>
      </c>
      <c r="G2202" s="4" t="str">
        <v>0.22%</v>
      </c>
      <c r="H2202" s="3">
        <v>42247</v>
      </c>
      <c r="I2202" s="4">
        <v>26636.5</v>
      </c>
    </row>
    <row r="2203" spans="1:9" x14ac:dyDescent="0.25">
      <c r="A2203" s="3">
        <v>42244</v>
      </c>
      <c r="B2203" s="4">
        <v>26623</v>
      </c>
      <c r="C2203" s="4">
        <v>26490</v>
      </c>
      <c r="D2203" s="4">
        <v>26750</v>
      </c>
      <c r="E2203" s="4">
        <v>26381</v>
      </c>
      <c r="F2203" s="4" t="str">
        <v>15.63K</v>
      </c>
      <c r="G2203" s="4" t="str">
        <v>1.31%</v>
      </c>
      <c r="H2203" s="3">
        <v>42244</v>
      </c>
      <c r="I2203" s="4">
        <v>26565.5</v>
      </c>
    </row>
    <row r="2204" spans="1:9" x14ac:dyDescent="0.25">
      <c r="A2204" s="3">
        <v>42243</v>
      </c>
      <c r="B2204" s="4">
        <v>26278</v>
      </c>
      <c r="C2204" s="4">
        <v>26400</v>
      </c>
      <c r="D2204" s="4">
        <v>26449</v>
      </c>
      <c r="E2204" s="4">
        <v>26169</v>
      </c>
      <c r="F2204" s="4" t="str">
        <v>15.14K</v>
      </c>
      <c r="G2204" s="4" t="str">
        <v>-0.73%</v>
      </c>
      <c r="H2204" s="3">
        <v>42243</v>
      </c>
      <c r="I2204" s="4">
        <v>26309</v>
      </c>
    </row>
    <row r="2205" spans="1:9" x14ac:dyDescent="0.25">
      <c r="A2205" s="3">
        <v>42242</v>
      </c>
      <c r="B2205" s="4">
        <v>26471</v>
      </c>
      <c r="C2205" s="4">
        <v>26712</v>
      </c>
      <c r="D2205" s="4">
        <v>26825</v>
      </c>
      <c r="E2205" s="4">
        <v>26225</v>
      </c>
      <c r="F2205" s="4" t="str">
        <v>27.73K</v>
      </c>
      <c r="G2205" s="4" t="str">
        <v>-1.01%</v>
      </c>
      <c r="H2205" s="3">
        <v>42242</v>
      </c>
      <c r="I2205" s="4">
        <v>26525</v>
      </c>
    </row>
    <row r="2206" spans="1:9" x14ac:dyDescent="0.25">
      <c r="A2206" s="3">
        <v>42241</v>
      </c>
      <c r="B2206" s="4">
        <v>26740</v>
      </c>
      <c r="C2206" s="4">
        <v>27300</v>
      </c>
      <c r="D2206" s="4">
        <v>27345</v>
      </c>
      <c r="E2206" s="4">
        <v>26662</v>
      </c>
      <c r="F2206" s="4" t="str">
        <v>23.95K</v>
      </c>
      <c r="G2206" s="4" t="str">
        <v>-2.58%</v>
      </c>
      <c r="H2206" s="3">
        <v>42241</v>
      </c>
      <c r="I2206" s="4">
        <v>27003.5</v>
      </c>
    </row>
    <row r="2207" spans="1:9" x14ac:dyDescent="0.25">
      <c r="A2207" s="3">
        <v>42240</v>
      </c>
      <c r="B2207" s="4">
        <v>27448</v>
      </c>
      <c r="C2207" s="4">
        <v>27300</v>
      </c>
      <c r="D2207" s="4">
        <v>27833</v>
      </c>
      <c r="E2207" s="4">
        <v>27213</v>
      </c>
      <c r="F2207" s="4" t="str">
        <v>25.87K</v>
      </c>
      <c r="G2207" s="4" t="str">
        <v>0.77%</v>
      </c>
      <c r="H2207" s="3">
        <v>42240</v>
      </c>
      <c r="I2207" s="4">
        <v>27523</v>
      </c>
    </row>
    <row r="2208" spans="1:9" x14ac:dyDescent="0.25">
      <c r="A2208" s="3">
        <v>42237</v>
      </c>
      <c r="B2208" s="4">
        <v>27239</v>
      </c>
      <c r="C2208" s="4">
        <v>27145</v>
      </c>
      <c r="D2208" s="4">
        <v>27330</v>
      </c>
      <c r="E2208" s="4">
        <v>26851</v>
      </c>
      <c r="F2208" s="4" t="str">
        <v>27.82K</v>
      </c>
      <c r="G2208" s="4" t="str">
        <v>1.45%</v>
      </c>
      <c r="H2208" s="3">
        <v>42237</v>
      </c>
      <c r="I2208" s="4">
        <v>27090.5</v>
      </c>
    </row>
    <row r="2209" spans="1:9" x14ac:dyDescent="0.25">
      <c r="A2209" s="3">
        <v>42236</v>
      </c>
      <c r="B2209" s="4">
        <v>26849</v>
      </c>
      <c r="C2209" s="4">
        <v>26200</v>
      </c>
      <c r="D2209" s="4">
        <v>26874</v>
      </c>
      <c r="E2209" s="4">
        <v>26200</v>
      </c>
      <c r="F2209" s="4" t="str">
        <v>22.96K</v>
      </c>
      <c r="G2209" s="4" t="str">
        <v>2.49%</v>
      </c>
      <c r="H2209" s="3">
        <v>42236</v>
      </c>
      <c r="I2209" s="4">
        <v>26537</v>
      </c>
    </row>
    <row r="2210" spans="1:9" x14ac:dyDescent="0.25">
      <c r="A2210" s="3">
        <v>42235</v>
      </c>
      <c r="B2210" s="4">
        <v>26196</v>
      </c>
      <c r="C2210" s="4">
        <v>25977</v>
      </c>
      <c r="D2210" s="4">
        <v>26239</v>
      </c>
      <c r="E2210" s="4">
        <v>25919</v>
      </c>
      <c r="F2210" s="4" t="str">
        <v>19.27K</v>
      </c>
      <c r="G2210" s="4" t="str">
        <v>0.72%</v>
      </c>
      <c r="H2210" s="3">
        <v>42235</v>
      </c>
      <c r="I2210" s="4">
        <v>26079</v>
      </c>
    </row>
    <row r="2211" spans="1:9" x14ac:dyDescent="0.25">
      <c r="A2211" s="3">
        <v>42234</v>
      </c>
      <c r="B2211" s="4">
        <v>26008</v>
      </c>
      <c r="C2211" s="4">
        <v>26059</v>
      </c>
      <c r="D2211" s="4">
        <v>26075</v>
      </c>
      <c r="E2211" s="4">
        <v>25855</v>
      </c>
      <c r="F2211" s="4" t="str">
        <v>17.87K</v>
      </c>
      <c r="G2211" s="4" t="str">
        <v>-0.09%</v>
      </c>
      <c r="H2211" s="3">
        <v>42234</v>
      </c>
      <c r="I2211" s="4">
        <v>25965</v>
      </c>
    </row>
    <row r="2212" spans="1:9" x14ac:dyDescent="0.25">
      <c r="A2212" s="3">
        <v>42233</v>
      </c>
      <c r="B2212" s="4">
        <v>26032</v>
      </c>
      <c r="C2212" s="4">
        <v>25880</v>
      </c>
      <c r="D2212" s="4">
        <v>26087</v>
      </c>
      <c r="E2212" s="4">
        <v>25880</v>
      </c>
      <c r="F2212" s="4" t="str">
        <v>11.13K</v>
      </c>
      <c r="G2212" s="4" t="str">
        <v>1.02%</v>
      </c>
      <c r="H2212" s="3">
        <v>42233</v>
      </c>
      <c r="I2212" s="4">
        <v>25983.5</v>
      </c>
    </row>
    <row r="2213" spans="1:9" x14ac:dyDescent="0.25">
      <c r="A2213" s="3">
        <v>42230</v>
      </c>
      <c r="B2213" s="4">
        <v>25768</v>
      </c>
      <c r="C2213" s="4">
        <v>25825</v>
      </c>
      <c r="D2213" s="4">
        <v>25938</v>
      </c>
      <c r="E2213" s="4">
        <v>25740</v>
      </c>
      <c r="F2213" s="4" t="str">
        <v>14.19K</v>
      </c>
      <c r="G2213" s="4" t="str">
        <v>-0.49%</v>
      </c>
      <c r="H2213" s="3">
        <v>42230</v>
      </c>
      <c r="I2213" s="4">
        <v>25839</v>
      </c>
    </row>
    <row r="2214" spans="1:9" x14ac:dyDescent="0.25">
      <c r="A2214" s="3">
        <v>42229</v>
      </c>
      <c r="B2214" s="4">
        <v>25895</v>
      </c>
      <c r="C2214" s="4">
        <v>25882</v>
      </c>
      <c r="D2214" s="4">
        <v>25995</v>
      </c>
      <c r="E2214" s="4">
        <v>25835</v>
      </c>
      <c r="F2214" s="4" t="str">
        <v>14.19K</v>
      </c>
      <c r="G2214" s="4" t="str">
        <v>-0.46%</v>
      </c>
      <c r="H2214" s="3">
        <v>42229</v>
      </c>
      <c r="I2214" s="4">
        <v>25915</v>
      </c>
    </row>
    <row r="2215" spans="1:9" x14ac:dyDescent="0.25">
      <c r="A2215" s="3">
        <v>42228</v>
      </c>
      <c r="B2215" s="4">
        <v>26014</v>
      </c>
      <c r="C2215" s="4">
        <v>25600</v>
      </c>
      <c r="D2215" s="4">
        <v>26034</v>
      </c>
      <c r="E2215" s="4">
        <v>25580</v>
      </c>
      <c r="F2215" s="4" t="str">
        <v>21.33K</v>
      </c>
      <c r="G2215" s="4" t="str">
        <v>2.31%</v>
      </c>
      <c r="H2215" s="3">
        <v>42228</v>
      </c>
      <c r="I2215" s="4">
        <v>25807</v>
      </c>
    </row>
    <row r="2216" spans="1:9" x14ac:dyDescent="0.25">
      <c r="A2216" s="3">
        <v>42227</v>
      </c>
      <c r="B2216" s="4">
        <v>25426</v>
      </c>
      <c r="C2216" s="4">
        <v>25150</v>
      </c>
      <c r="D2216" s="4">
        <v>25529</v>
      </c>
      <c r="E2216" s="4">
        <v>25105</v>
      </c>
      <c r="F2216" s="4" t="str">
        <v>19.98K</v>
      </c>
      <c r="G2216" s="4" t="str">
        <v>1.21%</v>
      </c>
      <c r="H2216" s="3">
        <v>42227</v>
      </c>
      <c r="I2216" s="4">
        <v>25317</v>
      </c>
    </row>
    <row r="2217" spans="1:9" x14ac:dyDescent="0.25">
      <c r="A2217" s="3">
        <v>42226</v>
      </c>
      <c r="B2217" s="4">
        <v>25122</v>
      </c>
      <c r="C2217" s="4">
        <v>24885</v>
      </c>
      <c r="D2217" s="4">
        <v>25199</v>
      </c>
      <c r="E2217" s="4">
        <v>24876</v>
      </c>
      <c r="F2217" s="4" t="str">
        <v>16.85K</v>
      </c>
      <c r="G2217" s="4" t="str">
        <v>0.91%</v>
      </c>
      <c r="H2217" s="3">
        <v>42226</v>
      </c>
      <c r="I2217" s="4">
        <v>25037.5</v>
      </c>
    </row>
    <row r="2218" spans="1:9" x14ac:dyDescent="0.25">
      <c r="A2218" s="3">
        <v>42223</v>
      </c>
      <c r="B2218" s="4">
        <v>24895</v>
      </c>
      <c r="C2218" s="4">
        <v>24767</v>
      </c>
      <c r="D2218" s="4">
        <v>24985</v>
      </c>
      <c r="E2218" s="4">
        <v>24710</v>
      </c>
      <c r="F2218" s="4" t="str">
        <v>20.13K</v>
      </c>
      <c r="G2218" s="4" t="str">
        <v>0.43%</v>
      </c>
      <c r="H2218" s="3">
        <v>42223</v>
      </c>
      <c r="I2218" s="4">
        <v>24847.5</v>
      </c>
    </row>
    <row r="2219" spans="1:9" x14ac:dyDescent="0.25">
      <c r="A2219" s="3">
        <v>42222</v>
      </c>
      <c r="B2219" s="4">
        <v>24788</v>
      </c>
      <c r="C2219" s="4">
        <v>24675</v>
      </c>
      <c r="D2219" s="4">
        <v>24849</v>
      </c>
      <c r="E2219" s="4">
        <v>24656</v>
      </c>
      <c r="F2219" s="4" t="str">
        <v>11.57K</v>
      </c>
      <c r="G2219" s="4" t="str">
        <v>0.78%</v>
      </c>
      <c r="H2219" s="3">
        <v>42222</v>
      </c>
      <c r="I2219" s="4">
        <v>24752.5</v>
      </c>
    </row>
    <row r="2220" spans="1:9" x14ac:dyDescent="0.25">
      <c r="A2220" s="3">
        <v>42221</v>
      </c>
      <c r="B2220" s="4">
        <v>24597</v>
      </c>
      <c r="C2220" s="4">
        <v>24535</v>
      </c>
      <c r="D2220" s="4">
        <v>24706</v>
      </c>
      <c r="E2220" s="4">
        <v>24500</v>
      </c>
      <c r="F2220" s="4" t="str">
        <v>0.09K</v>
      </c>
      <c r="G2220" s="4" t="str">
        <v>-0.32%</v>
      </c>
      <c r="H2220" s="3">
        <v>42221</v>
      </c>
      <c r="I2220" s="4">
        <v>24603</v>
      </c>
    </row>
    <row r="2221" spans="1:9" x14ac:dyDescent="0.25">
      <c r="A2221" s="3">
        <v>42220</v>
      </c>
      <c r="B2221" s="4">
        <v>24675</v>
      </c>
      <c r="C2221" s="4">
        <v>24610</v>
      </c>
      <c r="D2221" s="4">
        <v>24701</v>
      </c>
      <c r="E2221" s="4">
        <v>24570</v>
      </c>
      <c r="F2221" s="4" t="str">
        <v>0.13K</v>
      </c>
      <c r="G2221" s="4" t="str">
        <v>-0.35%</v>
      </c>
      <c r="H2221" s="3">
        <v>42220</v>
      </c>
      <c r="I2221" s="4">
        <v>24635.5</v>
      </c>
    </row>
    <row r="2222" spans="1:9" x14ac:dyDescent="0.25">
      <c r="A2222" s="3">
        <v>42219</v>
      </c>
      <c r="B2222" s="4">
        <v>24761</v>
      </c>
      <c r="C2222" s="4">
        <v>24818</v>
      </c>
      <c r="D2222" s="4">
        <v>24820</v>
      </c>
      <c r="E2222" s="4">
        <v>24710</v>
      </c>
      <c r="F2222" s="4" t="str">
        <v>1.20K</v>
      </c>
      <c r="G2222" s="4" t="str">
        <v>-0.21%</v>
      </c>
      <c r="H2222" s="3">
        <v>42219</v>
      </c>
      <c r="I2222" s="4">
        <v>24765</v>
      </c>
    </row>
    <row r="2223" spans="1:9" x14ac:dyDescent="0.25">
      <c r="A2223" s="3">
        <v>42216</v>
      </c>
      <c r="B2223" s="4">
        <v>24813</v>
      </c>
      <c r="C2223" s="4">
        <v>24668</v>
      </c>
      <c r="D2223" s="4">
        <v>24892</v>
      </c>
      <c r="E2223" s="4">
        <v>24535</v>
      </c>
      <c r="F2223" s="4" t="str">
        <v>14.77K</v>
      </c>
      <c r="G2223" s="4" t="str">
        <v>0.38%</v>
      </c>
      <c r="H2223" s="3">
        <v>42216</v>
      </c>
      <c r="I2223" s="4">
        <v>24713.5</v>
      </c>
    </row>
    <row r="2224" spans="1:9" x14ac:dyDescent="0.25">
      <c r="A2224" s="3">
        <v>42215</v>
      </c>
      <c r="B2224" s="4">
        <v>24718</v>
      </c>
      <c r="C2224" s="4">
        <v>24737</v>
      </c>
      <c r="D2224" s="4">
        <v>24835</v>
      </c>
      <c r="E2224" s="4">
        <v>24565</v>
      </c>
      <c r="F2224" s="4" t="str">
        <v>16.48K</v>
      </c>
      <c r="G2224" s="4" t="str">
        <v>-0.01%</v>
      </c>
      <c r="H2224" s="3">
        <v>42215</v>
      </c>
      <c r="I2224" s="4">
        <v>24700</v>
      </c>
    </row>
    <row r="2225" spans="1:9" x14ac:dyDescent="0.25">
      <c r="A2225" s="3">
        <v>42214</v>
      </c>
      <c r="B2225" s="4">
        <v>24720</v>
      </c>
      <c r="C2225" s="4">
        <v>24778</v>
      </c>
      <c r="D2225" s="4">
        <v>24835</v>
      </c>
      <c r="E2225" s="4">
        <v>24691</v>
      </c>
      <c r="F2225" s="4" t="str">
        <v>15.37K</v>
      </c>
      <c r="G2225" s="4" t="str">
        <v>-0.13%</v>
      </c>
      <c r="H2225" s="3">
        <v>42214</v>
      </c>
      <c r="I2225" s="4">
        <v>24763</v>
      </c>
    </row>
    <row r="2226" spans="1:9" x14ac:dyDescent="0.25">
      <c r="A2226" s="3">
        <v>42213</v>
      </c>
      <c r="B2226" s="4">
        <v>24752</v>
      </c>
      <c r="C2226" s="4">
        <v>24799</v>
      </c>
      <c r="D2226" s="4">
        <v>24869</v>
      </c>
      <c r="E2226" s="4">
        <v>24701</v>
      </c>
      <c r="F2226" s="4" t="str">
        <v>16.61K</v>
      </c>
      <c r="G2226" s="4" t="str">
        <v>-0.59%</v>
      </c>
      <c r="H2226" s="3">
        <v>42213</v>
      </c>
      <c r="I2226" s="4">
        <v>24785</v>
      </c>
    </row>
    <row r="2227" spans="1:9" x14ac:dyDescent="0.25">
      <c r="A2227" s="3">
        <v>42212</v>
      </c>
      <c r="B2227" s="4">
        <v>24899</v>
      </c>
      <c r="C2227" s="4">
        <v>24830</v>
      </c>
      <c r="D2227" s="4">
        <v>25018</v>
      </c>
      <c r="E2227" s="4">
        <v>24756</v>
      </c>
      <c r="F2227" s="4" t="str">
        <v>22.82K</v>
      </c>
      <c r="G2227" s="4" t="str">
        <v>0.68%</v>
      </c>
      <c r="H2227" s="3">
        <v>42212</v>
      </c>
      <c r="I2227" s="4">
        <v>24887</v>
      </c>
    </row>
    <row r="2228" spans="1:9" x14ac:dyDescent="0.25">
      <c r="A2228" s="3">
        <v>42209</v>
      </c>
      <c r="B2228" s="4">
        <v>24731</v>
      </c>
      <c r="C2228" s="4">
        <v>24559</v>
      </c>
      <c r="D2228" s="4">
        <v>24821</v>
      </c>
      <c r="E2228" s="4">
        <v>24451</v>
      </c>
      <c r="F2228" s="4" t="str">
        <v>22.51K</v>
      </c>
      <c r="G2228" s="4" t="str">
        <v>-0.01%</v>
      </c>
      <c r="H2228" s="3">
        <v>42209</v>
      </c>
      <c r="I2228" s="4">
        <v>24636</v>
      </c>
    </row>
    <row r="2229" spans="1:9" x14ac:dyDescent="0.25">
      <c r="A2229" s="3">
        <v>42208</v>
      </c>
      <c r="B2229" s="4">
        <v>24734</v>
      </c>
      <c r="C2229" s="4">
        <v>24780</v>
      </c>
      <c r="D2229" s="4">
        <v>24910</v>
      </c>
      <c r="E2229" s="4">
        <v>24702</v>
      </c>
      <c r="F2229" s="4" t="str">
        <v>18.90K</v>
      </c>
      <c r="G2229" s="4" t="str">
        <v>0.23%</v>
      </c>
      <c r="H2229" s="3">
        <v>42208</v>
      </c>
      <c r="I2229" s="4">
        <v>24806</v>
      </c>
    </row>
    <row r="2230" spans="1:9" x14ac:dyDescent="0.25">
      <c r="A2230" s="3">
        <v>42207</v>
      </c>
      <c r="B2230" s="4">
        <v>24677</v>
      </c>
      <c r="C2230" s="4">
        <v>24811</v>
      </c>
      <c r="D2230" s="4">
        <v>24811</v>
      </c>
      <c r="E2230" s="4">
        <v>24572</v>
      </c>
      <c r="F2230" s="4" t="str">
        <v>19.77K</v>
      </c>
      <c r="G2230" s="4" t="str">
        <v>-0.88%</v>
      </c>
      <c r="H2230" s="3">
        <v>42207</v>
      </c>
      <c r="I2230" s="4">
        <v>24691.5</v>
      </c>
    </row>
    <row r="2231" spans="1:9" x14ac:dyDescent="0.25">
      <c r="A2231" s="3">
        <v>42206</v>
      </c>
      <c r="B2231" s="4">
        <v>24897</v>
      </c>
      <c r="C2231" s="4">
        <v>24961</v>
      </c>
      <c r="D2231" s="4">
        <v>25030</v>
      </c>
      <c r="E2231" s="4">
        <v>24865</v>
      </c>
      <c r="F2231" s="4" t="str">
        <v>15.99K</v>
      </c>
      <c r="G2231" s="4" t="str">
        <v>-0.55%</v>
      </c>
      <c r="H2231" s="3">
        <v>42206</v>
      </c>
      <c r="I2231" s="4">
        <v>24947.5</v>
      </c>
    </row>
    <row r="2232" spans="1:9" x14ac:dyDescent="0.25">
      <c r="A2232" s="3">
        <v>42205</v>
      </c>
      <c r="B2232" s="4">
        <v>25034</v>
      </c>
      <c r="C2232" s="4">
        <v>25475</v>
      </c>
      <c r="D2232" s="4">
        <v>25475</v>
      </c>
      <c r="E2232" s="4">
        <v>24904</v>
      </c>
      <c r="F2232" s="4" t="str">
        <v>19.82K</v>
      </c>
      <c r="G2232" s="4" t="str">
        <v>-1.82%</v>
      </c>
      <c r="H2232" s="3">
        <v>42205</v>
      </c>
      <c r="I2232" s="4">
        <v>25189.5</v>
      </c>
    </row>
    <row r="2233" spans="1:9" x14ac:dyDescent="0.25">
      <c r="A2233" s="3">
        <v>42202</v>
      </c>
      <c r="B2233" s="4">
        <v>25498</v>
      </c>
      <c r="C2233" s="4">
        <v>25733</v>
      </c>
      <c r="D2233" s="4">
        <v>25756</v>
      </c>
      <c r="E2233" s="4">
        <v>25461</v>
      </c>
      <c r="F2233" s="4" t="str">
        <v>13.16K</v>
      </c>
      <c r="G2233" s="4" t="str">
        <v>-1.06%</v>
      </c>
      <c r="H2233" s="3">
        <v>42202</v>
      </c>
      <c r="I2233" s="4">
        <v>25608.5</v>
      </c>
    </row>
    <row r="2234" spans="1:9" x14ac:dyDescent="0.25">
      <c r="A2234" s="3">
        <v>42201</v>
      </c>
      <c r="B2234" s="4">
        <v>25771</v>
      </c>
      <c r="C2234" s="4">
        <v>25810</v>
      </c>
      <c r="D2234" s="4">
        <v>25810</v>
      </c>
      <c r="E2234" s="4">
        <v>25710</v>
      </c>
      <c r="F2234" s="4" t="str">
        <v>10.64K</v>
      </c>
      <c r="G2234" s="4" t="str">
        <v>-0.29%</v>
      </c>
      <c r="H2234" s="3">
        <v>42201</v>
      </c>
      <c r="I2234" s="4">
        <v>25760</v>
      </c>
    </row>
    <row r="2235" spans="1:9" x14ac:dyDescent="0.25">
      <c r="A2235" s="3">
        <v>42200</v>
      </c>
      <c r="B2235" s="4">
        <v>25847</v>
      </c>
      <c r="C2235" s="4">
        <v>25953</v>
      </c>
      <c r="D2235" s="4">
        <v>25970</v>
      </c>
      <c r="E2235" s="4">
        <v>25764</v>
      </c>
      <c r="F2235" s="4" t="str">
        <v>11.65K</v>
      </c>
      <c r="G2235" s="4" t="str">
        <v>-0.31%</v>
      </c>
      <c r="H2235" s="3">
        <v>42200</v>
      </c>
      <c r="I2235" s="4">
        <v>25867</v>
      </c>
    </row>
    <row r="2236" spans="1:9" x14ac:dyDescent="0.25">
      <c r="A2236" s="3">
        <v>42199</v>
      </c>
      <c r="B2236" s="4">
        <v>25927</v>
      </c>
      <c r="C2236" s="4">
        <v>26025</v>
      </c>
      <c r="D2236" s="4">
        <v>26034</v>
      </c>
      <c r="E2236" s="4">
        <v>25908</v>
      </c>
      <c r="F2236" s="4" t="str">
        <v>10.57K</v>
      </c>
      <c r="G2236" s="4" t="str">
        <v>-0.37%</v>
      </c>
      <c r="H2236" s="3">
        <v>42199</v>
      </c>
      <c r="I2236" s="4">
        <v>25971</v>
      </c>
    </row>
    <row r="2237" spans="1:9" x14ac:dyDescent="0.25">
      <c r="A2237" s="3">
        <v>42198</v>
      </c>
      <c r="B2237" s="4">
        <v>26024</v>
      </c>
      <c r="C2237" s="4">
        <v>26115</v>
      </c>
      <c r="D2237" s="4">
        <v>26115</v>
      </c>
      <c r="E2237" s="4">
        <v>25937</v>
      </c>
      <c r="F2237" s="4" t="str">
        <v>10.87K</v>
      </c>
      <c r="G2237" s="4" t="str">
        <v>-0.13%</v>
      </c>
      <c r="H2237" s="3">
        <v>42198</v>
      </c>
      <c r="I2237" s="4">
        <v>26026</v>
      </c>
    </row>
    <row r="2238" spans="1:9" x14ac:dyDescent="0.25">
      <c r="A2238" s="3">
        <v>42195</v>
      </c>
      <c r="B2238" s="4">
        <v>26058</v>
      </c>
      <c r="C2238" s="4">
        <v>26088</v>
      </c>
      <c r="D2238" s="4">
        <v>26158</v>
      </c>
      <c r="E2238" s="4">
        <v>26017</v>
      </c>
      <c r="F2238" s="4" t="str">
        <v>9.23K</v>
      </c>
      <c r="G2238" s="4" t="str">
        <v>-0.02%</v>
      </c>
      <c r="H2238" s="3">
        <v>42195</v>
      </c>
      <c r="I2238" s="4">
        <v>26087.5</v>
      </c>
    </row>
    <row r="2239" spans="1:9" x14ac:dyDescent="0.25">
      <c r="A2239" s="3">
        <v>42194</v>
      </c>
      <c r="B2239" s="4">
        <v>26064</v>
      </c>
      <c r="C2239" s="4">
        <v>26202</v>
      </c>
      <c r="D2239" s="4">
        <v>26242</v>
      </c>
      <c r="E2239" s="4">
        <v>26040</v>
      </c>
      <c r="F2239" s="4" t="str">
        <v>12.52K</v>
      </c>
      <c r="G2239" s="4" t="str">
        <v>-0.57%</v>
      </c>
      <c r="H2239" s="3">
        <v>42194</v>
      </c>
      <c r="I2239" s="4">
        <v>26141</v>
      </c>
    </row>
    <row r="2240" spans="1:9" x14ac:dyDescent="0.25">
      <c r="A2240" s="3">
        <v>42193</v>
      </c>
      <c r="B2240" s="4">
        <v>26213</v>
      </c>
      <c r="C2240" s="4">
        <v>26008</v>
      </c>
      <c r="D2240" s="4">
        <v>26248</v>
      </c>
      <c r="E2240" s="4">
        <v>25871</v>
      </c>
      <c r="F2240" s="4" t="str">
        <v>16.25K</v>
      </c>
      <c r="G2240" s="4" t="str">
        <v>0.70%</v>
      </c>
      <c r="H2240" s="3">
        <v>42193</v>
      </c>
      <c r="I2240" s="4">
        <v>26059.5</v>
      </c>
    </row>
    <row r="2241" spans="1:9" x14ac:dyDescent="0.25">
      <c r="A2241" s="3">
        <v>42192</v>
      </c>
      <c r="B2241" s="4">
        <v>26032</v>
      </c>
      <c r="C2241" s="4">
        <v>26276</v>
      </c>
      <c r="D2241" s="4">
        <v>26285</v>
      </c>
      <c r="E2241" s="4">
        <v>25883</v>
      </c>
      <c r="F2241" s="4" t="str">
        <v>16.87K</v>
      </c>
      <c r="G2241" s="4" t="str">
        <v>-1.12%</v>
      </c>
      <c r="H2241" s="3">
        <v>42192</v>
      </c>
      <c r="I2241" s="4">
        <v>26084</v>
      </c>
    </row>
    <row r="2242" spans="1:9" x14ac:dyDescent="0.25">
      <c r="A2242" s="3">
        <v>42191</v>
      </c>
      <c r="B2242" s="4">
        <v>26328</v>
      </c>
      <c r="C2242" s="4">
        <v>26369</v>
      </c>
      <c r="D2242" s="4">
        <v>26375</v>
      </c>
      <c r="E2242" s="4">
        <v>26187</v>
      </c>
      <c r="F2242" s="4" t="str">
        <v>9.86K</v>
      </c>
      <c r="G2242" s="4" t="str">
        <v>-0.09%</v>
      </c>
      <c r="H2242" s="3">
        <v>42191</v>
      </c>
      <c r="I2242" s="4">
        <v>26281</v>
      </c>
    </row>
    <row r="2243" spans="1:9" x14ac:dyDescent="0.25">
      <c r="A2243" s="3">
        <v>42188</v>
      </c>
      <c r="B2243" s="4">
        <v>26352</v>
      </c>
      <c r="C2243" s="4">
        <v>26244</v>
      </c>
      <c r="D2243" s="4">
        <v>26387</v>
      </c>
      <c r="E2243" s="4">
        <v>26217</v>
      </c>
      <c r="F2243" s="4" t="str">
        <v>8.06K</v>
      </c>
      <c r="G2243" s="4" t="str">
        <v>0.60%</v>
      </c>
      <c r="H2243" s="3">
        <v>42188</v>
      </c>
      <c r="I2243" s="4">
        <v>26302</v>
      </c>
    </row>
    <row r="2244" spans="1:9" x14ac:dyDescent="0.25">
      <c r="A2244" s="3">
        <v>42187</v>
      </c>
      <c r="B2244" s="4">
        <v>26195</v>
      </c>
      <c r="C2244" s="4">
        <v>26380</v>
      </c>
      <c r="D2244" s="4">
        <v>26380</v>
      </c>
      <c r="E2244" s="4">
        <v>26130</v>
      </c>
      <c r="F2244" s="4" t="str">
        <v>13.72K</v>
      </c>
      <c r="G2244" s="4" t="str">
        <v>-0.82%</v>
      </c>
      <c r="H2244" s="3">
        <v>42187</v>
      </c>
      <c r="I2244" s="4">
        <v>26255</v>
      </c>
    </row>
    <row r="2245" spans="1:9" x14ac:dyDescent="0.25">
      <c r="A2245" s="3">
        <v>42186</v>
      </c>
      <c r="B2245" s="4">
        <v>26411</v>
      </c>
      <c r="C2245" s="4">
        <v>26531</v>
      </c>
      <c r="D2245" s="4">
        <v>26531</v>
      </c>
      <c r="E2245" s="4">
        <v>26391</v>
      </c>
      <c r="F2245" s="4" t="str">
        <v>9.97K</v>
      </c>
      <c r="G2245" s="4" t="str">
        <v>-0.23%</v>
      </c>
      <c r="H2245" s="3">
        <v>42186</v>
      </c>
      <c r="I2245" s="4">
        <v>26461</v>
      </c>
    </row>
    <row r="2246" spans="1:9" x14ac:dyDescent="0.25">
      <c r="A2246" s="3">
        <v>42185</v>
      </c>
      <c r="B2246" s="4">
        <v>26471</v>
      </c>
      <c r="C2246" s="4">
        <v>26625</v>
      </c>
      <c r="D2246" s="4">
        <v>26635</v>
      </c>
      <c r="E2246" s="4">
        <v>26390</v>
      </c>
      <c r="F2246" s="4" t="str">
        <v>15.50K</v>
      </c>
      <c r="G2246" s="4" t="str">
        <v>-0.75%</v>
      </c>
      <c r="H2246" s="3">
        <v>42185</v>
      </c>
      <c r="I2246" s="4">
        <v>26512.5</v>
      </c>
    </row>
    <row r="2247" spans="1:9" x14ac:dyDescent="0.25">
      <c r="A2247" s="3">
        <v>42184</v>
      </c>
      <c r="B2247" s="4">
        <v>26671</v>
      </c>
      <c r="C2247" s="4">
        <v>26590</v>
      </c>
      <c r="D2247" s="4">
        <v>26868</v>
      </c>
      <c r="E2247" s="4">
        <v>26590</v>
      </c>
      <c r="F2247" s="4" t="str">
        <v>13.74K</v>
      </c>
      <c r="G2247" s="4" t="str">
        <v>0.55%</v>
      </c>
      <c r="H2247" s="3">
        <v>42184</v>
      </c>
      <c r="I2247" s="4">
        <v>26729</v>
      </c>
    </row>
    <row r="2248" spans="1:9" x14ac:dyDescent="0.25">
      <c r="A2248" s="3">
        <v>42181</v>
      </c>
      <c r="B2248" s="4">
        <v>26524</v>
      </c>
      <c r="C2248" s="4">
        <v>26538</v>
      </c>
      <c r="D2248" s="4">
        <v>26589</v>
      </c>
      <c r="E2248" s="4">
        <v>26412</v>
      </c>
      <c r="F2248" s="4" t="str">
        <v>12.08K</v>
      </c>
      <c r="G2248" s="4" t="str">
        <v>0.15%</v>
      </c>
      <c r="H2248" s="3">
        <v>42181</v>
      </c>
      <c r="I2248" s="4">
        <v>26500.5</v>
      </c>
    </row>
    <row r="2249" spans="1:9" x14ac:dyDescent="0.25">
      <c r="A2249" s="3">
        <v>42180</v>
      </c>
      <c r="B2249" s="4">
        <v>26485</v>
      </c>
      <c r="C2249" s="4">
        <v>26570</v>
      </c>
      <c r="D2249" s="4">
        <v>26614</v>
      </c>
      <c r="E2249" s="4">
        <v>26460</v>
      </c>
      <c r="F2249" s="4" t="str">
        <v>9.46K</v>
      </c>
      <c r="G2249" s="4" t="str">
        <v>-0.18%</v>
      </c>
      <c r="H2249" s="3">
        <v>42180</v>
      </c>
      <c r="I2249" s="4">
        <v>26537</v>
      </c>
    </row>
    <row r="2250" spans="1:9" x14ac:dyDescent="0.25">
      <c r="A2250" s="3">
        <v>42179</v>
      </c>
      <c r="B2250" s="4">
        <v>26533</v>
      </c>
      <c r="C2250" s="4">
        <v>26619</v>
      </c>
      <c r="D2250" s="4">
        <v>26670</v>
      </c>
      <c r="E2250" s="4">
        <v>26480</v>
      </c>
      <c r="F2250" s="4" t="str">
        <v>11.54K</v>
      </c>
      <c r="G2250" s="4" t="str">
        <v>-0.24%</v>
      </c>
      <c r="H2250" s="3">
        <v>42179</v>
      </c>
      <c r="I2250" s="4">
        <v>26575</v>
      </c>
    </row>
    <row r="2251" spans="1:9" x14ac:dyDescent="0.25">
      <c r="A2251" s="3">
        <v>42178</v>
      </c>
      <c r="B2251" s="4">
        <v>26597</v>
      </c>
      <c r="C2251" s="4">
        <v>26770</v>
      </c>
      <c r="D2251" s="4">
        <v>26800</v>
      </c>
      <c r="E2251" s="4">
        <v>26583</v>
      </c>
      <c r="F2251" s="4" t="str">
        <v>12.62K</v>
      </c>
      <c r="G2251" s="4" t="str">
        <v>-0.39%</v>
      </c>
      <c r="H2251" s="3">
        <v>42178</v>
      </c>
      <c r="I2251" s="4">
        <v>26691.5</v>
      </c>
    </row>
    <row r="2252" spans="1:9" x14ac:dyDescent="0.25">
      <c r="A2252" s="3">
        <v>42177</v>
      </c>
      <c r="B2252" s="4">
        <v>26702</v>
      </c>
      <c r="C2252" s="4">
        <v>27039</v>
      </c>
      <c r="D2252" s="4">
        <v>27039</v>
      </c>
      <c r="E2252" s="4">
        <v>26681</v>
      </c>
      <c r="F2252" s="4" t="str">
        <v>11.82K</v>
      </c>
      <c r="G2252" s="4" t="str">
        <v>-1.40%</v>
      </c>
      <c r="H2252" s="3">
        <v>42177</v>
      </c>
      <c r="I2252" s="4">
        <v>26860</v>
      </c>
    </row>
    <row r="2253" spans="1:9" x14ac:dyDescent="0.25">
      <c r="A2253" s="3">
        <v>42174</v>
      </c>
      <c r="B2253" s="4">
        <v>27081</v>
      </c>
      <c r="C2253" s="4">
        <v>27138</v>
      </c>
      <c r="D2253" s="4">
        <v>27187</v>
      </c>
      <c r="E2253" s="4">
        <v>27025</v>
      </c>
      <c r="F2253" s="4" t="str">
        <v>8.33K</v>
      </c>
      <c r="G2253" s="4" t="str">
        <v>-0.28%</v>
      </c>
      <c r="H2253" s="3">
        <v>42174</v>
      </c>
      <c r="I2253" s="4">
        <v>27106</v>
      </c>
    </row>
    <row r="2254" spans="1:9" x14ac:dyDescent="0.25">
      <c r="A2254" s="3">
        <v>42173</v>
      </c>
      <c r="B2254" s="4">
        <v>27156</v>
      </c>
      <c r="C2254" s="4">
        <v>26939</v>
      </c>
      <c r="D2254" s="4">
        <v>27245</v>
      </c>
      <c r="E2254" s="4">
        <v>26909</v>
      </c>
      <c r="F2254" s="4" t="str">
        <v>14.30K</v>
      </c>
      <c r="G2254" s="4" t="str">
        <v>1.03%</v>
      </c>
      <c r="H2254" s="3">
        <v>42173</v>
      </c>
      <c r="I2254" s="4">
        <v>27077</v>
      </c>
    </row>
    <row r="2255" spans="1:9" x14ac:dyDescent="0.25">
      <c r="A2255" s="3">
        <v>42172</v>
      </c>
      <c r="B2255" s="4">
        <v>26880</v>
      </c>
      <c r="C2255" s="4">
        <v>26919</v>
      </c>
      <c r="D2255" s="4">
        <v>26920</v>
      </c>
      <c r="E2255" s="4">
        <v>26803</v>
      </c>
      <c r="F2255" s="4" t="str">
        <v>8.59K</v>
      </c>
      <c r="G2255" s="4" t="str">
        <v>-0.28%</v>
      </c>
      <c r="H2255" s="3">
        <v>42172</v>
      </c>
      <c r="I2255" s="4">
        <v>26861.5</v>
      </c>
    </row>
    <row r="2256" spans="1:9" x14ac:dyDescent="0.25">
      <c r="A2256" s="3">
        <v>42171</v>
      </c>
      <c r="B2256" s="4">
        <v>26956</v>
      </c>
      <c r="C2256" s="4">
        <v>27011</v>
      </c>
      <c r="D2256" s="4">
        <v>27069</v>
      </c>
      <c r="E2256" s="4">
        <v>26869</v>
      </c>
      <c r="F2256" s="4" t="str">
        <v>9.84K</v>
      </c>
      <c r="G2256" s="4" t="str">
        <v>-0.27%</v>
      </c>
      <c r="H2256" s="3">
        <v>42171</v>
      </c>
      <c r="I2256" s="4">
        <v>26969</v>
      </c>
    </row>
    <row r="2257" spans="1:9" x14ac:dyDescent="0.25">
      <c r="A2257" s="3">
        <v>42170</v>
      </c>
      <c r="B2257" s="4">
        <v>27029</v>
      </c>
      <c r="C2257" s="4">
        <v>26935</v>
      </c>
      <c r="D2257" s="4">
        <v>27092</v>
      </c>
      <c r="E2257" s="4">
        <v>26738</v>
      </c>
      <c r="F2257" s="4" t="str">
        <v>12.98K</v>
      </c>
      <c r="G2257" s="4" t="str">
        <v>0.50%</v>
      </c>
      <c r="H2257" s="3">
        <v>42170</v>
      </c>
      <c r="I2257" s="4">
        <v>26915</v>
      </c>
    </row>
    <row r="2258" spans="1:9" x14ac:dyDescent="0.25">
      <c r="A2258" s="3">
        <v>42167</v>
      </c>
      <c r="B2258" s="4">
        <v>26894</v>
      </c>
      <c r="C2258" s="4">
        <v>26904</v>
      </c>
      <c r="D2258" s="4">
        <v>26975</v>
      </c>
      <c r="E2258" s="4">
        <v>26840</v>
      </c>
      <c r="F2258" s="4" t="str">
        <v>8.58K</v>
      </c>
      <c r="G2258" s="4" t="str">
        <v>0.01%</v>
      </c>
      <c r="H2258" s="3">
        <v>42167</v>
      </c>
      <c r="I2258" s="4">
        <v>26907.5</v>
      </c>
    </row>
    <row r="2259" spans="1:9" x14ac:dyDescent="0.25">
      <c r="A2259" s="3">
        <v>42166</v>
      </c>
      <c r="B2259" s="4">
        <v>26892</v>
      </c>
      <c r="C2259" s="4">
        <v>26958</v>
      </c>
      <c r="D2259" s="4">
        <v>26970</v>
      </c>
      <c r="E2259" s="4">
        <v>26790</v>
      </c>
      <c r="F2259" s="4" t="str">
        <v>11.00K</v>
      </c>
      <c r="G2259" s="4" t="str">
        <v>-0.29%</v>
      </c>
      <c r="H2259" s="3">
        <v>42166</v>
      </c>
      <c r="I2259" s="4">
        <v>26880</v>
      </c>
    </row>
    <row r="2260" spans="1:9" x14ac:dyDescent="0.25">
      <c r="A2260" s="3">
        <v>42165</v>
      </c>
      <c r="B2260" s="4">
        <v>26971</v>
      </c>
      <c r="C2260" s="4">
        <v>26865</v>
      </c>
      <c r="D2260" s="4">
        <v>27072</v>
      </c>
      <c r="E2260" s="4">
        <v>26837</v>
      </c>
      <c r="F2260" s="4" t="str">
        <v>10.67K</v>
      </c>
      <c r="G2260" s="4" t="str">
        <v>0.38%</v>
      </c>
      <c r="H2260" s="3">
        <v>42165</v>
      </c>
      <c r="I2260" s="4">
        <v>26954.5</v>
      </c>
    </row>
    <row r="2261" spans="1:9" x14ac:dyDescent="0.25">
      <c r="A2261" s="3">
        <v>42164</v>
      </c>
      <c r="B2261" s="4">
        <v>26868</v>
      </c>
      <c r="C2261" s="4">
        <v>26822</v>
      </c>
      <c r="D2261" s="4">
        <v>26926</v>
      </c>
      <c r="E2261" s="4">
        <v>26770</v>
      </c>
      <c r="F2261" s="4" t="str">
        <v>11.77K</v>
      </c>
      <c r="G2261" s="4" t="str">
        <v>0.27%</v>
      </c>
      <c r="H2261" s="3">
        <v>42164</v>
      </c>
      <c r="I2261" s="4">
        <v>26848</v>
      </c>
    </row>
    <row r="2262" spans="1:9" x14ac:dyDescent="0.25">
      <c r="A2262" s="3">
        <v>42163</v>
      </c>
      <c r="B2262" s="4">
        <v>26795</v>
      </c>
      <c r="C2262" s="4">
        <v>26780</v>
      </c>
      <c r="D2262" s="4">
        <v>26840</v>
      </c>
      <c r="E2262" s="4">
        <v>26725</v>
      </c>
      <c r="F2262" s="4" t="str">
        <v>8.72K</v>
      </c>
      <c r="G2262" s="4" t="str">
        <v>0.90%</v>
      </c>
      <c r="H2262" s="3">
        <v>42163</v>
      </c>
      <c r="I2262" s="4">
        <v>26782.5</v>
      </c>
    </row>
    <row r="2263" spans="1:9" x14ac:dyDescent="0.25">
      <c r="A2263" s="3">
        <v>42160</v>
      </c>
      <c r="B2263" s="4">
        <v>26555</v>
      </c>
      <c r="C2263" s="4">
        <v>26610</v>
      </c>
      <c r="D2263" s="4">
        <v>26798</v>
      </c>
      <c r="E2263" s="4">
        <v>26350</v>
      </c>
      <c r="F2263" s="4" t="str">
        <v>0.01K</v>
      </c>
      <c r="G2263" s="4" t="str">
        <v>-0.23%</v>
      </c>
      <c r="H2263" s="3">
        <v>42160</v>
      </c>
      <c r="I2263" s="4">
        <v>26574</v>
      </c>
    </row>
    <row r="2264" spans="1:9" x14ac:dyDescent="0.25">
      <c r="A2264" s="3">
        <v>42159</v>
      </c>
      <c r="B2264" s="4">
        <v>26617</v>
      </c>
      <c r="C2264" s="4">
        <v>26850</v>
      </c>
      <c r="D2264" s="4">
        <v>26850</v>
      </c>
      <c r="E2264" s="4">
        <v>26517</v>
      </c>
      <c r="F2264" s="4" t="str">
        <v>0.09K</v>
      </c>
      <c r="G2264" s="4" t="str">
        <v>-0.71%</v>
      </c>
      <c r="H2264" s="3">
        <v>42159</v>
      </c>
      <c r="I2264" s="4">
        <v>26683.5</v>
      </c>
    </row>
    <row r="2265" spans="1:9" x14ac:dyDescent="0.25">
      <c r="A2265" s="3">
        <v>42158</v>
      </c>
      <c r="B2265" s="4">
        <v>26808</v>
      </c>
      <c r="C2265" s="4">
        <v>26893</v>
      </c>
      <c r="D2265" s="4">
        <v>26900</v>
      </c>
      <c r="E2265" s="4">
        <v>26550</v>
      </c>
      <c r="F2265" s="4" t="str">
        <v>0.09K</v>
      </c>
      <c r="G2265" s="4" t="str">
        <v>-0.16%</v>
      </c>
      <c r="H2265" s="3">
        <v>42158</v>
      </c>
      <c r="I2265" s="4">
        <v>26725</v>
      </c>
    </row>
    <row r="2266" spans="1:9" x14ac:dyDescent="0.25">
      <c r="A2266" s="3">
        <v>42157</v>
      </c>
      <c r="B2266" s="4">
        <v>26850</v>
      </c>
      <c r="C2266" s="4">
        <v>26641</v>
      </c>
      <c r="D2266" s="4">
        <v>26900</v>
      </c>
      <c r="E2266" s="4">
        <v>26641</v>
      </c>
      <c r="F2266" s="4" t="str">
        <v>0.29K</v>
      </c>
      <c r="G2266" s="4" t="str">
        <v>0.59%</v>
      </c>
      <c r="H2266" s="3">
        <v>42157</v>
      </c>
      <c r="I2266" s="4">
        <v>26770.5</v>
      </c>
    </row>
    <row r="2267" spans="1:9" x14ac:dyDescent="0.25">
      <c r="A2267" s="3">
        <v>42156</v>
      </c>
      <c r="B2267" s="4">
        <v>26692</v>
      </c>
      <c r="C2267" s="4">
        <v>26831</v>
      </c>
      <c r="D2267" s="4">
        <v>26984</v>
      </c>
      <c r="E2267" s="4">
        <v>26666</v>
      </c>
      <c r="F2267" s="4" t="str">
        <v>2.96K</v>
      </c>
      <c r="G2267" s="4" t="str">
        <v>-0.63%</v>
      </c>
      <c r="H2267" s="3">
        <v>42156</v>
      </c>
      <c r="I2267" s="4">
        <v>26825</v>
      </c>
    </row>
    <row r="2268" spans="1:9" x14ac:dyDescent="0.25">
      <c r="A2268" s="3">
        <v>42153</v>
      </c>
      <c r="B2268" s="4">
        <v>26860</v>
      </c>
      <c r="C2268" s="4">
        <v>26875</v>
      </c>
      <c r="D2268" s="4">
        <v>26925</v>
      </c>
      <c r="E2268" s="4">
        <v>26780</v>
      </c>
      <c r="F2268" s="4" t="str">
        <v>9.72K</v>
      </c>
      <c r="G2268" s="4" t="str">
        <v>-0.00%</v>
      </c>
      <c r="H2268" s="3">
        <v>42153</v>
      </c>
      <c r="I2268" s="4">
        <v>26852.5</v>
      </c>
    </row>
    <row r="2269" spans="1:9" x14ac:dyDescent="0.25">
      <c r="A2269" s="3">
        <v>42152</v>
      </c>
      <c r="B2269" s="4">
        <v>26861</v>
      </c>
      <c r="C2269" s="4">
        <v>26860</v>
      </c>
      <c r="D2269" s="4">
        <v>26916</v>
      </c>
      <c r="E2269" s="4">
        <v>26712</v>
      </c>
      <c r="F2269" s="4" t="str">
        <v>11.51K</v>
      </c>
      <c r="G2269" s="4" t="str">
        <v>-0.06%</v>
      </c>
      <c r="H2269" s="3">
        <v>42152</v>
      </c>
      <c r="I2269" s="4">
        <v>26814</v>
      </c>
    </row>
    <row r="2270" spans="1:9" x14ac:dyDescent="0.25">
      <c r="A2270" s="3">
        <v>42151</v>
      </c>
      <c r="B2270" s="4">
        <v>26877</v>
      </c>
      <c r="C2270" s="4">
        <v>26957</v>
      </c>
      <c r="D2270" s="4">
        <v>26975</v>
      </c>
      <c r="E2270" s="4">
        <v>26835</v>
      </c>
      <c r="F2270" s="4" t="str">
        <v>11.15K</v>
      </c>
      <c r="G2270" s="4" t="str">
        <v>-0.06%</v>
      </c>
      <c r="H2270" s="3">
        <v>42151</v>
      </c>
      <c r="I2270" s="4">
        <v>26905</v>
      </c>
    </row>
    <row r="2271" spans="1:9" x14ac:dyDescent="0.25">
      <c r="A2271" s="3">
        <v>42150</v>
      </c>
      <c r="B2271" s="4">
        <v>26892</v>
      </c>
      <c r="C2271" s="4">
        <v>27140</v>
      </c>
      <c r="D2271" s="4">
        <v>27195</v>
      </c>
      <c r="E2271" s="4">
        <v>26862</v>
      </c>
      <c r="F2271" s="4" t="str">
        <v>13.72K</v>
      </c>
      <c r="G2271" s="4" t="str">
        <v>-0.99%</v>
      </c>
      <c r="H2271" s="3">
        <v>42150</v>
      </c>
      <c r="I2271" s="4">
        <v>27028.5</v>
      </c>
    </row>
    <row r="2272" spans="1:9" x14ac:dyDescent="0.25">
      <c r="A2272" s="3">
        <v>42149</v>
      </c>
      <c r="B2272" s="4">
        <v>27161</v>
      </c>
      <c r="C2272" s="4">
        <v>27096</v>
      </c>
      <c r="D2272" s="4">
        <v>27175</v>
      </c>
      <c r="E2272" s="4">
        <v>27082</v>
      </c>
      <c r="F2272" s="4" t="str">
        <v>5.37K</v>
      </c>
      <c r="G2272" s="4" t="str">
        <v>0.29%</v>
      </c>
      <c r="H2272" s="3">
        <v>42149</v>
      </c>
      <c r="I2272" s="4">
        <v>27128.5</v>
      </c>
    </row>
    <row r="2273" spans="1:9" x14ac:dyDescent="0.25">
      <c r="A2273" s="3">
        <v>42146</v>
      </c>
      <c r="B2273" s="4">
        <v>27082</v>
      </c>
      <c r="C2273" s="4">
        <v>27159</v>
      </c>
      <c r="D2273" s="4">
        <v>27297</v>
      </c>
      <c r="E2273" s="4">
        <v>27053</v>
      </c>
      <c r="F2273" s="4" t="str">
        <v>11.58K</v>
      </c>
      <c r="G2273" s="4" t="str">
        <v>-0.10%</v>
      </c>
      <c r="H2273" s="3">
        <v>42146</v>
      </c>
      <c r="I2273" s="4">
        <v>27175</v>
      </c>
    </row>
    <row r="2274" spans="1:9" x14ac:dyDescent="0.25">
      <c r="A2274" s="3">
        <v>42145</v>
      </c>
      <c r="B2274" s="4">
        <v>27108</v>
      </c>
      <c r="C2274" s="4">
        <v>27278</v>
      </c>
      <c r="D2274" s="4">
        <v>27318</v>
      </c>
      <c r="E2274" s="4">
        <v>27089</v>
      </c>
      <c r="F2274" s="4" t="str">
        <v>12.27K</v>
      </c>
      <c r="G2274" s="4" t="str">
        <v>-0.65%</v>
      </c>
      <c r="H2274" s="3">
        <v>42145</v>
      </c>
      <c r="I2274" s="4">
        <v>27203.5</v>
      </c>
    </row>
    <row r="2275" spans="1:9" x14ac:dyDescent="0.25">
      <c r="A2275" s="3">
        <v>42144</v>
      </c>
      <c r="B2275" s="4">
        <v>27284</v>
      </c>
      <c r="C2275" s="4">
        <v>27260</v>
      </c>
      <c r="D2275" s="4">
        <v>27364</v>
      </c>
      <c r="E2275" s="4">
        <v>27186</v>
      </c>
      <c r="F2275" s="4" t="str">
        <v>11.65K</v>
      </c>
      <c r="G2275" s="4" t="str">
        <v>-0.04%</v>
      </c>
      <c r="H2275" s="3">
        <v>42144</v>
      </c>
      <c r="I2275" s="4">
        <v>27275</v>
      </c>
    </row>
    <row r="2276" spans="1:9" x14ac:dyDescent="0.25">
      <c r="A2276" s="3">
        <v>42143</v>
      </c>
      <c r="B2276" s="4">
        <v>27296</v>
      </c>
      <c r="C2276" s="4">
        <v>27580</v>
      </c>
      <c r="D2276" s="4">
        <v>27580</v>
      </c>
      <c r="E2276" s="4">
        <v>27258</v>
      </c>
      <c r="F2276" s="4" t="str">
        <v>17.27K</v>
      </c>
      <c r="G2276" s="4" t="str">
        <v>-1.16%</v>
      </c>
      <c r="H2276" s="3">
        <v>42143</v>
      </c>
      <c r="I2276" s="4">
        <v>27419</v>
      </c>
    </row>
    <row r="2277" spans="1:9" x14ac:dyDescent="0.25">
      <c r="A2277" s="3">
        <v>42142</v>
      </c>
      <c r="B2277" s="4">
        <v>27617</v>
      </c>
      <c r="C2277" s="4">
        <v>27519</v>
      </c>
      <c r="D2277" s="4">
        <v>27685</v>
      </c>
      <c r="E2277" s="4">
        <v>27505</v>
      </c>
      <c r="F2277" s="4" t="str">
        <v>11.08K</v>
      </c>
      <c r="G2277" s="4" t="str">
        <v>0.56%</v>
      </c>
      <c r="H2277" s="3">
        <v>42142</v>
      </c>
      <c r="I2277" s="4">
        <v>27595</v>
      </c>
    </row>
    <row r="2278" spans="1:9" x14ac:dyDescent="0.25">
      <c r="A2278" s="3">
        <v>42139</v>
      </c>
      <c r="B2278" s="4">
        <v>27463</v>
      </c>
      <c r="C2278" s="4">
        <v>27400</v>
      </c>
      <c r="D2278" s="4">
        <v>27480</v>
      </c>
      <c r="E2278" s="4">
        <v>27246</v>
      </c>
      <c r="F2278" s="4" t="str">
        <v>13.66K</v>
      </c>
      <c r="G2278" s="4" t="str">
        <v>0.11%</v>
      </c>
      <c r="H2278" s="3">
        <v>42139</v>
      </c>
      <c r="I2278" s="4">
        <v>27363</v>
      </c>
    </row>
    <row r="2279" spans="1:9" x14ac:dyDescent="0.25">
      <c r="A2279" s="3">
        <v>42138</v>
      </c>
      <c r="B2279" s="4">
        <v>27434</v>
      </c>
      <c r="C2279" s="4">
        <v>27450</v>
      </c>
      <c r="D2279" s="4">
        <v>27595</v>
      </c>
      <c r="E2279" s="4">
        <v>27370</v>
      </c>
      <c r="F2279" s="4" t="str">
        <v>15.26K</v>
      </c>
      <c r="G2279" s="4" t="str">
        <v>-0.34%</v>
      </c>
      <c r="H2279" s="3">
        <v>42138</v>
      </c>
      <c r="I2279" s="4">
        <v>27482.5</v>
      </c>
    </row>
    <row r="2280" spans="1:9" x14ac:dyDescent="0.25">
      <c r="A2280" s="3">
        <v>42137</v>
      </c>
      <c r="B2280" s="4">
        <v>27528</v>
      </c>
      <c r="C2280" s="4">
        <v>27110</v>
      </c>
      <c r="D2280" s="4">
        <v>27568</v>
      </c>
      <c r="E2280" s="4">
        <v>27051</v>
      </c>
      <c r="F2280" s="4" t="str">
        <v>21.03K</v>
      </c>
      <c r="G2280" s="4" t="str">
        <v>1.33%</v>
      </c>
      <c r="H2280" s="3">
        <v>42137</v>
      </c>
      <c r="I2280" s="4">
        <v>27309.5</v>
      </c>
    </row>
    <row r="2281" spans="1:9" x14ac:dyDescent="0.25">
      <c r="A2281" s="3">
        <v>42136</v>
      </c>
      <c r="B2281" s="4">
        <v>27167</v>
      </c>
      <c r="C2281" s="4">
        <v>26860</v>
      </c>
      <c r="D2281" s="4">
        <v>27241</v>
      </c>
      <c r="E2281" s="4">
        <v>26860</v>
      </c>
      <c r="F2281" s="4" t="str">
        <v>19.68K</v>
      </c>
      <c r="G2281" s="4" t="str">
        <v>1.22%</v>
      </c>
      <c r="H2281" s="3">
        <v>42136</v>
      </c>
      <c r="I2281" s="4">
        <v>27050.5</v>
      </c>
    </row>
    <row r="2282" spans="1:9" x14ac:dyDescent="0.25">
      <c r="A2282" s="3">
        <v>42135</v>
      </c>
      <c r="B2282" s="4">
        <v>26839</v>
      </c>
      <c r="C2282" s="4">
        <v>26913</v>
      </c>
      <c r="D2282" s="4">
        <v>26952</v>
      </c>
      <c r="E2282" s="4">
        <v>26778</v>
      </c>
      <c r="F2282" s="4" t="str">
        <v>13.52K</v>
      </c>
      <c r="G2282" s="4" t="str">
        <v>-0.19%</v>
      </c>
      <c r="H2282" s="3">
        <v>42135</v>
      </c>
      <c r="I2282" s="4">
        <v>26865</v>
      </c>
    </row>
    <row r="2283" spans="1:9" x14ac:dyDescent="0.25">
      <c r="A2283" s="3">
        <v>42132</v>
      </c>
      <c r="B2283" s="4">
        <v>26889</v>
      </c>
      <c r="C2283" s="4">
        <v>26912</v>
      </c>
      <c r="D2283" s="4">
        <v>27014</v>
      </c>
      <c r="E2283" s="4">
        <v>26821</v>
      </c>
      <c r="F2283" s="4" t="str">
        <v>13.43K</v>
      </c>
      <c r="G2283" s="4" t="str">
        <v>-0.17%</v>
      </c>
      <c r="H2283" s="3">
        <v>42132</v>
      </c>
      <c r="I2283" s="4">
        <v>26917.5</v>
      </c>
    </row>
    <row r="2284" spans="1:9" x14ac:dyDescent="0.25">
      <c r="A2284" s="3">
        <v>42131</v>
      </c>
      <c r="B2284" s="4">
        <v>26934</v>
      </c>
      <c r="C2284" s="4">
        <v>26912</v>
      </c>
      <c r="D2284" s="4">
        <v>27040</v>
      </c>
      <c r="E2284" s="4">
        <v>26845</v>
      </c>
      <c r="F2284" s="4" t="str">
        <v>14.55K</v>
      </c>
      <c r="G2284" s="4" t="str">
        <v>0.09%</v>
      </c>
      <c r="H2284" s="3">
        <v>42131</v>
      </c>
      <c r="I2284" s="4">
        <v>26942.5</v>
      </c>
    </row>
    <row r="2285" spans="1:9" x14ac:dyDescent="0.25">
      <c r="A2285" s="3">
        <v>42130</v>
      </c>
      <c r="B2285" s="4">
        <v>26911</v>
      </c>
      <c r="C2285" s="4">
        <v>26950</v>
      </c>
      <c r="D2285" s="4">
        <v>27054</v>
      </c>
      <c r="E2285" s="4">
        <v>26813</v>
      </c>
      <c r="F2285" s="4" t="str">
        <v>12.85K</v>
      </c>
      <c r="G2285" s="4" t="str">
        <v>0.12%</v>
      </c>
      <c r="H2285" s="3">
        <v>42130</v>
      </c>
      <c r="I2285" s="4">
        <v>26933.5</v>
      </c>
    </row>
    <row r="2286" spans="1:9" x14ac:dyDescent="0.25">
      <c r="A2286" s="3">
        <v>42129</v>
      </c>
      <c r="B2286" s="4">
        <v>26880</v>
      </c>
      <c r="C2286" s="4">
        <v>26836</v>
      </c>
      <c r="D2286" s="4">
        <v>27020</v>
      </c>
      <c r="E2286" s="4">
        <v>26776</v>
      </c>
      <c r="F2286" s="4" t="str">
        <v>13.69K</v>
      </c>
      <c r="G2286" s="4" t="str">
        <v>0.04%</v>
      </c>
      <c r="H2286" s="3">
        <v>42129</v>
      </c>
      <c r="I2286" s="4">
        <v>26898</v>
      </c>
    </row>
    <row r="2287" spans="1:9" x14ac:dyDescent="0.25">
      <c r="A2287" s="3">
        <v>42128</v>
      </c>
      <c r="B2287" s="4">
        <v>26868</v>
      </c>
      <c r="C2287" s="4">
        <v>26697</v>
      </c>
      <c r="D2287" s="4">
        <v>26959</v>
      </c>
      <c r="E2287" s="4">
        <v>26697</v>
      </c>
      <c r="F2287" s="4" t="str">
        <v>7.66K</v>
      </c>
      <c r="G2287" s="4" t="str">
        <v>0.87%</v>
      </c>
      <c r="H2287" s="3">
        <v>42128</v>
      </c>
      <c r="I2287" s="4">
        <v>26828</v>
      </c>
    </row>
    <row r="2288" spans="1:9" x14ac:dyDescent="0.25">
      <c r="A2288" s="3">
        <v>42125</v>
      </c>
      <c r="B2288" s="4">
        <v>26636</v>
      </c>
      <c r="C2288" s="4">
        <v>26660</v>
      </c>
      <c r="D2288" s="4">
        <v>26689</v>
      </c>
      <c r="E2288" s="4">
        <v>26490</v>
      </c>
      <c r="F2288" s="4" t="str">
        <v>7.66K</v>
      </c>
      <c r="G2288" s="4" t="str">
        <v>-0.30%</v>
      </c>
      <c r="H2288" s="3">
        <v>42125</v>
      </c>
      <c r="I2288" s="4">
        <v>26589.5</v>
      </c>
    </row>
    <row r="2289" spans="1:9" x14ac:dyDescent="0.25">
      <c r="A2289" s="3">
        <v>42124</v>
      </c>
      <c r="B2289" s="4">
        <v>26716</v>
      </c>
      <c r="C2289" s="4">
        <v>27160</v>
      </c>
      <c r="D2289" s="4">
        <v>27279</v>
      </c>
      <c r="E2289" s="4">
        <v>26655</v>
      </c>
      <c r="F2289" s="4" t="str">
        <v>19.25K</v>
      </c>
      <c r="G2289" s="4" t="str">
        <v>-1.92%</v>
      </c>
      <c r="H2289" s="3">
        <v>42124</v>
      </c>
      <c r="I2289" s="4">
        <v>26967</v>
      </c>
    </row>
    <row r="2290" spans="1:9" x14ac:dyDescent="0.25">
      <c r="A2290" s="3">
        <v>42123</v>
      </c>
      <c r="B2290" s="4">
        <v>27238</v>
      </c>
      <c r="C2290" s="4">
        <v>27123</v>
      </c>
      <c r="D2290" s="4">
        <v>27274</v>
      </c>
      <c r="E2290" s="4">
        <v>27064</v>
      </c>
      <c r="F2290" s="4" t="str">
        <v>13.10K</v>
      </c>
      <c r="G2290" s="4" t="str">
        <v>0.18%</v>
      </c>
      <c r="H2290" s="3">
        <v>42123</v>
      </c>
      <c r="I2290" s="4">
        <v>27169</v>
      </c>
    </row>
    <row r="2291" spans="1:9" x14ac:dyDescent="0.25">
      <c r="A2291" s="3">
        <v>42122</v>
      </c>
      <c r="B2291" s="4">
        <v>27190</v>
      </c>
      <c r="C2291" s="4">
        <v>27070</v>
      </c>
      <c r="D2291" s="4">
        <v>27212</v>
      </c>
      <c r="E2291" s="4">
        <v>26970</v>
      </c>
      <c r="F2291" s="4" t="str">
        <v>13.42K</v>
      </c>
      <c r="G2291" s="4" t="str">
        <v>0.40%</v>
      </c>
      <c r="H2291" s="3">
        <v>42122</v>
      </c>
      <c r="I2291" s="4">
        <v>27091</v>
      </c>
    </row>
    <row r="2292" spans="1:9" x14ac:dyDescent="0.25">
      <c r="A2292" s="3">
        <v>42121</v>
      </c>
      <c r="B2292" s="4">
        <v>27083</v>
      </c>
      <c r="C2292" s="4">
        <v>26771</v>
      </c>
      <c r="D2292" s="4">
        <v>27135</v>
      </c>
      <c r="E2292" s="4">
        <v>26707</v>
      </c>
      <c r="F2292" s="4" t="str">
        <v>16.10K</v>
      </c>
      <c r="G2292" s="4" t="str">
        <v>1.43%</v>
      </c>
      <c r="H2292" s="3">
        <v>42121</v>
      </c>
      <c r="I2292" s="4">
        <v>26921</v>
      </c>
    </row>
    <row r="2293" spans="1:9" x14ac:dyDescent="0.25">
      <c r="A2293" s="3">
        <v>42118</v>
      </c>
      <c r="B2293" s="4">
        <v>26701</v>
      </c>
      <c r="C2293" s="4">
        <v>26867</v>
      </c>
      <c r="D2293" s="4">
        <v>26959</v>
      </c>
      <c r="E2293" s="4">
        <v>26630</v>
      </c>
      <c r="F2293" s="4" t="str">
        <v>14.87K</v>
      </c>
      <c r="G2293" s="4" t="str">
        <v>-0.74%</v>
      </c>
      <c r="H2293" s="3">
        <v>42118</v>
      </c>
      <c r="I2293" s="4">
        <v>26794.5</v>
      </c>
    </row>
    <row r="2294" spans="1:9" x14ac:dyDescent="0.25">
      <c r="A2294" s="3">
        <v>42117</v>
      </c>
      <c r="B2294" s="4">
        <v>26900</v>
      </c>
      <c r="C2294" s="4">
        <v>26640</v>
      </c>
      <c r="D2294" s="4">
        <v>26917</v>
      </c>
      <c r="E2294" s="4">
        <v>26635</v>
      </c>
      <c r="F2294" s="4" t="str">
        <v>12.02K</v>
      </c>
      <c r="G2294" s="4" t="str">
        <v>1.04%</v>
      </c>
      <c r="H2294" s="3">
        <v>42117</v>
      </c>
      <c r="I2294" s="4">
        <v>26776</v>
      </c>
    </row>
    <row r="2295" spans="1:9" x14ac:dyDescent="0.25">
      <c r="A2295" s="3">
        <v>42116</v>
      </c>
      <c r="B2295" s="4">
        <v>26624</v>
      </c>
      <c r="C2295" s="4">
        <v>26853</v>
      </c>
      <c r="D2295" s="4">
        <v>26960</v>
      </c>
      <c r="E2295" s="4">
        <v>26606</v>
      </c>
      <c r="F2295" s="4" t="str">
        <v>13.96K</v>
      </c>
      <c r="G2295" s="4" t="str">
        <v>-1.16%</v>
      </c>
      <c r="H2295" s="3">
        <v>42116</v>
      </c>
      <c r="I2295" s="4">
        <v>26783</v>
      </c>
    </row>
    <row r="2296" spans="1:9" x14ac:dyDescent="0.25">
      <c r="A2296" s="3">
        <v>42115</v>
      </c>
      <c r="B2296" s="4">
        <v>26936</v>
      </c>
      <c r="C2296" s="4">
        <v>26880</v>
      </c>
      <c r="D2296" s="4">
        <v>26950</v>
      </c>
      <c r="E2296" s="4">
        <v>26753</v>
      </c>
      <c r="F2296" s="4" t="str">
        <v>10.00K</v>
      </c>
      <c r="G2296" s="4" t="str">
        <v>0.37%</v>
      </c>
      <c r="H2296" s="3">
        <v>42115</v>
      </c>
      <c r="I2296" s="4">
        <v>26851.5</v>
      </c>
    </row>
    <row r="2297" spans="1:9" x14ac:dyDescent="0.25">
      <c r="A2297" s="3">
        <v>42114</v>
      </c>
      <c r="B2297" s="4">
        <v>26837</v>
      </c>
      <c r="C2297" s="4">
        <v>26845</v>
      </c>
      <c r="D2297" s="4">
        <v>26967</v>
      </c>
      <c r="E2297" s="4">
        <v>26768</v>
      </c>
      <c r="F2297" s="4" t="str">
        <v>12.12K</v>
      </c>
      <c r="G2297" s="4" t="str">
        <v>0.09%</v>
      </c>
      <c r="H2297" s="3">
        <v>42114</v>
      </c>
      <c r="I2297" s="4">
        <v>26867.5</v>
      </c>
    </row>
    <row r="2298" spans="1:9" x14ac:dyDescent="0.25">
      <c r="A2298" s="3">
        <v>42111</v>
      </c>
      <c r="B2298" s="4">
        <v>26812</v>
      </c>
      <c r="C2298" s="4">
        <v>26617</v>
      </c>
      <c r="D2298" s="4">
        <v>26840</v>
      </c>
      <c r="E2298" s="4">
        <v>26617</v>
      </c>
      <c r="F2298" s="4" t="str">
        <v>11.17K</v>
      </c>
      <c r="G2298" s="4" t="str">
        <v>0.63%</v>
      </c>
      <c r="H2298" s="3">
        <v>42111</v>
      </c>
      <c r="I2298" s="4">
        <v>26728.5</v>
      </c>
    </row>
    <row r="2299" spans="1:9" x14ac:dyDescent="0.25">
      <c r="A2299" s="3">
        <v>42110</v>
      </c>
      <c r="B2299" s="4">
        <v>26645</v>
      </c>
      <c r="C2299" s="4">
        <v>26710</v>
      </c>
      <c r="D2299" s="4">
        <v>26845</v>
      </c>
      <c r="E2299" s="4">
        <v>26568</v>
      </c>
      <c r="F2299" s="4" t="str">
        <v>13.28K</v>
      </c>
      <c r="G2299" s="4" t="str">
        <v>-0.34%</v>
      </c>
      <c r="H2299" s="3">
        <v>42110</v>
      </c>
      <c r="I2299" s="4">
        <v>26706.5</v>
      </c>
    </row>
    <row r="2300" spans="1:9" x14ac:dyDescent="0.25">
      <c r="A2300" s="3">
        <v>42109</v>
      </c>
      <c r="B2300" s="4">
        <v>26737</v>
      </c>
      <c r="C2300" s="4">
        <v>26532</v>
      </c>
      <c r="D2300" s="4">
        <v>26765</v>
      </c>
      <c r="E2300" s="4">
        <v>26476</v>
      </c>
      <c r="F2300" s="4" t="str">
        <v>13.36K</v>
      </c>
      <c r="G2300" s="4" t="str">
        <v>0.73%</v>
      </c>
      <c r="H2300" s="3">
        <v>42109</v>
      </c>
      <c r="I2300" s="4">
        <v>26620.5</v>
      </c>
    </row>
    <row r="2301" spans="1:9" x14ac:dyDescent="0.25">
      <c r="A2301" s="3">
        <v>42108</v>
      </c>
      <c r="B2301" s="4">
        <v>26544</v>
      </c>
      <c r="C2301" s="4">
        <v>26622</v>
      </c>
      <c r="D2301" s="4">
        <v>26622</v>
      </c>
      <c r="E2301" s="4">
        <v>26387</v>
      </c>
      <c r="F2301" s="4" t="str">
        <v>9.23K</v>
      </c>
      <c r="G2301" s="4" t="str">
        <v>-0.58%</v>
      </c>
      <c r="H2301" s="3">
        <v>42108</v>
      </c>
      <c r="I2301" s="4">
        <v>26504.5</v>
      </c>
    </row>
    <row r="2302" spans="1:9" x14ac:dyDescent="0.25">
      <c r="A2302" s="3">
        <v>42107</v>
      </c>
      <c r="B2302" s="4">
        <v>26699</v>
      </c>
      <c r="C2302" s="4">
        <v>26760</v>
      </c>
      <c r="D2302" s="4">
        <v>26815</v>
      </c>
      <c r="E2302" s="4">
        <v>26629</v>
      </c>
      <c r="F2302" s="4" t="str">
        <v>10.96K</v>
      </c>
      <c r="G2302" s="4" t="str">
        <v>-0.31%</v>
      </c>
      <c r="H2302" s="3">
        <v>42107</v>
      </c>
      <c r="I2302" s="4">
        <v>26722</v>
      </c>
    </row>
    <row r="2303" spans="1:9" x14ac:dyDescent="0.25">
      <c r="A2303" s="3">
        <v>42104</v>
      </c>
      <c r="B2303" s="4">
        <v>26781</v>
      </c>
      <c r="C2303" s="4">
        <v>26577</v>
      </c>
      <c r="D2303" s="4">
        <v>26840</v>
      </c>
      <c r="E2303" s="4">
        <v>26534</v>
      </c>
      <c r="F2303" s="4" t="str">
        <v>13.63K</v>
      </c>
      <c r="G2303" s="4" t="str">
        <v>0.98%</v>
      </c>
      <c r="H2303" s="3">
        <v>42104</v>
      </c>
      <c r="I2303" s="4">
        <v>26687</v>
      </c>
    </row>
    <row r="2304" spans="1:9" x14ac:dyDescent="0.25">
      <c r="A2304" s="3">
        <v>42103</v>
      </c>
      <c r="B2304" s="4">
        <v>26521</v>
      </c>
      <c r="C2304" s="4">
        <v>26700</v>
      </c>
      <c r="D2304" s="4">
        <v>26700</v>
      </c>
      <c r="E2304" s="4">
        <v>26462</v>
      </c>
      <c r="F2304" s="4" t="str">
        <v>13.02K</v>
      </c>
      <c r="G2304" s="4" t="str">
        <v>-0.89%</v>
      </c>
      <c r="H2304" s="3">
        <v>42103</v>
      </c>
      <c r="I2304" s="4">
        <v>26581</v>
      </c>
    </row>
    <row r="2305" spans="1:9" x14ac:dyDescent="0.25">
      <c r="A2305" s="3">
        <v>42102</v>
      </c>
      <c r="B2305" s="4">
        <v>26760</v>
      </c>
      <c r="C2305" s="4">
        <v>26880</v>
      </c>
      <c r="D2305" s="4">
        <v>26929</v>
      </c>
      <c r="E2305" s="4">
        <v>26671</v>
      </c>
      <c r="F2305" s="4" t="str">
        <v>10.91K</v>
      </c>
      <c r="G2305" s="4" t="str">
        <v>-0.43%</v>
      </c>
      <c r="H2305" s="3">
        <v>42102</v>
      </c>
      <c r="I2305" s="4">
        <v>26800</v>
      </c>
    </row>
    <row r="2306" spans="1:9" x14ac:dyDescent="0.25">
      <c r="A2306" s="3">
        <v>42101</v>
      </c>
      <c r="B2306" s="4">
        <v>26875</v>
      </c>
      <c r="C2306" s="4">
        <v>26980</v>
      </c>
      <c r="D2306" s="4">
        <v>26980</v>
      </c>
      <c r="E2306" s="4">
        <v>26852</v>
      </c>
      <c r="F2306" s="4" t="str">
        <v>9.69K</v>
      </c>
      <c r="G2306" s="4" t="str">
        <v>-0.45%</v>
      </c>
      <c r="H2306" s="3">
        <v>42101</v>
      </c>
      <c r="I2306" s="4">
        <v>26916</v>
      </c>
    </row>
    <row r="2307" spans="1:9" x14ac:dyDescent="0.25">
      <c r="A2307" s="3">
        <v>42100</v>
      </c>
      <c r="B2307" s="4">
        <v>26997</v>
      </c>
      <c r="C2307" s="4">
        <v>26645</v>
      </c>
      <c r="D2307" s="4">
        <v>27095</v>
      </c>
      <c r="E2307" s="4">
        <v>26645</v>
      </c>
      <c r="F2307" s="4" t="str">
        <v>13.04K</v>
      </c>
      <c r="G2307" s="4" t="str">
        <v>1.50%</v>
      </c>
      <c r="H2307" s="3">
        <v>42100</v>
      </c>
      <c r="I2307" s="4">
        <v>26870</v>
      </c>
    </row>
    <row r="2308" spans="1:9" x14ac:dyDescent="0.25">
      <c r="A2308" s="3">
        <v>42097</v>
      </c>
      <c r="B2308" s="4">
        <v>26597</v>
      </c>
      <c r="C2308" s="4">
        <v>26597</v>
      </c>
      <c r="D2308" s="4">
        <v>26597</v>
      </c>
      <c r="E2308" s="4">
        <v>26597</v>
      </c>
      <c r="F2308" s="4" t="str">
        <v>0</v>
      </c>
      <c r="G2308" s="4" t="str">
        <v>0.49%</v>
      </c>
      <c r="H2308" s="3">
        <v>42097</v>
      </c>
      <c r="I2308" s="4">
        <v>26597</v>
      </c>
    </row>
    <row r="2309" spans="1:9" x14ac:dyDescent="0.25">
      <c r="A2309" s="3">
        <v>42095</v>
      </c>
      <c r="B2309" s="4">
        <v>26466</v>
      </c>
      <c r="C2309" s="4">
        <v>26295</v>
      </c>
      <c r="D2309" s="4">
        <v>26520</v>
      </c>
      <c r="E2309" s="4">
        <v>26145</v>
      </c>
      <c r="F2309" s="4" t="str">
        <v>1.12K</v>
      </c>
      <c r="G2309" s="4" t="str">
        <v>1.00%</v>
      </c>
      <c r="H2309" s="3">
        <v>42095</v>
      </c>
      <c r="I2309" s="4">
        <v>26332.5</v>
      </c>
    </row>
    <row r="2310" spans="1:9" x14ac:dyDescent="0.25">
      <c r="A2310" s="3">
        <v>42094</v>
      </c>
      <c r="B2310" s="4">
        <v>26204</v>
      </c>
      <c r="C2310" s="4">
        <v>26208</v>
      </c>
      <c r="D2310" s="4">
        <v>26344</v>
      </c>
      <c r="E2310" s="4">
        <v>26156</v>
      </c>
      <c r="F2310" s="4" t="str">
        <v>8.01K</v>
      </c>
      <c r="G2310" s="4" t="str">
        <v>-0.25%</v>
      </c>
      <c r="H2310" s="3">
        <v>42094</v>
      </c>
      <c r="I2310" s="4">
        <v>26250</v>
      </c>
    </row>
    <row r="2311" spans="1:9" x14ac:dyDescent="0.25">
      <c r="A2311" s="3">
        <v>42093</v>
      </c>
      <c r="B2311" s="4">
        <v>26270</v>
      </c>
      <c r="C2311" s="4">
        <v>26430</v>
      </c>
      <c r="D2311" s="4">
        <v>26459</v>
      </c>
      <c r="E2311" s="4">
        <v>26235</v>
      </c>
      <c r="F2311" s="4" t="str">
        <v>11.57K</v>
      </c>
      <c r="G2311" s="4" t="str">
        <v>-1.13%</v>
      </c>
      <c r="H2311" s="3">
        <v>42093</v>
      </c>
      <c r="I2311" s="4">
        <v>26347</v>
      </c>
    </row>
    <row r="2312" spans="1:9" x14ac:dyDescent="0.25">
      <c r="A2312" s="3">
        <v>42090</v>
      </c>
      <c r="B2312" s="4">
        <v>26569</v>
      </c>
      <c r="C2312" s="4">
        <v>26675</v>
      </c>
      <c r="D2312" s="4">
        <v>26758</v>
      </c>
      <c r="E2312" s="4">
        <v>26387</v>
      </c>
      <c r="F2312" s="4" t="str">
        <v>15.66K</v>
      </c>
      <c r="G2312" s="4" t="str">
        <v>-0.87%</v>
      </c>
      <c r="H2312" s="3">
        <v>42090</v>
      </c>
      <c r="I2312" s="4">
        <v>26572.5</v>
      </c>
    </row>
    <row r="2313" spans="1:9" x14ac:dyDescent="0.25">
      <c r="A2313" s="3">
        <v>42089</v>
      </c>
      <c r="B2313" s="4">
        <v>26801</v>
      </c>
      <c r="C2313" s="4">
        <v>26590</v>
      </c>
      <c r="D2313" s="4">
        <v>26988</v>
      </c>
      <c r="E2313" s="4">
        <v>26562</v>
      </c>
      <c r="F2313" s="4" t="str">
        <v>15.97K</v>
      </c>
      <c r="G2313" s="4" t="str">
        <v>1.20%</v>
      </c>
      <c r="H2313" s="3">
        <v>42089</v>
      </c>
      <c r="I2313" s="4">
        <v>26775</v>
      </c>
    </row>
    <row r="2314" spans="1:9" x14ac:dyDescent="0.25">
      <c r="A2314" s="3">
        <v>42088</v>
      </c>
      <c r="B2314" s="4">
        <v>26483</v>
      </c>
      <c r="C2314" s="4">
        <v>26280</v>
      </c>
      <c r="D2314" s="4">
        <v>26498</v>
      </c>
      <c r="E2314" s="4">
        <v>26212</v>
      </c>
      <c r="F2314" s="4" t="str">
        <v>14.26K</v>
      </c>
      <c r="G2314" s="4" t="str">
        <v>0.50%</v>
      </c>
      <c r="H2314" s="3">
        <v>42088</v>
      </c>
      <c r="I2314" s="4">
        <v>26355</v>
      </c>
    </row>
    <row r="2315" spans="1:9" x14ac:dyDescent="0.25">
      <c r="A2315" s="3">
        <v>42087</v>
      </c>
      <c r="B2315" s="4">
        <v>26351</v>
      </c>
      <c r="C2315" s="4">
        <v>26169</v>
      </c>
      <c r="D2315" s="4">
        <v>26389</v>
      </c>
      <c r="E2315" s="4">
        <v>26135</v>
      </c>
      <c r="F2315" s="4" t="str">
        <v>13.44K</v>
      </c>
      <c r="G2315" s="4" t="str">
        <v>0.58%</v>
      </c>
      <c r="H2315" s="3">
        <v>42087</v>
      </c>
      <c r="I2315" s="4">
        <v>26262</v>
      </c>
    </row>
    <row r="2316" spans="1:9" x14ac:dyDescent="0.25">
      <c r="A2316" s="3">
        <v>42086</v>
      </c>
      <c r="B2316" s="4">
        <v>26198</v>
      </c>
      <c r="C2316" s="4">
        <v>26162</v>
      </c>
      <c r="D2316" s="4">
        <v>26220</v>
      </c>
      <c r="E2316" s="4">
        <v>26080</v>
      </c>
      <c r="F2316" s="4" t="str">
        <v>11.02K</v>
      </c>
      <c r="G2316" s="4" t="str">
        <v>0.06%</v>
      </c>
      <c r="H2316" s="3">
        <v>42086</v>
      </c>
      <c r="I2316" s="4">
        <v>26150</v>
      </c>
    </row>
    <row r="2317" spans="1:9" x14ac:dyDescent="0.25">
      <c r="A2317" s="3">
        <v>42083</v>
      </c>
      <c r="B2317" s="4">
        <v>26182</v>
      </c>
      <c r="C2317" s="4">
        <v>25980</v>
      </c>
      <c r="D2317" s="4">
        <v>26236</v>
      </c>
      <c r="E2317" s="4">
        <v>25900</v>
      </c>
      <c r="F2317" s="4" t="str">
        <v>16.84K</v>
      </c>
      <c r="G2317" s="4" t="str">
        <v>0.85%</v>
      </c>
      <c r="H2317" s="3">
        <v>42083</v>
      </c>
      <c r="I2317" s="4">
        <v>26068</v>
      </c>
    </row>
    <row r="2318" spans="1:9" x14ac:dyDescent="0.25">
      <c r="A2318" s="3">
        <v>42082</v>
      </c>
      <c r="B2318" s="4">
        <v>25962</v>
      </c>
      <c r="C2318" s="4">
        <v>25740</v>
      </c>
      <c r="D2318" s="4">
        <v>25997</v>
      </c>
      <c r="E2318" s="4">
        <v>25740</v>
      </c>
      <c r="F2318" s="4" t="str">
        <v>18.86K</v>
      </c>
      <c r="G2318" s="4" t="str">
        <v>1.27%</v>
      </c>
      <c r="H2318" s="3">
        <v>42082</v>
      </c>
      <c r="I2318" s="4">
        <v>25868.5</v>
      </c>
    </row>
    <row r="2319" spans="1:9" x14ac:dyDescent="0.25">
      <c r="A2319" s="3">
        <v>42081</v>
      </c>
      <c r="B2319" s="4">
        <v>25637</v>
      </c>
      <c r="C2319" s="4">
        <v>25631</v>
      </c>
      <c r="D2319" s="4">
        <v>25697</v>
      </c>
      <c r="E2319" s="4">
        <v>25500</v>
      </c>
      <c r="F2319" s="4" t="str">
        <v>16.02K</v>
      </c>
      <c r="G2319" s="4" t="str">
        <v>0.08%</v>
      </c>
      <c r="H2319" s="3">
        <v>42081</v>
      </c>
      <c r="I2319" s="4">
        <v>25598.5</v>
      </c>
    </row>
    <row r="2320" spans="1:9" x14ac:dyDescent="0.25">
      <c r="A2320" s="3">
        <v>42080</v>
      </c>
      <c r="B2320" s="4">
        <v>25617</v>
      </c>
      <c r="C2320" s="4">
        <v>25721</v>
      </c>
      <c r="D2320" s="4">
        <v>25830</v>
      </c>
      <c r="E2320" s="4">
        <v>25521</v>
      </c>
      <c r="F2320" s="4" t="str">
        <v>20.19K</v>
      </c>
      <c r="G2320" s="4" t="str">
        <v>-0.64%</v>
      </c>
      <c r="H2320" s="3">
        <v>42080</v>
      </c>
      <c r="I2320" s="4">
        <v>25675.5</v>
      </c>
    </row>
    <row r="2321" spans="1:9" x14ac:dyDescent="0.25">
      <c r="A2321" s="3">
        <v>42079</v>
      </c>
      <c r="B2321" s="4">
        <v>25783</v>
      </c>
      <c r="C2321" s="4">
        <v>25875</v>
      </c>
      <c r="D2321" s="4">
        <v>25941</v>
      </c>
      <c r="E2321" s="4">
        <v>25706</v>
      </c>
      <c r="F2321" s="4" t="str">
        <v>13.11K</v>
      </c>
      <c r="G2321" s="4" t="str">
        <v>-0.50%</v>
      </c>
      <c r="H2321" s="3">
        <v>42079</v>
      </c>
      <c r="I2321" s="4">
        <v>25823.5</v>
      </c>
    </row>
    <row r="2322" spans="1:9" x14ac:dyDescent="0.25">
      <c r="A2322" s="3">
        <v>42077</v>
      </c>
      <c r="B2322" s="4">
        <v>25912</v>
      </c>
      <c r="C2322" s="4">
        <v>25912</v>
      </c>
      <c r="D2322" s="4">
        <v>25912</v>
      </c>
      <c r="E2322" s="4">
        <v>25912</v>
      </c>
      <c r="F2322" s="4" t="str">
        <v>0</v>
      </c>
      <c r="G2322" s="4" t="str">
        <v>0.08%</v>
      </c>
      <c r="H2322" s="3">
        <v>42077</v>
      </c>
      <c r="I2322" s="4">
        <v>25912</v>
      </c>
    </row>
    <row r="2323" spans="1:9" x14ac:dyDescent="0.25">
      <c r="A2323" s="3">
        <v>42076</v>
      </c>
      <c r="B2323" s="4">
        <v>25890</v>
      </c>
      <c r="C2323" s="4">
        <v>25720</v>
      </c>
      <c r="D2323" s="4">
        <v>25918</v>
      </c>
      <c r="E2323" s="4">
        <v>25720</v>
      </c>
      <c r="F2323" s="4" t="str">
        <v>18.01K</v>
      </c>
      <c r="G2323" s="4" t="str">
        <v>0.92%</v>
      </c>
      <c r="H2323" s="3">
        <v>42076</v>
      </c>
      <c r="I2323" s="4">
        <v>25819</v>
      </c>
    </row>
    <row r="2324" spans="1:9" x14ac:dyDescent="0.25">
      <c r="A2324" s="3">
        <v>42075</v>
      </c>
      <c r="B2324" s="4">
        <v>25655</v>
      </c>
      <c r="C2324" s="4">
        <v>25660</v>
      </c>
      <c r="D2324" s="4">
        <v>25860</v>
      </c>
      <c r="E2324" s="4">
        <v>25562</v>
      </c>
      <c r="F2324" s="4" t="str">
        <v>21.43K</v>
      </c>
      <c r="G2324" s="4" t="str">
        <v>-0.12%</v>
      </c>
      <c r="H2324" s="3">
        <v>42075</v>
      </c>
      <c r="I2324" s="4">
        <v>25711</v>
      </c>
    </row>
    <row r="2325" spans="1:9" x14ac:dyDescent="0.25">
      <c r="A2325" s="3">
        <v>42074</v>
      </c>
      <c r="B2325" s="4">
        <v>25685</v>
      </c>
      <c r="C2325" s="4">
        <v>25950</v>
      </c>
      <c r="D2325" s="4">
        <v>25950</v>
      </c>
      <c r="E2325" s="4">
        <v>25653</v>
      </c>
      <c r="F2325" s="4" t="str">
        <v>18.94K</v>
      </c>
      <c r="G2325" s="4" t="str">
        <v>-0.90%</v>
      </c>
      <c r="H2325" s="3">
        <v>42074</v>
      </c>
      <c r="I2325" s="4">
        <v>25801.5</v>
      </c>
    </row>
    <row r="2326" spans="1:9" x14ac:dyDescent="0.25">
      <c r="A2326" s="3">
        <v>42073</v>
      </c>
      <c r="B2326" s="4">
        <v>25919</v>
      </c>
      <c r="C2326" s="4">
        <v>25962</v>
      </c>
      <c r="D2326" s="4">
        <v>26079</v>
      </c>
      <c r="E2326" s="4">
        <v>25780</v>
      </c>
      <c r="F2326" s="4" t="str">
        <v>21.99K</v>
      </c>
      <c r="G2326" s="4" t="str">
        <v>-0.40%</v>
      </c>
      <c r="H2326" s="3">
        <v>42073</v>
      </c>
      <c r="I2326" s="4">
        <v>25929.5</v>
      </c>
    </row>
    <row r="2327" spans="1:9" x14ac:dyDescent="0.25">
      <c r="A2327" s="3">
        <v>42072</v>
      </c>
      <c r="B2327" s="4">
        <v>26024</v>
      </c>
      <c r="C2327" s="4">
        <v>26073</v>
      </c>
      <c r="D2327" s="4">
        <v>26129</v>
      </c>
      <c r="E2327" s="4">
        <v>26001</v>
      </c>
      <c r="F2327" s="4" t="str">
        <v>11.85K</v>
      </c>
      <c r="G2327" s="4" t="str">
        <v>0.05%</v>
      </c>
      <c r="H2327" s="3">
        <v>42072</v>
      </c>
      <c r="I2327" s="4">
        <v>26065</v>
      </c>
    </row>
    <row r="2328" spans="1:9" x14ac:dyDescent="0.25">
      <c r="A2328" s="3">
        <v>42069</v>
      </c>
      <c r="B2328" s="4">
        <v>26012</v>
      </c>
      <c r="C2328" s="4">
        <v>26460</v>
      </c>
      <c r="D2328" s="4">
        <v>26484</v>
      </c>
      <c r="E2328" s="4">
        <v>25982</v>
      </c>
      <c r="F2328" s="4" t="str">
        <v>13.35K</v>
      </c>
      <c r="G2328" s="4" t="str">
        <v>-1.78%</v>
      </c>
      <c r="H2328" s="3">
        <v>42069</v>
      </c>
      <c r="I2328" s="4">
        <v>26233</v>
      </c>
    </row>
    <row r="2329" spans="1:9" x14ac:dyDescent="0.25">
      <c r="A2329" s="3">
        <v>42068</v>
      </c>
      <c r="B2329" s="4">
        <v>26484</v>
      </c>
      <c r="C2329" s="4">
        <v>26565</v>
      </c>
      <c r="D2329" s="4">
        <v>26627</v>
      </c>
      <c r="E2329" s="4">
        <v>26435</v>
      </c>
      <c r="F2329" s="4" t="str">
        <v>11.97K</v>
      </c>
      <c r="G2329" s="4" t="str">
        <v>-0.24%</v>
      </c>
      <c r="H2329" s="3">
        <v>42068</v>
      </c>
      <c r="I2329" s="4">
        <v>26531</v>
      </c>
    </row>
    <row r="2330" spans="1:9" x14ac:dyDescent="0.25">
      <c r="A2330" s="3">
        <v>42067</v>
      </c>
      <c r="B2330" s="4">
        <v>26547</v>
      </c>
      <c r="C2330" s="4">
        <v>26411</v>
      </c>
      <c r="D2330" s="4">
        <v>26579</v>
      </c>
      <c r="E2330" s="4">
        <v>26409</v>
      </c>
      <c r="F2330" s="4" t="str">
        <v>14.02K</v>
      </c>
      <c r="G2330" s="4" t="str">
        <v>0.45%</v>
      </c>
      <c r="H2330" s="3">
        <v>42067</v>
      </c>
      <c r="I2330" s="4">
        <v>26494</v>
      </c>
    </row>
    <row r="2331" spans="1:9" x14ac:dyDescent="0.25">
      <c r="A2331" s="3">
        <v>42066</v>
      </c>
      <c r="B2331" s="4">
        <v>26427</v>
      </c>
      <c r="C2331" s="4">
        <v>26500</v>
      </c>
      <c r="D2331" s="4">
        <v>26590</v>
      </c>
      <c r="E2331" s="4">
        <v>26380</v>
      </c>
      <c r="F2331" s="4" t="str">
        <v>13.71K</v>
      </c>
      <c r="G2331" s="4" t="str">
        <v>-0.31%</v>
      </c>
      <c r="H2331" s="3">
        <v>42066</v>
      </c>
      <c r="I2331" s="4">
        <v>26485</v>
      </c>
    </row>
    <row r="2332" spans="1:9" x14ac:dyDescent="0.25">
      <c r="A2332" s="3">
        <v>42065</v>
      </c>
      <c r="B2332" s="4">
        <v>26510</v>
      </c>
      <c r="C2332" s="4">
        <v>26600</v>
      </c>
      <c r="D2332" s="4">
        <v>26769</v>
      </c>
      <c r="E2332" s="4">
        <v>26500</v>
      </c>
      <c r="F2332" s="4" t="str">
        <v>14.40K</v>
      </c>
      <c r="G2332" s="4" t="str">
        <v>0.12%</v>
      </c>
      <c r="H2332" s="3">
        <v>42065</v>
      </c>
      <c r="I2332" s="4">
        <v>26634.5</v>
      </c>
    </row>
    <row r="2333" spans="1:9" x14ac:dyDescent="0.25">
      <c r="A2333" s="3">
        <v>42063</v>
      </c>
      <c r="B2333" s="4">
        <v>26477</v>
      </c>
      <c r="C2333" s="4">
        <v>26166</v>
      </c>
      <c r="D2333" s="4">
        <v>26515</v>
      </c>
      <c r="E2333" s="4">
        <v>26069</v>
      </c>
      <c r="F2333" s="4" t="str">
        <v>12.23K</v>
      </c>
      <c r="G2333" s="4" t="str">
        <v>0.95%</v>
      </c>
      <c r="H2333" s="3">
        <v>42063</v>
      </c>
      <c r="I2333" s="4">
        <v>26292</v>
      </c>
    </row>
    <row r="2334" spans="1:9" x14ac:dyDescent="0.25">
      <c r="A2334" s="3">
        <v>42062</v>
      </c>
      <c r="B2334" s="4">
        <v>26227</v>
      </c>
      <c r="C2334" s="4">
        <v>26240</v>
      </c>
      <c r="D2334" s="4">
        <v>26335</v>
      </c>
      <c r="E2334" s="4">
        <v>26105</v>
      </c>
      <c r="F2334" s="4" t="str">
        <v>12.92K</v>
      </c>
      <c r="G2334" s="4" t="str">
        <v>0.04%</v>
      </c>
      <c r="H2334" s="3">
        <v>42062</v>
      </c>
      <c r="I2334" s="4">
        <v>26220</v>
      </c>
    </row>
    <row r="2335" spans="1:9" x14ac:dyDescent="0.25">
      <c r="A2335" s="3">
        <v>42061</v>
      </c>
      <c r="B2335" s="4">
        <v>26216</v>
      </c>
      <c r="C2335" s="4">
        <v>26245</v>
      </c>
      <c r="D2335" s="4">
        <v>26370</v>
      </c>
      <c r="E2335" s="4">
        <v>26175</v>
      </c>
      <c r="F2335" s="4" t="str">
        <v>13.50K</v>
      </c>
      <c r="G2335" s="4" t="str">
        <v>0.36%</v>
      </c>
      <c r="H2335" s="3">
        <v>42061</v>
      </c>
      <c r="I2335" s="4">
        <v>26272.5</v>
      </c>
    </row>
    <row r="2336" spans="1:9" x14ac:dyDescent="0.25">
      <c r="A2336" s="3">
        <v>42060</v>
      </c>
      <c r="B2336" s="4">
        <v>26123</v>
      </c>
      <c r="C2336" s="4">
        <v>26079</v>
      </c>
      <c r="D2336" s="4">
        <v>26319</v>
      </c>
      <c r="E2336" s="4">
        <v>26079</v>
      </c>
      <c r="F2336" s="4" t="str">
        <v>16.30K</v>
      </c>
      <c r="G2336" s="4" t="str">
        <v>0.25%</v>
      </c>
      <c r="H2336" s="3">
        <v>42060</v>
      </c>
      <c r="I2336" s="4">
        <v>26199</v>
      </c>
    </row>
    <row r="2337" spans="1:9" x14ac:dyDescent="0.25">
      <c r="A2337" s="3">
        <v>42059</v>
      </c>
      <c r="B2337" s="4">
        <v>26059</v>
      </c>
      <c r="C2337" s="4">
        <v>26228</v>
      </c>
      <c r="D2337" s="4">
        <v>26259</v>
      </c>
      <c r="E2337" s="4">
        <v>25976</v>
      </c>
      <c r="F2337" s="4" t="str">
        <v>17.99K</v>
      </c>
      <c r="G2337" s="4" t="str">
        <v>-0.36%</v>
      </c>
      <c r="H2337" s="3">
        <v>42059</v>
      </c>
      <c r="I2337" s="4">
        <v>26117.5</v>
      </c>
    </row>
    <row r="2338" spans="1:9" x14ac:dyDescent="0.25">
      <c r="A2338" s="3">
        <v>42058</v>
      </c>
      <c r="B2338" s="4">
        <v>26153</v>
      </c>
      <c r="C2338" s="4">
        <v>26228</v>
      </c>
      <c r="D2338" s="4">
        <v>26321</v>
      </c>
      <c r="E2338" s="4">
        <v>25955</v>
      </c>
      <c r="F2338" s="4" t="str">
        <v>18.32K</v>
      </c>
      <c r="G2338" s="4" t="str">
        <v>-0.48%</v>
      </c>
      <c r="H2338" s="3">
        <v>42058</v>
      </c>
      <c r="I2338" s="4">
        <v>26138</v>
      </c>
    </row>
    <row r="2339" spans="1:9" x14ac:dyDescent="0.25">
      <c r="A2339" s="3">
        <v>42056</v>
      </c>
      <c r="B2339" s="4">
        <v>26279</v>
      </c>
      <c r="C2339" s="4">
        <v>26279</v>
      </c>
      <c r="D2339" s="4">
        <v>26279</v>
      </c>
      <c r="E2339" s="4">
        <v>26279</v>
      </c>
      <c r="F2339" s="4" t="str">
        <v>0</v>
      </c>
      <c r="G2339" s="4" t="str">
        <v>0.01%</v>
      </c>
      <c r="H2339" s="3">
        <v>42056</v>
      </c>
      <c r="I2339" s="4">
        <v>26279</v>
      </c>
    </row>
    <row r="2340" spans="1:9" x14ac:dyDescent="0.25">
      <c r="A2340" s="3">
        <v>42055</v>
      </c>
      <c r="B2340" s="4">
        <v>26277</v>
      </c>
      <c r="C2340" s="4">
        <v>26260</v>
      </c>
      <c r="D2340" s="4">
        <v>26399</v>
      </c>
      <c r="E2340" s="4">
        <v>26151</v>
      </c>
      <c r="F2340" s="4" t="str">
        <v>15.42K</v>
      </c>
      <c r="G2340" s="4" t="str">
        <v>0.04%</v>
      </c>
      <c r="H2340" s="3">
        <v>42055</v>
      </c>
      <c r="I2340" s="4">
        <v>26275</v>
      </c>
    </row>
    <row r="2341" spans="1:9" x14ac:dyDescent="0.25">
      <c r="A2341" s="3">
        <v>42054</v>
      </c>
      <c r="B2341" s="4">
        <v>26266</v>
      </c>
      <c r="C2341" s="4">
        <v>26245</v>
      </c>
      <c r="D2341" s="4">
        <v>26510</v>
      </c>
      <c r="E2341" s="4">
        <v>26234</v>
      </c>
      <c r="F2341" s="4" t="str">
        <v>15.73K</v>
      </c>
      <c r="G2341" s="4" t="str">
        <v>0.49%</v>
      </c>
      <c r="H2341" s="3">
        <v>42054</v>
      </c>
      <c r="I2341" s="4">
        <v>26372</v>
      </c>
    </row>
    <row r="2342" spans="1:9" x14ac:dyDescent="0.25">
      <c r="A2342" s="3">
        <v>42053</v>
      </c>
      <c r="B2342" s="4">
        <v>26137</v>
      </c>
      <c r="C2342" s="4">
        <v>26244</v>
      </c>
      <c r="D2342" s="4">
        <v>26346</v>
      </c>
      <c r="E2342" s="4">
        <v>26070</v>
      </c>
      <c r="F2342" s="4" t="str">
        <v>15.25K</v>
      </c>
      <c r="G2342" s="4" t="str">
        <v>-0.31%</v>
      </c>
      <c r="H2342" s="3">
        <v>42053</v>
      </c>
      <c r="I2342" s="4">
        <v>26208</v>
      </c>
    </row>
    <row r="2343" spans="1:9" x14ac:dyDescent="0.25">
      <c r="A2343" s="3">
        <v>42052</v>
      </c>
      <c r="B2343" s="4">
        <v>26219</v>
      </c>
      <c r="C2343" s="4">
        <v>26650</v>
      </c>
      <c r="D2343" s="4">
        <v>26650</v>
      </c>
      <c r="E2343" s="4">
        <v>26182</v>
      </c>
      <c r="F2343" s="4" t="str">
        <v>12.78K</v>
      </c>
      <c r="G2343" s="4" t="str">
        <v>-1.82%</v>
      </c>
      <c r="H2343" s="3">
        <v>42052</v>
      </c>
      <c r="I2343" s="4">
        <v>26416</v>
      </c>
    </row>
    <row r="2344" spans="1:9" x14ac:dyDescent="0.25">
      <c r="A2344" s="3">
        <v>42051</v>
      </c>
      <c r="B2344" s="4">
        <v>26704</v>
      </c>
      <c r="C2344" s="4">
        <v>26720</v>
      </c>
      <c r="D2344" s="4">
        <v>26870</v>
      </c>
      <c r="E2344" s="4">
        <v>26680</v>
      </c>
      <c r="F2344" s="4" t="str">
        <v>6.88K</v>
      </c>
      <c r="G2344" s="4" t="str">
        <v>0.05%</v>
      </c>
      <c r="H2344" s="3">
        <v>42051</v>
      </c>
      <c r="I2344" s="4">
        <v>26775</v>
      </c>
    </row>
    <row r="2345" spans="1:9" x14ac:dyDescent="0.25">
      <c r="A2345" s="3">
        <v>42048</v>
      </c>
      <c r="B2345" s="4">
        <v>26691</v>
      </c>
      <c r="C2345" s="4">
        <v>26606</v>
      </c>
      <c r="D2345" s="4">
        <v>26787</v>
      </c>
      <c r="E2345" s="4">
        <v>26598</v>
      </c>
      <c r="F2345" s="4" t="str">
        <v>12.58K</v>
      </c>
      <c r="G2345" s="4" t="str">
        <v>0.65%</v>
      </c>
      <c r="H2345" s="3">
        <v>42048</v>
      </c>
      <c r="I2345" s="4">
        <v>26692.5</v>
      </c>
    </row>
    <row r="2346" spans="1:9" x14ac:dyDescent="0.25">
      <c r="A2346" s="3">
        <v>42047</v>
      </c>
      <c r="B2346" s="4">
        <v>26519</v>
      </c>
      <c r="C2346" s="4">
        <v>26609</v>
      </c>
      <c r="D2346" s="4">
        <v>26800</v>
      </c>
      <c r="E2346" s="4">
        <v>26508</v>
      </c>
      <c r="F2346" s="4" t="str">
        <v>15.75K</v>
      </c>
      <c r="G2346" s="4" t="str">
        <v>-0.55%</v>
      </c>
      <c r="H2346" s="3">
        <v>42047</v>
      </c>
      <c r="I2346" s="4">
        <v>26654</v>
      </c>
    </row>
    <row r="2347" spans="1:9" x14ac:dyDescent="0.25">
      <c r="A2347" s="3">
        <v>42046</v>
      </c>
      <c r="B2347" s="4">
        <v>26665</v>
      </c>
      <c r="C2347" s="4">
        <v>26874</v>
      </c>
      <c r="D2347" s="4">
        <v>26910</v>
      </c>
      <c r="E2347" s="4">
        <v>26621</v>
      </c>
      <c r="F2347" s="4" t="str">
        <v>13.15K</v>
      </c>
      <c r="G2347" s="4" t="str">
        <v>-0.71%</v>
      </c>
      <c r="H2347" s="3">
        <v>42046</v>
      </c>
      <c r="I2347" s="4">
        <v>26765.5</v>
      </c>
    </row>
    <row r="2348" spans="1:9" x14ac:dyDescent="0.25">
      <c r="A2348" s="3">
        <v>42045</v>
      </c>
      <c r="B2348" s="4">
        <v>26856</v>
      </c>
      <c r="C2348" s="4">
        <v>26963</v>
      </c>
      <c r="D2348" s="4">
        <v>26985</v>
      </c>
      <c r="E2348" s="4">
        <v>26811</v>
      </c>
      <c r="F2348" s="4" t="str">
        <v>11.17K</v>
      </c>
      <c r="G2348" s="4" t="str">
        <v>-0.33%</v>
      </c>
      <c r="H2348" s="3">
        <v>42045</v>
      </c>
      <c r="I2348" s="4">
        <v>26898</v>
      </c>
    </row>
    <row r="2349" spans="1:9" x14ac:dyDescent="0.25">
      <c r="A2349" s="3">
        <v>42044</v>
      </c>
      <c r="B2349" s="4">
        <v>26944</v>
      </c>
      <c r="C2349" s="4">
        <v>26927</v>
      </c>
      <c r="D2349" s="4">
        <v>26990</v>
      </c>
      <c r="E2349" s="4">
        <v>26832</v>
      </c>
      <c r="F2349" s="4" t="str">
        <v>10.08K</v>
      </c>
      <c r="G2349" s="4" t="str">
        <v>0.53%</v>
      </c>
      <c r="H2349" s="3">
        <v>42044</v>
      </c>
      <c r="I2349" s="4">
        <v>26911</v>
      </c>
    </row>
    <row r="2350" spans="1:9" x14ac:dyDescent="0.25">
      <c r="A2350" s="3">
        <v>42041</v>
      </c>
      <c r="B2350" s="4">
        <v>26802</v>
      </c>
      <c r="C2350" s="4">
        <v>27345</v>
      </c>
      <c r="D2350" s="4">
        <v>27440</v>
      </c>
      <c r="E2350" s="4">
        <v>26681</v>
      </c>
      <c r="F2350" s="4" t="str">
        <v>19.94K</v>
      </c>
      <c r="G2350" s="4" t="str">
        <v>-5.21%</v>
      </c>
      <c r="H2350" s="3">
        <v>42041</v>
      </c>
      <c r="I2350" s="4">
        <v>27060.5</v>
      </c>
    </row>
    <row r="2351" spans="1:9" x14ac:dyDescent="0.25">
      <c r="A2351" s="3">
        <v>42040</v>
      </c>
      <c r="B2351" s="4">
        <v>28276</v>
      </c>
      <c r="C2351" s="4">
        <v>27875</v>
      </c>
      <c r="D2351" s="4">
        <v>28500</v>
      </c>
      <c r="E2351" s="4">
        <v>27605</v>
      </c>
      <c r="F2351" s="4" t="str">
        <v>0.16K</v>
      </c>
      <c r="G2351" s="4" t="str">
        <v>1.97%</v>
      </c>
      <c r="H2351" s="3">
        <v>42040</v>
      </c>
      <c r="I2351" s="4">
        <v>28052.5</v>
      </c>
    </row>
    <row r="2352" spans="1:9" x14ac:dyDescent="0.25">
      <c r="A2352" s="3">
        <v>42039</v>
      </c>
      <c r="B2352" s="4">
        <v>27729</v>
      </c>
      <c r="C2352" s="4">
        <v>27560</v>
      </c>
      <c r="D2352" s="4">
        <v>27815</v>
      </c>
      <c r="E2352" s="4">
        <v>27500</v>
      </c>
      <c r="F2352" s="4" t="str">
        <v>0.10K</v>
      </c>
      <c r="G2352" s="4" t="str">
        <v>0.84%</v>
      </c>
      <c r="H2352" s="3">
        <v>42039</v>
      </c>
      <c r="I2352" s="4">
        <v>27657.5</v>
      </c>
    </row>
    <row r="2353" spans="1:9" x14ac:dyDescent="0.25">
      <c r="A2353" s="3">
        <v>42038</v>
      </c>
      <c r="B2353" s="4">
        <v>27498</v>
      </c>
      <c r="C2353" s="4">
        <v>27721</v>
      </c>
      <c r="D2353" s="4">
        <v>28019</v>
      </c>
      <c r="E2353" s="4">
        <v>27450</v>
      </c>
      <c r="F2353" s="4" t="str">
        <v>0.38K</v>
      </c>
      <c r="G2353" s="4" t="str">
        <v>-1.23%</v>
      </c>
      <c r="H2353" s="3">
        <v>42038</v>
      </c>
      <c r="I2353" s="4">
        <v>27734.5</v>
      </c>
    </row>
    <row r="2354" spans="1:9" x14ac:dyDescent="0.25">
      <c r="A2354" s="3">
        <v>42037</v>
      </c>
      <c r="B2354" s="4">
        <v>27840</v>
      </c>
      <c r="C2354" s="4">
        <v>27946</v>
      </c>
      <c r="D2354" s="4">
        <v>28020</v>
      </c>
      <c r="E2354" s="4">
        <v>27723</v>
      </c>
      <c r="F2354" s="4" t="str">
        <v>1.11K</v>
      </c>
      <c r="G2354" s="4" t="str">
        <v>-0.20%</v>
      </c>
      <c r="H2354" s="3">
        <v>42037</v>
      </c>
      <c r="I2354" s="4">
        <v>27871.5</v>
      </c>
    </row>
    <row r="2355" spans="1:9" x14ac:dyDescent="0.25">
      <c r="A2355" s="3">
        <v>42034</v>
      </c>
      <c r="B2355" s="4">
        <v>27895</v>
      </c>
      <c r="C2355" s="4">
        <v>27452</v>
      </c>
      <c r="D2355" s="4">
        <v>28178</v>
      </c>
      <c r="E2355" s="4">
        <v>27424</v>
      </c>
      <c r="F2355" s="4" t="str">
        <v>15.34K</v>
      </c>
      <c r="G2355" s="4" t="str">
        <v>1.74%</v>
      </c>
      <c r="H2355" s="3">
        <v>42034</v>
      </c>
      <c r="I2355" s="4">
        <v>27801</v>
      </c>
    </row>
    <row r="2356" spans="1:9" x14ac:dyDescent="0.25">
      <c r="A2356" s="3">
        <v>42033</v>
      </c>
      <c r="B2356" s="4">
        <v>27419</v>
      </c>
      <c r="C2356" s="4">
        <v>27729</v>
      </c>
      <c r="D2356" s="4">
        <v>27819</v>
      </c>
      <c r="E2356" s="4">
        <v>27382</v>
      </c>
      <c r="F2356" s="4" t="str">
        <v>20.03K</v>
      </c>
      <c r="G2356" s="4" t="str">
        <v>-1.22%</v>
      </c>
      <c r="H2356" s="3">
        <v>42033</v>
      </c>
      <c r="I2356" s="4">
        <v>27600.5</v>
      </c>
    </row>
    <row r="2357" spans="1:9" x14ac:dyDescent="0.25">
      <c r="A2357" s="3">
        <v>42032</v>
      </c>
      <c r="B2357" s="4">
        <v>27759</v>
      </c>
      <c r="C2357" s="4">
        <v>27865</v>
      </c>
      <c r="D2357" s="4">
        <v>27935</v>
      </c>
      <c r="E2357" s="4">
        <v>27735</v>
      </c>
      <c r="F2357" s="4" t="str">
        <v>13.47K</v>
      </c>
      <c r="G2357" s="4" t="str">
        <v>-0.51%</v>
      </c>
      <c r="H2357" s="3">
        <v>42032</v>
      </c>
      <c r="I2357" s="4">
        <v>27835</v>
      </c>
    </row>
    <row r="2358" spans="1:9" x14ac:dyDescent="0.25">
      <c r="A2358" s="3">
        <v>42031</v>
      </c>
      <c r="B2358" s="4">
        <v>27902</v>
      </c>
      <c r="C2358" s="4">
        <v>27765</v>
      </c>
      <c r="D2358" s="4">
        <v>27988</v>
      </c>
      <c r="E2358" s="4">
        <v>27569</v>
      </c>
      <c r="F2358" s="4" t="str">
        <v>19.14K</v>
      </c>
      <c r="G2358" s="4" t="str">
        <v>0.03%</v>
      </c>
      <c r="H2358" s="3">
        <v>42031</v>
      </c>
      <c r="I2358" s="4">
        <v>27778.5</v>
      </c>
    </row>
    <row r="2359" spans="1:9" x14ac:dyDescent="0.25">
      <c r="A2359" s="3">
        <v>42029</v>
      </c>
      <c r="B2359" s="4">
        <v>27895</v>
      </c>
      <c r="C2359" s="4">
        <v>27895</v>
      </c>
      <c r="D2359" s="4">
        <v>27895</v>
      </c>
      <c r="E2359" s="4">
        <v>27895</v>
      </c>
      <c r="F2359" s="4" t="str">
        <v>0</v>
      </c>
      <c r="G2359" s="4" t="str">
        <v>0.11%</v>
      </c>
      <c r="H2359" s="3">
        <v>42029</v>
      </c>
      <c r="I2359" s="4">
        <v>27895</v>
      </c>
    </row>
    <row r="2360" spans="1:9" x14ac:dyDescent="0.25">
      <c r="A2360" s="3">
        <v>42027</v>
      </c>
      <c r="B2360" s="4">
        <v>27864</v>
      </c>
      <c r="C2360" s="4">
        <v>28010</v>
      </c>
      <c r="D2360" s="4">
        <v>28090</v>
      </c>
      <c r="E2360" s="4">
        <v>27791</v>
      </c>
      <c r="F2360" s="4" t="str">
        <v>13.48K</v>
      </c>
      <c r="G2360" s="4" t="str">
        <v>-0.61%</v>
      </c>
      <c r="H2360" s="3">
        <v>42027</v>
      </c>
      <c r="I2360" s="4">
        <v>27940.5</v>
      </c>
    </row>
    <row r="2361" spans="1:9" x14ac:dyDescent="0.25">
      <c r="A2361" s="3">
        <v>42026</v>
      </c>
      <c r="B2361" s="4">
        <v>28036</v>
      </c>
      <c r="C2361" s="4">
        <v>27941</v>
      </c>
      <c r="D2361" s="4">
        <v>28236</v>
      </c>
      <c r="E2361" s="4">
        <v>27751</v>
      </c>
      <c r="F2361" s="4" t="str">
        <v>22.66K</v>
      </c>
      <c r="G2361" s="4" t="str">
        <v>0.21%</v>
      </c>
      <c r="H2361" s="3">
        <v>42026</v>
      </c>
      <c r="I2361" s="4">
        <v>27993.5</v>
      </c>
    </row>
    <row r="2362" spans="1:9" x14ac:dyDescent="0.25">
      <c r="A2362" s="3">
        <v>42025</v>
      </c>
      <c r="B2362" s="4">
        <v>27977</v>
      </c>
      <c r="C2362" s="4">
        <v>28049</v>
      </c>
      <c r="D2362" s="4">
        <v>28271</v>
      </c>
      <c r="E2362" s="4">
        <v>27811</v>
      </c>
      <c r="F2362" s="4" t="str">
        <v>21.30K</v>
      </c>
      <c r="G2362" s="4" t="str">
        <v>-0.38%</v>
      </c>
      <c r="H2362" s="3">
        <v>42025</v>
      </c>
      <c r="I2362" s="4">
        <v>28041</v>
      </c>
    </row>
    <row r="2363" spans="1:9" x14ac:dyDescent="0.25">
      <c r="A2363" s="3">
        <v>42024</v>
      </c>
      <c r="B2363" s="4">
        <v>28085</v>
      </c>
      <c r="C2363" s="4">
        <v>27730</v>
      </c>
      <c r="D2363" s="4">
        <v>28140</v>
      </c>
      <c r="E2363" s="4">
        <v>27730</v>
      </c>
      <c r="F2363" s="4" t="str">
        <v>21.41K</v>
      </c>
      <c r="G2363" s="4" t="str">
        <v>1.39%</v>
      </c>
      <c r="H2363" s="3">
        <v>42024</v>
      </c>
      <c r="I2363" s="4">
        <v>27935</v>
      </c>
    </row>
    <row r="2364" spans="1:9" x14ac:dyDescent="0.25">
      <c r="A2364" s="3">
        <v>42023</v>
      </c>
      <c r="B2364" s="4">
        <v>27700</v>
      </c>
      <c r="C2364" s="4">
        <v>27650</v>
      </c>
      <c r="D2364" s="4">
        <v>27770</v>
      </c>
      <c r="E2364" s="4">
        <v>27623</v>
      </c>
      <c r="F2364" s="4" t="str">
        <v>9.91K</v>
      </c>
      <c r="G2364" s="4" t="str">
        <v>0.36%</v>
      </c>
      <c r="H2364" s="3">
        <v>42023</v>
      </c>
      <c r="I2364" s="4">
        <v>27696.5</v>
      </c>
    </row>
    <row r="2365" spans="1:9" x14ac:dyDescent="0.25">
      <c r="A2365" s="3">
        <v>42021</v>
      </c>
      <c r="B2365" s="4">
        <v>27600</v>
      </c>
      <c r="C2365" s="4">
        <v>27600</v>
      </c>
      <c r="D2365" s="4">
        <v>27600</v>
      </c>
      <c r="E2365" s="4">
        <v>27600</v>
      </c>
      <c r="F2365" s="4" t="str">
        <v>0</v>
      </c>
      <c r="G2365" s="4" t="str">
        <v>-0.20%</v>
      </c>
      <c r="H2365" s="3">
        <v>42021</v>
      </c>
      <c r="I2365" s="4">
        <v>27600</v>
      </c>
    </row>
    <row r="2366" spans="1:9" x14ac:dyDescent="0.25">
      <c r="A2366" s="3">
        <v>42020</v>
      </c>
      <c r="B2366" s="4">
        <v>27654</v>
      </c>
      <c r="C2366" s="4">
        <v>27525</v>
      </c>
      <c r="D2366" s="4">
        <v>27790</v>
      </c>
      <c r="E2366" s="4">
        <v>27386</v>
      </c>
      <c r="F2366" s="4" t="str">
        <v>20.02K</v>
      </c>
      <c r="G2366" s="4" t="str">
        <v>0.59%</v>
      </c>
      <c r="H2366" s="3">
        <v>42020</v>
      </c>
      <c r="I2366" s="4">
        <v>27588</v>
      </c>
    </row>
    <row r="2367" spans="1:9" x14ac:dyDescent="0.25">
      <c r="A2367" s="3">
        <v>42019</v>
      </c>
      <c r="B2367" s="4">
        <v>27492</v>
      </c>
      <c r="C2367" s="4">
        <v>27066</v>
      </c>
      <c r="D2367" s="4">
        <v>27546</v>
      </c>
      <c r="E2367" s="4">
        <v>26706</v>
      </c>
      <c r="F2367" s="4" t="str">
        <v>33.04K</v>
      </c>
      <c r="G2367" s="4" t="str">
        <v>1.07%</v>
      </c>
      <c r="H2367" s="3">
        <v>42019</v>
      </c>
      <c r="I2367" s="4">
        <v>27126</v>
      </c>
    </row>
    <row r="2368" spans="1:9" x14ac:dyDescent="0.25">
      <c r="A2368" s="3">
        <v>42018</v>
      </c>
      <c r="B2368" s="4">
        <v>27201</v>
      </c>
      <c r="C2368" s="4">
        <v>27020</v>
      </c>
      <c r="D2368" s="4">
        <v>27260</v>
      </c>
      <c r="E2368" s="4">
        <v>26901</v>
      </c>
      <c r="F2368" s="4" t="str">
        <v>18.18K</v>
      </c>
      <c r="G2368" s="4" t="str">
        <v>0.54%</v>
      </c>
      <c r="H2368" s="3">
        <v>42018</v>
      </c>
      <c r="I2368" s="4">
        <v>27080.5</v>
      </c>
    </row>
    <row r="2369" spans="1:9" x14ac:dyDescent="0.25">
      <c r="A2369" s="3">
        <v>42017</v>
      </c>
      <c r="B2369" s="4">
        <v>27055</v>
      </c>
      <c r="C2369" s="4">
        <v>27145</v>
      </c>
      <c r="D2369" s="4">
        <v>27262</v>
      </c>
      <c r="E2369" s="4">
        <v>27005</v>
      </c>
      <c r="F2369" s="4" t="str">
        <v>17.56K</v>
      </c>
      <c r="G2369" s="4" t="str">
        <v>0.09%</v>
      </c>
      <c r="H2369" s="3">
        <v>42017</v>
      </c>
      <c r="I2369" s="4">
        <v>27133.5</v>
      </c>
    </row>
    <row r="2370" spans="1:9" x14ac:dyDescent="0.25">
      <c r="A2370" s="3">
        <v>42016</v>
      </c>
      <c r="B2370" s="4">
        <v>27030</v>
      </c>
      <c r="C2370" s="4">
        <v>26875</v>
      </c>
      <c r="D2370" s="4">
        <v>27114</v>
      </c>
      <c r="E2370" s="4">
        <v>26825</v>
      </c>
      <c r="F2370" s="4" t="str">
        <v>16.06K</v>
      </c>
      <c r="G2370" s="4" t="str">
        <v>0.86%</v>
      </c>
      <c r="H2370" s="3">
        <v>42016</v>
      </c>
      <c r="I2370" s="4">
        <v>26969.5</v>
      </c>
    </row>
    <row r="2371" spans="1:9" x14ac:dyDescent="0.25">
      <c r="A2371" s="3">
        <v>42013</v>
      </c>
      <c r="B2371" s="4">
        <v>26800</v>
      </c>
      <c r="C2371" s="4">
        <v>26778</v>
      </c>
      <c r="D2371" s="4">
        <v>26887</v>
      </c>
      <c r="E2371" s="4">
        <v>26668</v>
      </c>
      <c r="F2371" s="4" t="str">
        <v>14.04K</v>
      </c>
      <c r="G2371" s="4" t="str">
        <v>-0.00%</v>
      </c>
      <c r="H2371" s="3">
        <v>42013</v>
      </c>
      <c r="I2371" s="4">
        <v>26777.5</v>
      </c>
    </row>
    <row r="2372" spans="1:9" x14ac:dyDescent="0.25">
      <c r="A2372" s="3">
        <v>42012</v>
      </c>
      <c r="B2372" s="4">
        <v>26801</v>
      </c>
      <c r="C2372" s="4">
        <v>27125</v>
      </c>
      <c r="D2372" s="4">
        <v>27125</v>
      </c>
      <c r="E2372" s="4">
        <v>26760</v>
      </c>
      <c r="F2372" s="4" t="str">
        <v>16.46K</v>
      </c>
      <c r="G2372" s="4" t="str">
        <v>-1.33%</v>
      </c>
      <c r="H2372" s="3">
        <v>42012</v>
      </c>
      <c r="I2372" s="4">
        <v>26942.5</v>
      </c>
    </row>
    <row r="2373" spans="1:9" x14ac:dyDescent="0.25">
      <c r="A2373" s="3">
        <v>42011</v>
      </c>
      <c r="B2373" s="4">
        <v>27161</v>
      </c>
      <c r="C2373" s="4">
        <v>27348</v>
      </c>
      <c r="D2373" s="4">
        <v>27360</v>
      </c>
      <c r="E2373" s="4">
        <v>27120</v>
      </c>
      <c r="F2373" s="4" t="str">
        <v>15.81K</v>
      </c>
      <c r="G2373" s="4" t="str">
        <v>-0.85%</v>
      </c>
      <c r="H2373" s="3">
        <v>42011</v>
      </c>
      <c r="I2373" s="4">
        <v>27240</v>
      </c>
    </row>
    <row r="2374" spans="1:9" x14ac:dyDescent="0.25">
      <c r="A2374" s="3">
        <v>42010</v>
      </c>
      <c r="B2374" s="4">
        <v>27394</v>
      </c>
      <c r="C2374" s="4">
        <v>27100</v>
      </c>
      <c r="D2374" s="4">
        <v>27449</v>
      </c>
      <c r="E2374" s="4">
        <v>27083</v>
      </c>
      <c r="F2374" s="4" t="str">
        <v>20.75K</v>
      </c>
      <c r="G2374" s="4" t="str">
        <v>1.32%</v>
      </c>
      <c r="H2374" s="3">
        <v>42010</v>
      </c>
      <c r="I2374" s="4">
        <v>27266</v>
      </c>
    </row>
    <row r="2375" spans="1:9" x14ac:dyDescent="0.25">
      <c r="A2375" s="3">
        <v>42009</v>
      </c>
      <c r="B2375" s="4">
        <v>27038</v>
      </c>
      <c r="C2375" s="4">
        <v>26815</v>
      </c>
      <c r="D2375" s="4">
        <v>27079</v>
      </c>
      <c r="E2375" s="4">
        <v>26736</v>
      </c>
      <c r="F2375" s="4" t="str">
        <v>16.20K</v>
      </c>
      <c r="G2375" s="4" t="str">
        <v>1.15%</v>
      </c>
      <c r="H2375" s="3">
        <v>42009</v>
      </c>
      <c r="I2375" s="4">
        <v>26907.5</v>
      </c>
    </row>
    <row r="2376" spans="1:9" x14ac:dyDescent="0.25">
      <c r="A2376" s="3">
        <v>42006</v>
      </c>
      <c r="B2376" s="4">
        <v>26730</v>
      </c>
      <c r="C2376" s="4">
        <v>26740</v>
      </c>
      <c r="D2376" s="4">
        <v>26855</v>
      </c>
      <c r="E2376" s="4">
        <v>26351</v>
      </c>
      <c r="F2376" s="4" t="str">
        <v>18.92K</v>
      </c>
      <c r="G2376" s="4" t="str">
        <v>0.12%</v>
      </c>
      <c r="H2376" s="3">
        <v>42006</v>
      </c>
      <c r="I2376" s="4">
        <v>26603</v>
      </c>
    </row>
    <row r="2377" spans="1:9" x14ac:dyDescent="0.25">
      <c r="A2377" s="3">
        <v>42005</v>
      </c>
      <c r="B2377" s="4">
        <v>26699</v>
      </c>
      <c r="C2377" s="4">
        <v>26691</v>
      </c>
      <c r="D2377" s="4">
        <v>26755</v>
      </c>
      <c r="E2377" s="4">
        <v>26670</v>
      </c>
      <c r="F2377" s="4" t="str">
        <v>1.86K</v>
      </c>
      <c r="G2377" s="4" t="str">
        <v>-0.01%</v>
      </c>
      <c r="H2377" s="3">
        <v>42005</v>
      </c>
      <c r="I2377" s="4">
        <v>26712.5</v>
      </c>
    </row>
    <row r="2378" spans="1:9" x14ac:dyDescent="0.25">
      <c r="A2378" s="3">
        <v>42004</v>
      </c>
      <c r="B2378" s="4">
        <v>26703</v>
      </c>
      <c r="C2378" s="4">
        <v>27030</v>
      </c>
      <c r="D2378" s="4">
        <v>27055</v>
      </c>
      <c r="E2378" s="4">
        <v>26617</v>
      </c>
      <c r="F2378" s="4" t="str">
        <v>10.92K</v>
      </c>
      <c r="G2378" s="4" t="str">
        <v>-1.28%</v>
      </c>
      <c r="H2378" s="3">
        <v>42004</v>
      </c>
      <c r="I2378" s="4">
        <v>26836</v>
      </c>
    </row>
    <row r="2379" spans="1:9" x14ac:dyDescent="0.25">
      <c r="A2379" s="3">
        <v>42003</v>
      </c>
      <c r="B2379" s="4">
        <v>27049</v>
      </c>
      <c r="C2379" s="4">
        <v>26845</v>
      </c>
      <c r="D2379" s="4">
        <v>27220</v>
      </c>
      <c r="E2379" s="4">
        <v>26660</v>
      </c>
      <c r="F2379" s="4" t="str">
        <v>15.71K</v>
      </c>
      <c r="G2379" s="4" t="str">
        <v>1.06%</v>
      </c>
      <c r="H2379" s="3">
        <v>42003</v>
      </c>
      <c r="I2379" s="4">
        <v>26940</v>
      </c>
    </row>
    <row r="2380" spans="1:9" x14ac:dyDescent="0.25">
      <c r="A2380" s="3">
        <v>42002</v>
      </c>
      <c r="B2380" s="4">
        <v>26764</v>
      </c>
      <c r="C2380" s="4">
        <v>27031</v>
      </c>
      <c r="D2380" s="4">
        <v>27070</v>
      </c>
      <c r="E2380" s="4">
        <v>26725</v>
      </c>
      <c r="F2380" s="4" t="str">
        <v>9.29K</v>
      </c>
      <c r="G2380" s="4" t="str">
        <v>-1.14%</v>
      </c>
      <c r="H2380" s="3">
        <v>42002</v>
      </c>
      <c r="I2380" s="4">
        <v>26897.5</v>
      </c>
    </row>
    <row r="2381" spans="1:9" x14ac:dyDescent="0.25">
      <c r="A2381" s="3">
        <v>41999</v>
      </c>
      <c r="B2381" s="4">
        <v>27073</v>
      </c>
      <c r="C2381" s="4">
        <v>26733</v>
      </c>
      <c r="D2381" s="4">
        <v>27109</v>
      </c>
      <c r="E2381" s="4">
        <v>26733</v>
      </c>
      <c r="F2381" s="4" t="str">
        <v>12.60K</v>
      </c>
      <c r="G2381" s="4" t="str">
        <v>1.84%</v>
      </c>
      <c r="H2381" s="3">
        <v>41999</v>
      </c>
      <c r="I2381" s="4">
        <v>26921</v>
      </c>
    </row>
    <row r="2382" spans="1:9" x14ac:dyDescent="0.25">
      <c r="A2382" s="3">
        <v>41997</v>
      </c>
      <c r="B2382" s="4">
        <v>26584</v>
      </c>
      <c r="C2382" s="4">
        <v>26587</v>
      </c>
      <c r="D2382" s="4">
        <v>26670</v>
      </c>
      <c r="E2382" s="4">
        <v>26555</v>
      </c>
      <c r="F2382" s="4" t="str">
        <v>7.13K</v>
      </c>
      <c r="G2382" s="4" t="str">
        <v>-0.15%</v>
      </c>
      <c r="H2382" s="3">
        <v>41997</v>
      </c>
      <c r="I2382" s="4">
        <v>26612.5</v>
      </c>
    </row>
    <row r="2383" spans="1:9" x14ac:dyDescent="0.25">
      <c r="A2383" s="3">
        <v>41996</v>
      </c>
      <c r="B2383" s="4">
        <v>26625</v>
      </c>
      <c r="C2383" s="4">
        <v>26592</v>
      </c>
      <c r="D2383" s="4">
        <v>26749</v>
      </c>
      <c r="E2383" s="4">
        <v>26500</v>
      </c>
      <c r="F2383" s="4" t="str">
        <v>11.64K</v>
      </c>
      <c r="G2383" s="4" t="str">
        <v>0.06%</v>
      </c>
      <c r="H2383" s="3">
        <v>41996</v>
      </c>
      <c r="I2383" s="4">
        <v>26624.5</v>
      </c>
    </row>
    <row r="2384" spans="1:9" x14ac:dyDescent="0.25">
      <c r="A2384" s="3">
        <v>41995</v>
      </c>
      <c r="B2384" s="4">
        <v>26608</v>
      </c>
      <c r="C2384" s="4">
        <v>26965</v>
      </c>
      <c r="D2384" s="4">
        <v>27050</v>
      </c>
      <c r="E2384" s="4">
        <v>26538</v>
      </c>
      <c r="F2384" s="4" t="str">
        <v>12.45K</v>
      </c>
      <c r="G2384" s="4" t="str">
        <v>-1.44%</v>
      </c>
      <c r="H2384" s="3">
        <v>41995</v>
      </c>
      <c r="I2384" s="4">
        <v>26794</v>
      </c>
    </row>
    <row r="2385" spans="1:9" x14ac:dyDescent="0.25">
      <c r="A2385" s="3">
        <v>41992</v>
      </c>
      <c r="B2385" s="4">
        <v>26998</v>
      </c>
      <c r="C2385" s="4">
        <v>26849</v>
      </c>
      <c r="D2385" s="4">
        <v>27046</v>
      </c>
      <c r="E2385" s="4">
        <v>26825</v>
      </c>
      <c r="F2385" s="4" t="str">
        <v>11.89K</v>
      </c>
      <c r="G2385" s="4" t="str">
        <v>0.68%</v>
      </c>
      <c r="H2385" s="3">
        <v>41992</v>
      </c>
      <c r="I2385" s="4">
        <v>26935.5</v>
      </c>
    </row>
    <row r="2386" spans="1:9" x14ac:dyDescent="0.25">
      <c r="A2386" s="3">
        <v>41991</v>
      </c>
      <c r="B2386" s="4">
        <v>26815</v>
      </c>
      <c r="C2386" s="4">
        <v>26999</v>
      </c>
      <c r="D2386" s="4">
        <v>27263</v>
      </c>
      <c r="E2386" s="4">
        <v>26732</v>
      </c>
      <c r="F2386" s="4" t="str">
        <v>18.76K</v>
      </c>
      <c r="G2386" s="4" t="str">
        <v>-0.52%</v>
      </c>
      <c r="H2386" s="3">
        <v>41991</v>
      </c>
      <c r="I2386" s="4">
        <v>26997.5</v>
      </c>
    </row>
    <row r="2387" spans="1:9" x14ac:dyDescent="0.25">
      <c r="A2387" s="3">
        <v>41990</v>
      </c>
      <c r="B2387" s="4">
        <v>26955</v>
      </c>
      <c r="C2387" s="4">
        <v>27150</v>
      </c>
      <c r="D2387" s="4">
        <v>27247</v>
      </c>
      <c r="E2387" s="4">
        <v>26915</v>
      </c>
      <c r="F2387" s="4" t="str">
        <v>16.51K</v>
      </c>
      <c r="G2387" s="4" t="str">
        <v>-0.88%</v>
      </c>
      <c r="H2387" s="3">
        <v>41990</v>
      </c>
      <c r="I2387" s="4">
        <v>27081</v>
      </c>
    </row>
    <row r="2388" spans="1:9" x14ac:dyDescent="0.25">
      <c r="A2388" s="3">
        <v>41989</v>
      </c>
      <c r="B2388" s="4">
        <v>27194</v>
      </c>
      <c r="C2388" s="4">
        <v>27225</v>
      </c>
      <c r="D2388" s="4">
        <v>27796</v>
      </c>
      <c r="E2388" s="4">
        <v>26986</v>
      </c>
      <c r="F2388" s="4" t="str">
        <v>30.15K</v>
      </c>
      <c r="G2388" s="4" t="str">
        <v>-0.46%</v>
      </c>
      <c r="H2388" s="3">
        <v>41989</v>
      </c>
      <c r="I2388" s="4">
        <v>27391</v>
      </c>
    </row>
    <row r="2389" spans="1:9" x14ac:dyDescent="0.25">
      <c r="A2389" s="3">
        <v>41988</v>
      </c>
      <c r="B2389" s="4">
        <v>27320</v>
      </c>
      <c r="C2389" s="4">
        <v>27155</v>
      </c>
      <c r="D2389" s="4">
        <v>27500</v>
      </c>
      <c r="E2389" s="4">
        <v>27036</v>
      </c>
      <c r="F2389" s="4" t="str">
        <v>15.29K</v>
      </c>
      <c r="G2389" s="4" t="str">
        <v>0.41%</v>
      </c>
      <c r="H2389" s="3">
        <v>41988</v>
      </c>
      <c r="I2389" s="4">
        <v>27268</v>
      </c>
    </row>
    <row r="2390" spans="1:9" x14ac:dyDescent="0.25">
      <c r="A2390" s="3">
        <v>41985</v>
      </c>
      <c r="B2390" s="4">
        <v>27209</v>
      </c>
      <c r="C2390" s="4">
        <v>27265</v>
      </c>
      <c r="D2390" s="4">
        <v>27288</v>
      </c>
      <c r="E2390" s="4">
        <v>27026</v>
      </c>
      <c r="F2390" s="4" t="str">
        <v>14.45K</v>
      </c>
      <c r="G2390" s="4" t="str">
        <v>-0.18%</v>
      </c>
      <c r="H2390" s="3">
        <v>41985</v>
      </c>
      <c r="I2390" s="4">
        <v>27157</v>
      </c>
    </row>
    <row r="2391" spans="1:9" x14ac:dyDescent="0.25">
      <c r="A2391" s="3">
        <v>41984</v>
      </c>
      <c r="B2391" s="4">
        <v>27258</v>
      </c>
      <c r="C2391" s="4">
        <v>27161</v>
      </c>
      <c r="D2391" s="4">
        <v>27359</v>
      </c>
      <c r="E2391" s="4">
        <v>27006</v>
      </c>
      <c r="F2391" s="4" t="str">
        <v>16.52K</v>
      </c>
      <c r="G2391" s="4" t="str">
        <v>0.25%</v>
      </c>
      <c r="H2391" s="3">
        <v>41984</v>
      </c>
      <c r="I2391" s="4">
        <v>27182.5</v>
      </c>
    </row>
    <row r="2392" spans="1:9" x14ac:dyDescent="0.25">
      <c r="A2392" s="3">
        <v>41983</v>
      </c>
      <c r="B2392" s="4">
        <v>27191</v>
      </c>
      <c r="C2392" s="4">
        <v>27161</v>
      </c>
      <c r="D2392" s="4">
        <v>27340</v>
      </c>
      <c r="E2392" s="4">
        <v>27061</v>
      </c>
      <c r="F2392" s="4" t="str">
        <v>16.74K</v>
      </c>
      <c r="G2392" s="4" t="str">
        <v>0.12%</v>
      </c>
      <c r="H2392" s="3">
        <v>41983</v>
      </c>
      <c r="I2392" s="4">
        <v>27200.5</v>
      </c>
    </row>
    <row r="2393" spans="1:9" x14ac:dyDescent="0.25">
      <c r="A2393" s="3">
        <v>41982</v>
      </c>
      <c r="B2393" s="4">
        <v>27159</v>
      </c>
      <c r="C2393" s="4">
        <v>26400</v>
      </c>
      <c r="D2393" s="4">
        <v>27280</v>
      </c>
      <c r="E2393" s="4">
        <v>26400</v>
      </c>
      <c r="F2393" s="4" t="str">
        <v>23.48K</v>
      </c>
      <c r="G2393" s="4" t="str">
        <v>3.03%</v>
      </c>
      <c r="H2393" s="3">
        <v>41982</v>
      </c>
      <c r="I2393" s="4">
        <v>26840</v>
      </c>
    </row>
    <row r="2394" spans="1:9" x14ac:dyDescent="0.25">
      <c r="A2394" s="3">
        <v>41981</v>
      </c>
      <c r="B2394" s="4">
        <v>26361</v>
      </c>
      <c r="C2394" s="4">
        <v>26400</v>
      </c>
      <c r="D2394" s="4">
        <v>26459</v>
      </c>
      <c r="E2394" s="4">
        <v>26280</v>
      </c>
      <c r="F2394" s="4" t="str">
        <v>10.83K</v>
      </c>
      <c r="G2394" s="4" t="str">
        <v>0.88%</v>
      </c>
      <c r="H2394" s="3">
        <v>41981</v>
      </c>
      <c r="I2394" s="4">
        <v>26369.5</v>
      </c>
    </row>
    <row r="2395" spans="1:9" x14ac:dyDescent="0.25">
      <c r="A2395" s="3">
        <v>41978</v>
      </c>
      <c r="B2395" s="4">
        <v>26132</v>
      </c>
      <c r="C2395" s="4">
        <v>26253</v>
      </c>
      <c r="D2395" s="4">
        <v>26404</v>
      </c>
      <c r="E2395" s="4">
        <v>26050</v>
      </c>
      <c r="F2395" s="4" t="str">
        <v>0.13K</v>
      </c>
      <c r="G2395" s="4" t="str">
        <v>-0.82%</v>
      </c>
      <c r="H2395" s="3">
        <v>41978</v>
      </c>
      <c r="I2395" s="4">
        <v>26227</v>
      </c>
    </row>
    <row r="2396" spans="1:9" x14ac:dyDescent="0.25">
      <c r="A2396" s="3">
        <v>41977</v>
      </c>
      <c r="B2396" s="4">
        <v>26349</v>
      </c>
      <c r="C2396" s="4">
        <v>26472</v>
      </c>
      <c r="D2396" s="4">
        <v>26472</v>
      </c>
      <c r="E2396" s="4">
        <v>26260</v>
      </c>
      <c r="F2396" s="4" t="str">
        <v>0.06K</v>
      </c>
      <c r="G2396" s="4" t="str">
        <v>-0.48%</v>
      </c>
      <c r="H2396" s="3">
        <v>41977</v>
      </c>
      <c r="I2396" s="4">
        <v>26366</v>
      </c>
    </row>
    <row r="2397" spans="1:9" x14ac:dyDescent="0.25">
      <c r="A2397" s="3">
        <v>41976</v>
      </c>
      <c r="B2397" s="4">
        <v>26477</v>
      </c>
      <c r="C2397" s="4">
        <v>26237</v>
      </c>
      <c r="D2397" s="4">
        <v>26500</v>
      </c>
      <c r="E2397" s="4">
        <v>26221</v>
      </c>
      <c r="F2397" s="4" t="str">
        <v>0.14K</v>
      </c>
      <c r="G2397" s="4" t="str">
        <v>1.10%</v>
      </c>
      <c r="H2397" s="3">
        <v>41976</v>
      </c>
      <c r="I2397" s="4">
        <v>26360.5</v>
      </c>
    </row>
    <row r="2398" spans="1:9" x14ac:dyDescent="0.25">
      <c r="A2398" s="3">
        <v>41975</v>
      </c>
      <c r="B2398" s="4">
        <v>26188</v>
      </c>
      <c r="C2398" s="4">
        <v>26314</v>
      </c>
      <c r="D2398" s="4">
        <v>26437</v>
      </c>
      <c r="E2398" s="4">
        <v>26057</v>
      </c>
      <c r="F2398" s="4" t="str">
        <v>0.68K</v>
      </c>
      <c r="G2398" s="4" t="str">
        <v>-1.21%</v>
      </c>
      <c r="H2398" s="3">
        <v>41975</v>
      </c>
      <c r="I2398" s="4">
        <v>26247</v>
      </c>
    </row>
    <row r="2399" spans="1:9" x14ac:dyDescent="0.25">
      <c r="A2399" s="3">
        <v>41974</v>
      </c>
      <c r="B2399" s="4">
        <v>26509</v>
      </c>
      <c r="C2399" s="4">
        <v>25401</v>
      </c>
      <c r="D2399" s="4">
        <v>26566</v>
      </c>
      <c r="E2399" s="4">
        <v>25224</v>
      </c>
      <c r="F2399" s="4" t="str">
        <v>3.01K</v>
      </c>
      <c r="G2399" s="4" t="str">
        <v>2.77%</v>
      </c>
      <c r="H2399" s="3">
        <v>41974</v>
      </c>
      <c r="I2399" s="4">
        <v>25895</v>
      </c>
    </row>
    <row r="2400" spans="1:9" x14ac:dyDescent="0.25">
      <c r="A2400" s="3">
        <v>41971</v>
      </c>
      <c r="B2400" s="4">
        <v>25794</v>
      </c>
      <c r="C2400" s="4">
        <v>26155</v>
      </c>
      <c r="D2400" s="4">
        <v>26230</v>
      </c>
      <c r="E2400" s="4">
        <v>25741</v>
      </c>
      <c r="F2400" s="4" t="str">
        <v>15.84K</v>
      </c>
      <c r="G2400" s="4" t="str">
        <v>-1.73%</v>
      </c>
      <c r="H2400" s="3">
        <v>41971</v>
      </c>
      <c r="I2400" s="4">
        <v>25985.5</v>
      </c>
    </row>
    <row r="2401" spans="1:9" x14ac:dyDescent="0.25">
      <c r="A2401" s="3">
        <v>41970</v>
      </c>
      <c r="B2401" s="4">
        <v>26247</v>
      </c>
      <c r="C2401" s="4">
        <v>26308</v>
      </c>
      <c r="D2401" s="4">
        <v>26334</v>
      </c>
      <c r="E2401" s="4">
        <v>26131</v>
      </c>
      <c r="F2401" s="4" t="str">
        <v>12.06K</v>
      </c>
      <c r="G2401" s="4" t="str">
        <v>-0.44%</v>
      </c>
      <c r="H2401" s="3">
        <v>41970</v>
      </c>
      <c r="I2401" s="4">
        <v>26232.5</v>
      </c>
    </row>
    <row r="2402" spans="1:9" x14ac:dyDescent="0.25">
      <c r="A2402" s="3">
        <v>41969</v>
      </c>
      <c r="B2402" s="4">
        <v>26362</v>
      </c>
      <c r="C2402" s="4">
        <v>26363</v>
      </c>
      <c r="D2402" s="4">
        <v>26417</v>
      </c>
      <c r="E2402" s="4">
        <v>26293</v>
      </c>
      <c r="F2402" s="4" t="str">
        <v>10.47K</v>
      </c>
      <c r="G2402" s="4" t="str">
        <v>0.14%</v>
      </c>
      <c r="H2402" s="3">
        <v>41969</v>
      </c>
      <c r="I2402" s="4">
        <v>26355</v>
      </c>
    </row>
    <row r="2403" spans="1:9" x14ac:dyDescent="0.25">
      <c r="A2403" s="3">
        <v>41968</v>
      </c>
      <c r="B2403" s="4">
        <v>26326</v>
      </c>
      <c r="C2403" s="4">
        <v>26492</v>
      </c>
      <c r="D2403" s="4">
        <v>26533</v>
      </c>
      <c r="E2403" s="4">
        <v>26280</v>
      </c>
      <c r="F2403" s="4" t="str">
        <v>17.02K</v>
      </c>
      <c r="G2403" s="4" t="str">
        <v>-0.58%</v>
      </c>
      <c r="H2403" s="3">
        <v>41968</v>
      </c>
      <c r="I2403" s="4">
        <v>26406.5</v>
      </c>
    </row>
    <row r="2404" spans="1:9" x14ac:dyDescent="0.25">
      <c r="A2404" s="3">
        <v>41967</v>
      </c>
      <c r="B2404" s="4">
        <v>26480</v>
      </c>
      <c r="C2404" s="4">
        <v>26402</v>
      </c>
      <c r="D2404" s="4">
        <v>26540</v>
      </c>
      <c r="E2404" s="4">
        <v>26402</v>
      </c>
      <c r="F2404" s="4" t="str">
        <v>11.50K</v>
      </c>
      <c r="G2404" s="4" t="str">
        <v>0.30%</v>
      </c>
      <c r="H2404" s="3">
        <v>41967</v>
      </c>
      <c r="I2404" s="4">
        <v>26471</v>
      </c>
    </row>
    <row r="2405" spans="1:9" x14ac:dyDescent="0.25">
      <c r="A2405" s="3">
        <v>41966</v>
      </c>
      <c r="B2405" s="4">
        <v>26401</v>
      </c>
      <c r="C2405" s="4">
        <v>26401</v>
      </c>
      <c r="D2405" s="4">
        <v>26401</v>
      </c>
      <c r="E2405" s="4">
        <v>26401</v>
      </c>
      <c r="F2405" s="4" t="str">
        <v>0</v>
      </c>
      <c r="G2405" s="4" t="str">
        <v>0.04%</v>
      </c>
      <c r="H2405" s="3">
        <v>41966</v>
      </c>
      <c r="I2405" s="4">
        <v>26401</v>
      </c>
    </row>
    <row r="2406" spans="1:9" x14ac:dyDescent="0.25">
      <c r="A2406" s="3">
        <v>41964</v>
      </c>
      <c r="B2406" s="4">
        <v>26391</v>
      </c>
      <c r="C2406" s="4">
        <v>26483</v>
      </c>
      <c r="D2406" s="4">
        <v>26629</v>
      </c>
      <c r="E2406" s="4">
        <v>26348</v>
      </c>
      <c r="F2406" s="4" t="str">
        <v>18.78K</v>
      </c>
      <c r="G2406" s="4" t="str">
        <v>-0.27%</v>
      </c>
      <c r="H2406" s="3">
        <v>41964</v>
      </c>
      <c r="I2406" s="4">
        <v>26488.5</v>
      </c>
    </row>
    <row r="2407" spans="1:9" x14ac:dyDescent="0.25">
      <c r="A2407" s="3">
        <v>41963</v>
      </c>
      <c r="B2407" s="4">
        <v>26463</v>
      </c>
      <c r="C2407" s="4">
        <v>26550</v>
      </c>
      <c r="D2407" s="4">
        <v>26617</v>
      </c>
      <c r="E2407" s="4">
        <v>26366</v>
      </c>
      <c r="F2407" s="4" t="str">
        <v>17.27K</v>
      </c>
      <c r="G2407" s="4" t="str">
        <v>-0.93%</v>
      </c>
      <c r="H2407" s="3">
        <v>41963</v>
      </c>
      <c r="I2407" s="4">
        <v>26491.5</v>
      </c>
    </row>
    <row r="2408" spans="1:9" x14ac:dyDescent="0.25">
      <c r="A2408" s="3">
        <v>41962</v>
      </c>
      <c r="B2408" s="4">
        <v>26711</v>
      </c>
      <c r="C2408" s="4">
        <v>26575</v>
      </c>
      <c r="D2408" s="4">
        <v>26833</v>
      </c>
      <c r="E2408" s="4">
        <v>26057</v>
      </c>
      <c r="F2408" s="4" t="str">
        <v>25.38K</v>
      </c>
      <c r="G2408" s="4" t="str">
        <v>0.43%</v>
      </c>
      <c r="H2408" s="3">
        <v>41962</v>
      </c>
      <c r="I2408" s="4">
        <v>26445</v>
      </c>
    </row>
    <row r="2409" spans="1:9" x14ac:dyDescent="0.25">
      <c r="A2409" s="3">
        <v>41961</v>
      </c>
      <c r="B2409" s="4">
        <v>26596</v>
      </c>
      <c r="C2409" s="4">
        <v>26426</v>
      </c>
      <c r="D2409" s="4">
        <v>26774</v>
      </c>
      <c r="E2409" s="4">
        <v>26392</v>
      </c>
      <c r="F2409" s="4" t="str">
        <v>19.85K</v>
      </c>
      <c r="G2409" s="4" t="str">
        <v>1.01%</v>
      </c>
      <c r="H2409" s="3">
        <v>41961</v>
      </c>
      <c r="I2409" s="4">
        <v>26583</v>
      </c>
    </row>
    <row r="2410" spans="1:9" x14ac:dyDescent="0.25">
      <c r="A2410" s="3">
        <v>41960</v>
      </c>
      <c r="B2410" s="4">
        <v>26330</v>
      </c>
      <c r="C2410" s="4">
        <v>26417</v>
      </c>
      <c r="D2410" s="4">
        <v>26520</v>
      </c>
      <c r="E2410" s="4">
        <v>26300</v>
      </c>
      <c r="F2410" s="4" t="str">
        <v>16.78K</v>
      </c>
      <c r="G2410" s="4" t="str">
        <v>-0.45%</v>
      </c>
      <c r="H2410" s="3">
        <v>41960</v>
      </c>
      <c r="I2410" s="4">
        <v>26410</v>
      </c>
    </row>
    <row r="2411" spans="1:9" x14ac:dyDescent="0.25">
      <c r="A2411" s="3">
        <v>41959</v>
      </c>
      <c r="B2411" s="4">
        <v>26448</v>
      </c>
      <c r="C2411" s="4">
        <v>26448</v>
      </c>
      <c r="D2411" s="4">
        <v>26448</v>
      </c>
      <c r="E2411" s="4">
        <v>26448</v>
      </c>
      <c r="F2411" s="4" t="str">
        <v>0</v>
      </c>
      <c r="G2411" s="4" t="str">
        <v>-0.07%</v>
      </c>
      <c r="H2411" s="3">
        <v>41959</v>
      </c>
      <c r="I2411" s="4">
        <v>26448</v>
      </c>
    </row>
    <row r="2412" spans="1:9" x14ac:dyDescent="0.25">
      <c r="A2412" s="3">
        <v>41957</v>
      </c>
      <c r="B2412" s="4">
        <v>26466</v>
      </c>
      <c r="C2412" s="4">
        <v>25826</v>
      </c>
      <c r="D2412" s="4">
        <v>26531</v>
      </c>
      <c r="E2412" s="4">
        <v>25585</v>
      </c>
      <c r="F2412" s="4" t="str">
        <v>26.64K</v>
      </c>
      <c r="G2412" s="4" t="str">
        <v>2.49%</v>
      </c>
      <c r="H2412" s="3">
        <v>41957</v>
      </c>
      <c r="I2412" s="4">
        <v>26058</v>
      </c>
    </row>
    <row r="2413" spans="1:9" x14ac:dyDescent="0.25">
      <c r="A2413" s="3">
        <v>41956</v>
      </c>
      <c r="B2413" s="4">
        <v>25822</v>
      </c>
      <c r="C2413" s="4">
        <v>25842</v>
      </c>
      <c r="D2413" s="4">
        <v>25930</v>
      </c>
      <c r="E2413" s="4">
        <v>25682</v>
      </c>
      <c r="F2413" s="4" t="str">
        <v>19.48K</v>
      </c>
      <c r="G2413" s="4" t="str">
        <v>0.13%</v>
      </c>
      <c r="H2413" s="3">
        <v>41956</v>
      </c>
      <c r="I2413" s="4">
        <v>25806</v>
      </c>
    </row>
    <row r="2414" spans="1:9" x14ac:dyDescent="0.25">
      <c r="A2414" s="3">
        <v>41955</v>
      </c>
      <c r="B2414" s="4">
        <v>25788</v>
      </c>
      <c r="C2414" s="4">
        <v>25818</v>
      </c>
      <c r="D2414" s="4">
        <v>25956</v>
      </c>
      <c r="E2414" s="4">
        <v>25730</v>
      </c>
      <c r="F2414" s="4" t="str">
        <v>16.52K</v>
      </c>
      <c r="G2414" s="4" t="str">
        <v>-0.03%</v>
      </c>
      <c r="H2414" s="3">
        <v>41955</v>
      </c>
      <c r="I2414" s="4">
        <v>25843</v>
      </c>
    </row>
    <row r="2415" spans="1:9" x14ac:dyDescent="0.25">
      <c r="A2415" s="3">
        <v>41954</v>
      </c>
      <c r="B2415" s="4">
        <v>25796</v>
      </c>
      <c r="C2415" s="4">
        <v>25653</v>
      </c>
      <c r="D2415" s="4">
        <v>25878</v>
      </c>
      <c r="E2415" s="4">
        <v>25433</v>
      </c>
      <c r="F2415" s="4" t="str">
        <v>18.92K</v>
      </c>
      <c r="G2415" s="4" t="str">
        <v>0.24%</v>
      </c>
      <c r="H2415" s="3">
        <v>41954</v>
      </c>
      <c r="I2415" s="4">
        <v>25655.5</v>
      </c>
    </row>
    <row r="2416" spans="1:9" x14ac:dyDescent="0.25">
      <c r="A2416" s="3">
        <v>41953</v>
      </c>
      <c r="B2416" s="4">
        <v>25733</v>
      </c>
      <c r="C2416" s="4">
        <v>25958</v>
      </c>
      <c r="D2416" s="4">
        <v>26036</v>
      </c>
      <c r="E2416" s="4">
        <v>25660</v>
      </c>
      <c r="F2416" s="4" t="str">
        <v>15.49K</v>
      </c>
      <c r="G2416" s="4" t="str">
        <v>-0.77%</v>
      </c>
      <c r="H2416" s="3">
        <v>41953</v>
      </c>
      <c r="I2416" s="4">
        <v>25848</v>
      </c>
    </row>
    <row r="2417" spans="1:9" x14ac:dyDescent="0.25">
      <c r="A2417" s="3">
        <v>41950</v>
      </c>
      <c r="B2417" s="4">
        <v>25932</v>
      </c>
      <c r="C2417" s="4">
        <v>25425</v>
      </c>
      <c r="D2417" s="4">
        <v>25963</v>
      </c>
      <c r="E2417" s="4">
        <v>25164</v>
      </c>
      <c r="F2417" s="4" t="str">
        <v>29.04K</v>
      </c>
      <c r="G2417" s="4" t="str">
        <v>1.85%</v>
      </c>
      <c r="H2417" s="3">
        <v>41950</v>
      </c>
      <c r="I2417" s="4">
        <v>25563.5</v>
      </c>
    </row>
    <row r="2418" spans="1:9" x14ac:dyDescent="0.25">
      <c r="A2418" s="3">
        <v>41949</v>
      </c>
      <c r="B2418" s="4">
        <v>25461</v>
      </c>
      <c r="C2418" s="4">
        <v>25485</v>
      </c>
      <c r="D2418" s="4">
        <v>25567</v>
      </c>
      <c r="E2418" s="4">
        <v>25401</v>
      </c>
      <c r="F2418" s="4" t="str">
        <v>9.03K</v>
      </c>
      <c r="G2418" s="4" t="str">
        <v>-0.13%</v>
      </c>
      <c r="H2418" s="3">
        <v>41949</v>
      </c>
      <c r="I2418" s="4">
        <v>25484</v>
      </c>
    </row>
    <row r="2419" spans="1:9" x14ac:dyDescent="0.25">
      <c r="A2419" s="3">
        <v>41948</v>
      </c>
      <c r="B2419" s="4">
        <v>25493</v>
      </c>
      <c r="C2419" s="4">
        <v>25850</v>
      </c>
      <c r="D2419" s="4">
        <v>25850</v>
      </c>
      <c r="E2419" s="4">
        <v>25337</v>
      </c>
      <c r="F2419" s="4" t="str">
        <v>25.13K</v>
      </c>
      <c r="G2419" s="4" t="str">
        <v>-1.81%</v>
      </c>
      <c r="H2419" s="3">
        <v>41948</v>
      </c>
      <c r="I2419" s="4">
        <v>25593.5</v>
      </c>
    </row>
    <row r="2420" spans="1:9" x14ac:dyDescent="0.25">
      <c r="A2420" s="3">
        <v>41947</v>
      </c>
      <c r="B2420" s="4">
        <v>25963</v>
      </c>
      <c r="C2420" s="4">
        <v>26069</v>
      </c>
      <c r="D2420" s="4">
        <v>26187</v>
      </c>
      <c r="E2420" s="4">
        <v>25910</v>
      </c>
      <c r="F2420" s="4" t="str">
        <v>10.55K</v>
      </c>
      <c r="G2420" s="4" t="str">
        <v>-0.44%</v>
      </c>
      <c r="H2420" s="3">
        <v>41947</v>
      </c>
      <c r="I2420" s="4">
        <v>26048.5</v>
      </c>
    </row>
    <row r="2421" spans="1:9" x14ac:dyDescent="0.25">
      <c r="A2421" s="3">
        <v>41946</v>
      </c>
      <c r="B2421" s="4">
        <v>26077</v>
      </c>
      <c r="C2421" s="4">
        <v>26000</v>
      </c>
      <c r="D2421" s="4">
        <v>26263</v>
      </c>
      <c r="E2421" s="4">
        <v>25940</v>
      </c>
      <c r="F2421" s="4" t="str">
        <v>14.64K</v>
      </c>
      <c r="G2421" s="4" t="str">
        <v>-0.22%</v>
      </c>
      <c r="H2421" s="3">
        <v>41946</v>
      </c>
      <c r="I2421" s="4">
        <v>26101.5</v>
      </c>
    </row>
    <row r="2422" spans="1:9" x14ac:dyDescent="0.25">
      <c r="A2422" s="3">
        <v>41943</v>
      </c>
      <c r="B2422" s="4">
        <v>26135</v>
      </c>
      <c r="C2422" s="4">
        <v>26563</v>
      </c>
      <c r="D2422" s="4">
        <v>26590</v>
      </c>
      <c r="E2422" s="4">
        <v>25881</v>
      </c>
      <c r="F2422" s="4" t="str">
        <v>25.80K</v>
      </c>
      <c r="G2422" s="4" t="str">
        <v>-1.76%</v>
      </c>
      <c r="H2422" s="3">
        <v>41943</v>
      </c>
      <c r="I2422" s="4">
        <v>26235.5</v>
      </c>
    </row>
    <row r="2423" spans="1:9" x14ac:dyDescent="0.25">
      <c r="A2423" s="3">
        <v>41942</v>
      </c>
      <c r="B2423" s="4">
        <v>26603</v>
      </c>
      <c r="C2423" s="4">
        <v>26990</v>
      </c>
      <c r="D2423" s="4">
        <v>26990</v>
      </c>
      <c r="E2423" s="4">
        <v>26562</v>
      </c>
      <c r="F2423" s="4" t="str">
        <v>16.54K</v>
      </c>
      <c r="G2423" s="4" t="str">
        <v>-1.76%</v>
      </c>
      <c r="H2423" s="3">
        <v>41942</v>
      </c>
      <c r="I2423" s="4">
        <v>26776</v>
      </c>
    </row>
    <row r="2424" spans="1:9" x14ac:dyDescent="0.25">
      <c r="A2424" s="3">
        <v>41941</v>
      </c>
      <c r="B2424" s="4">
        <v>27079</v>
      </c>
      <c r="C2424" s="4">
        <v>27187</v>
      </c>
      <c r="D2424" s="4">
        <v>27195</v>
      </c>
      <c r="E2424" s="4">
        <v>27013</v>
      </c>
      <c r="F2424" s="4" t="str">
        <v>11.16K</v>
      </c>
      <c r="G2424" s="4" t="str">
        <v>-0.21%</v>
      </c>
      <c r="H2424" s="3">
        <v>41941</v>
      </c>
      <c r="I2424" s="4">
        <v>27104</v>
      </c>
    </row>
    <row r="2425" spans="1:9" x14ac:dyDescent="0.25">
      <c r="A2425" s="3">
        <v>41940</v>
      </c>
      <c r="B2425" s="4">
        <v>27135</v>
      </c>
      <c r="C2425" s="4">
        <v>27185</v>
      </c>
      <c r="D2425" s="4">
        <v>27270</v>
      </c>
      <c r="E2425" s="4">
        <v>27113</v>
      </c>
      <c r="F2425" s="4" t="str">
        <v>12.72K</v>
      </c>
      <c r="G2425" s="4" t="str">
        <v>-0.29%</v>
      </c>
      <c r="H2425" s="3">
        <v>41940</v>
      </c>
      <c r="I2425" s="4">
        <v>27191.5</v>
      </c>
    </row>
    <row r="2426" spans="1:9" x14ac:dyDescent="0.25">
      <c r="A2426" s="3">
        <v>41939</v>
      </c>
      <c r="B2426" s="4">
        <v>27214</v>
      </c>
      <c r="C2426" s="4">
        <v>27168</v>
      </c>
      <c r="D2426" s="4">
        <v>27238</v>
      </c>
      <c r="E2426" s="4">
        <v>27130</v>
      </c>
      <c r="F2426" s="4" t="str">
        <v>8.90K</v>
      </c>
      <c r="G2426" s="4" t="str">
        <v>0.14%</v>
      </c>
      <c r="H2426" s="3">
        <v>41939</v>
      </c>
      <c r="I2426" s="4">
        <v>27184</v>
      </c>
    </row>
    <row r="2427" spans="1:9" x14ac:dyDescent="0.25">
      <c r="A2427" s="3">
        <v>41936</v>
      </c>
      <c r="B2427" s="4">
        <v>27176</v>
      </c>
      <c r="C2427" s="4">
        <v>27200</v>
      </c>
      <c r="D2427" s="4">
        <v>27245</v>
      </c>
      <c r="E2427" s="4">
        <v>27141</v>
      </c>
      <c r="F2427" s="4" t="str">
        <v>3.27K</v>
      </c>
      <c r="G2427" s="4" t="str">
        <v>0.21%</v>
      </c>
      <c r="H2427" s="3">
        <v>41936</v>
      </c>
      <c r="I2427" s="4">
        <v>27193</v>
      </c>
    </row>
    <row r="2428" spans="1:9" x14ac:dyDescent="0.25">
      <c r="A2428" s="3">
        <v>41935</v>
      </c>
      <c r="B2428" s="4">
        <v>27120</v>
      </c>
      <c r="C2428" s="4">
        <v>27270</v>
      </c>
      <c r="D2428" s="4">
        <v>27304</v>
      </c>
      <c r="E2428" s="4">
        <v>27090</v>
      </c>
      <c r="F2428" s="4" t="str">
        <v>4.69K</v>
      </c>
      <c r="G2428" s="4" t="str">
        <v>-1.31%</v>
      </c>
      <c r="H2428" s="3">
        <v>41935</v>
      </c>
      <c r="I2428" s="4">
        <v>27197</v>
      </c>
    </row>
    <row r="2429" spans="1:9" x14ac:dyDescent="0.25">
      <c r="A2429" s="3">
        <v>41934</v>
      </c>
      <c r="B2429" s="4">
        <v>27481</v>
      </c>
      <c r="C2429" s="4">
        <v>27525</v>
      </c>
      <c r="D2429" s="4">
        <v>27542</v>
      </c>
      <c r="E2429" s="4">
        <v>27411</v>
      </c>
      <c r="F2429" s="4" t="str">
        <v>8.97K</v>
      </c>
      <c r="G2429" s="4" t="str">
        <v>-0.26%</v>
      </c>
      <c r="H2429" s="3">
        <v>41934</v>
      </c>
      <c r="I2429" s="4">
        <v>27476.5</v>
      </c>
    </row>
    <row r="2430" spans="1:9" x14ac:dyDescent="0.25">
      <c r="A2430" s="3">
        <v>41933</v>
      </c>
      <c r="B2430" s="4">
        <v>27554</v>
      </c>
      <c r="C2430" s="4">
        <v>27473</v>
      </c>
      <c r="D2430" s="4">
        <v>27640</v>
      </c>
      <c r="E2430" s="4">
        <v>27462</v>
      </c>
      <c r="F2430" s="4" t="str">
        <v>13.04K</v>
      </c>
      <c r="G2430" s="4" t="str">
        <v>0.51%</v>
      </c>
      <c r="H2430" s="3">
        <v>41933</v>
      </c>
      <c r="I2430" s="4">
        <v>27551</v>
      </c>
    </row>
    <row r="2431" spans="1:9" x14ac:dyDescent="0.25">
      <c r="A2431" s="3">
        <v>41932</v>
      </c>
      <c r="B2431" s="4">
        <v>27415</v>
      </c>
      <c r="C2431" s="4">
        <v>27219</v>
      </c>
      <c r="D2431" s="4">
        <v>27490</v>
      </c>
      <c r="E2431" s="4">
        <v>27204</v>
      </c>
      <c r="F2431" s="4" t="str">
        <v>11.13K</v>
      </c>
      <c r="G2431" s="4" t="str">
        <v>0.58%</v>
      </c>
      <c r="H2431" s="3">
        <v>41932</v>
      </c>
      <c r="I2431" s="4">
        <v>27347</v>
      </c>
    </row>
    <row r="2432" spans="1:9" x14ac:dyDescent="0.25">
      <c r="A2432" s="3">
        <v>41929</v>
      </c>
      <c r="B2432" s="4">
        <v>27256</v>
      </c>
      <c r="C2432" s="4">
        <v>27425</v>
      </c>
      <c r="D2432" s="4">
        <v>27488</v>
      </c>
      <c r="E2432" s="4">
        <v>27166</v>
      </c>
      <c r="F2432" s="4" t="str">
        <v>14.70K</v>
      </c>
      <c r="G2432" s="4" t="str">
        <v>-0.70%</v>
      </c>
      <c r="H2432" s="3">
        <v>41929</v>
      </c>
      <c r="I2432" s="4">
        <v>27327</v>
      </c>
    </row>
    <row r="2433" spans="1:9" x14ac:dyDescent="0.25">
      <c r="A2433" s="3">
        <v>41928</v>
      </c>
      <c r="B2433" s="4">
        <v>27449</v>
      </c>
      <c r="C2433" s="4">
        <v>27270</v>
      </c>
      <c r="D2433" s="4">
        <v>27610</v>
      </c>
      <c r="E2433" s="4">
        <v>27270</v>
      </c>
      <c r="F2433" s="4" t="str">
        <v>18.19K</v>
      </c>
      <c r="G2433" s="4" t="str">
        <v>0.72%</v>
      </c>
      <c r="H2433" s="3">
        <v>41928</v>
      </c>
      <c r="I2433" s="4">
        <v>27440</v>
      </c>
    </row>
    <row r="2434" spans="1:9" x14ac:dyDescent="0.25">
      <c r="A2434" s="3">
        <v>41926</v>
      </c>
      <c r="B2434" s="4">
        <v>27252</v>
      </c>
      <c r="C2434" s="4">
        <v>27070</v>
      </c>
      <c r="D2434" s="4">
        <v>27297</v>
      </c>
      <c r="E2434" s="4">
        <v>27055</v>
      </c>
      <c r="F2434" s="4" t="str">
        <v>17.45K</v>
      </c>
      <c r="G2434" s="4" t="str">
        <v>1.04%</v>
      </c>
      <c r="H2434" s="3">
        <v>41926</v>
      </c>
      <c r="I2434" s="4">
        <v>27176</v>
      </c>
    </row>
    <row r="2435" spans="1:9" x14ac:dyDescent="0.25">
      <c r="A2435" s="3">
        <v>41925</v>
      </c>
      <c r="B2435" s="4">
        <v>26972</v>
      </c>
      <c r="C2435" s="4">
        <v>27022</v>
      </c>
      <c r="D2435" s="4">
        <v>27246</v>
      </c>
      <c r="E2435" s="4">
        <v>26940</v>
      </c>
      <c r="F2435" s="4" t="str">
        <v>14.53K</v>
      </c>
      <c r="G2435" s="4" t="str">
        <v>0.03%</v>
      </c>
      <c r="H2435" s="3">
        <v>41925</v>
      </c>
      <c r="I2435" s="4">
        <v>27093</v>
      </c>
    </row>
    <row r="2436" spans="1:9" x14ac:dyDescent="0.25">
      <c r="A2436" s="3">
        <v>41922</v>
      </c>
      <c r="B2436" s="4">
        <v>26964</v>
      </c>
      <c r="C2436" s="4">
        <v>26934</v>
      </c>
      <c r="D2436" s="4">
        <v>27048</v>
      </c>
      <c r="E2436" s="4">
        <v>26845</v>
      </c>
      <c r="F2436" s="4" t="str">
        <v>12.77K</v>
      </c>
      <c r="G2436" s="4" t="str">
        <v>0.02%</v>
      </c>
      <c r="H2436" s="3">
        <v>41922</v>
      </c>
      <c r="I2436" s="4">
        <v>26946.5</v>
      </c>
    </row>
    <row r="2437" spans="1:9" x14ac:dyDescent="0.25">
      <c r="A2437" s="3">
        <v>41921</v>
      </c>
      <c r="B2437" s="4">
        <v>26958</v>
      </c>
      <c r="C2437" s="4">
        <v>26845</v>
      </c>
      <c r="D2437" s="4">
        <v>27048</v>
      </c>
      <c r="E2437" s="4">
        <v>26845</v>
      </c>
      <c r="F2437" s="4" t="str">
        <v>16.05K</v>
      </c>
      <c r="G2437" s="4" t="str">
        <v>0.83%</v>
      </c>
      <c r="H2437" s="3">
        <v>41921</v>
      </c>
      <c r="I2437" s="4">
        <v>26946.5</v>
      </c>
    </row>
    <row r="2438" spans="1:9" x14ac:dyDescent="0.25">
      <c r="A2438" s="3">
        <v>41920</v>
      </c>
      <c r="B2438" s="4">
        <v>26737</v>
      </c>
      <c r="C2438" s="4">
        <v>26830</v>
      </c>
      <c r="D2438" s="4">
        <v>26995</v>
      </c>
      <c r="E2438" s="4">
        <v>26705</v>
      </c>
      <c r="F2438" s="4" t="str">
        <v>14.29K</v>
      </c>
      <c r="G2438" s="4" t="str">
        <v>-0.27%</v>
      </c>
      <c r="H2438" s="3">
        <v>41920</v>
      </c>
      <c r="I2438" s="4">
        <v>26850</v>
      </c>
    </row>
    <row r="2439" spans="1:9" x14ac:dyDescent="0.25">
      <c r="A2439" s="3">
        <v>41919</v>
      </c>
      <c r="B2439" s="4">
        <v>26810</v>
      </c>
      <c r="C2439" s="4">
        <v>26657</v>
      </c>
      <c r="D2439" s="4">
        <v>26837</v>
      </c>
      <c r="E2439" s="4">
        <v>26641</v>
      </c>
      <c r="F2439" s="4" t="str">
        <v>12.64K</v>
      </c>
      <c r="G2439" s="4" t="str">
        <v>0.33%</v>
      </c>
      <c r="H2439" s="3">
        <v>41919</v>
      </c>
      <c r="I2439" s="4">
        <v>26739</v>
      </c>
    </row>
    <row r="2440" spans="1:9" x14ac:dyDescent="0.25">
      <c r="A2440" s="3">
        <v>41918</v>
      </c>
      <c r="B2440" s="4">
        <v>26721</v>
      </c>
      <c r="C2440" s="4">
        <v>26504</v>
      </c>
      <c r="D2440" s="4">
        <v>26748</v>
      </c>
      <c r="E2440" s="4">
        <v>26472</v>
      </c>
      <c r="F2440" s="4" t="str">
        <v>6.66K</v>
      </c>
      <c r="G2440" s="4" t="str">
        <v>0.80%</v>
      </c>
      <c r="H2440" s="3">
        <v>41918</v>
      </c>
      <c r="I2440" s="4">
        <v>26610</v>
      </c>
    </row>
    <row r="2441" spans="1:9" x14ac:dyDescent="0.25">
      <c r="A2441" s="3">
        <v>41917</v>
      </c>
      <c r="B2441" s="4">
        <v>26510</v>
      </c>
      <c r="C2441" s="4">
        <v>26510</v>
      </c>
      <c r="D2441" s="4">
        <v>26510</v>
      </c>
      <c r="E2441" s="4">
        <v>26510</v>
      </c>
      <c r="F2441" s="4" t="str">
        <v>0</v>
      </c>
      <c r="G2441" s="4" t="str">
        <v>0.00%</v>
      </c>
      <c r="H2441" s="3">
        <v>41917</v>
      </c>
      <c r="I2441" s="4">
        <v>26510</v>
      </c>
    </row>
    <row r="2442" spans="1:9" x14ac:dyDescent="0.25">
      <c r="A2442" s="3">
        <v>41915</v>
      </c>
      <c r="B2442" s="4">
        <v>26510</v>
      </c>
      <c r="C2442" s="4">
        <v>26510</v>
      </c>
      <c r="D2442" s="4">
        <v>26510</v>
      </c>
      <c r="E2442" s="4">
        <v>26510</v>
      </c>
      <c r="F2442" s="4" t="str">
        <v>0</v>
      </c>
      <c r="G2442" s="4" t="str">
        <v>-1.41%</v>
      </c>
      <c r="H2442" s="3">
        <v>41915</v>
      </c>
      <c r="I2442" s="4">
        <v>26510</v>
      </c>
    </row>
    <row r="2443" spans="1:9" x14ac:dyDescent="0.25">
      <c r="A2443" s="3">
        <v>41913</v>
      </c>
      <c r="B2443" s="4">
        <v>26888</v>
      </c>
      <c r="C2443" s="4">
        <v>27018</v>
      </c>
      <c r="D2443" s="4">
        <v>27192</v>
      </c>
      <c r="E2443" s="4">
        <v>26800</v>
      </c>
      <c r="F2443" s="4" t="str">
        <v>4.64K</v>
      </c>
      <c r="G2443" s="4" t="str">
        <v>-0.89%</v>
      </c>
      <c r="H2443" s="3">
        <v>41913</v>
      </c>
      <c r="I2443" s="4">
        <v>26996</v>
      </c>
    </row>
    <row r="2444" spans="1:9" x14ac:dyDescent="0.25">
      <c r="A2444" s="3">
        <v>41912</v>
      </c>
      <c r="B2444" s="4">
        <v>27129</v>
      </c>
      <c r="C2444" s="4">
        <v>26901</v>
      </c>
      <c r="D2444" s="4">
        <v>27172</v>
      </c>
      <c r="E2444" s="4">
        <v>26792</v>
      </c>
      <c r="F2444" s="4" t="str">
        <v>8.88K</v>
      </c>
      <c r="G2444" s="4" t="str">
        <v>0.80%</v>
      </c>
      <c r="H2444" s="3">
        <v>41912</v>
      </c>
      <c r="I2444" s="4">
        <v>26982</v>
      </c>
    </row>
    <row r="2445" spans="1:9" x14ac:dyDescent="0.25">
      <c r="A2445" s="3">
        <v>41911</v>
      </c>
      <c r="B2445" s="4">
        <v>26913</v>
      </c>
      <c r="C2445" s="4">
        <v>26855</v>
      </c>
      <c r="D2445" s="4">
        <v>27000</v>
      </c>
      <c r="E2445" s="4">
        <v>26802</v>
      </c>
      <c r="F2445" s="4" t="str">
        <v>9.49K</v>
      </c>
      <c r="G2445" s="4" t="str">
        <v>0.43%</v>
      </c>
      <c r="H2445" s="3">
        <v>41911</v>
      </c>
      <c r="I2445" s="4">
        <v>26901</v>
      </c>
    </row>
    <row r="2446" spans="1:9" x14ac:dyDescent="0.25">
      <c r="A2446" s="3">
        <v>41909</v>
      </c>
      <c r="B2446" s="4">
        <v>26798</v>
      </c>
      <c r="C2446" s="4">
        <v>26798</v>
      </c>
      <c r="D2446" s="4">
        <v>26798</v>
      </c>
      <c r="E2446" s="4">
        <v>26798</v>
      </c>
      <c r="F2446" s="4" t="str">
        <v>0</v>
      </c>
      <c r="G2446" s="4" t="str">
        <v>0.02%</v>
      </c>
      <c r="H2446" s="3">
        <v>41909</v>
      </c>
      <c r="I2446" s="4">
        <v>26798</v>
      </c>
    </row>
    <row r="2447" spans="1:9" x14ac:dyDescent="0.25">
      <c r="A2447" s="3">
        <v>41908</v>
      </c>
      <c r="B2447" s="4">
        <v>26793</v>
      </c>
      <c r="C2447" s="4">
        <v>26920</v>
      </c>
      <c r="D2447" s="4">
        <v>27135</v>
      </c>
      <c r="E2447" s="4">
        <v>26753</v>
      </c>
      <c r="F2447" s="4" t="str">
        <v>17.68K</v>
      </c>
      <c r="G2447" s="4" t="str">
        <v>-0.53%</v>
      </c>
      <c r="H2447" s="3">
        <v>41908</v>
      </c>
      <c r="I2447" s="4">
        <v>26944</v>
      </c>
    </row>
    <row r="2448" spans="1:9" x14ac:dyDescent="0.25">
      <c r="A2448" s="3">
        <v>41907</v>
      </c>
      <c r="B2448" s="4">
        <v>26935</v>
      </c>
      <c r="C2448" s="4">
        <v>26505</v>
      </c>
      <c r="D2448" s="4">
        <v>26962</v>
      </c>
      <c r="E2448" s="4">
        <v>26380</v>
      </c>
      <c r="F2448" s="4" t="str">
        <v>20.00K</v>
      </c>
      <c r="G2448" s="4" t="str">
        <v>1.45%</v>
      </c>
      <c r="H2448" s="3">
        <v>41907</v>
      </c>
      <c r="I2448" s="4">
        <v>26671</v>
      </c>
    </row>
    <row r="2449" spans="1:9" x14ac:dyDescent="0.25">
      <c r="A2449" s="3">
        <v>41906</v>
      </c>
      <c r="B2449" s="4">
        <v>26549</v>
      </c>
      <c r="C2449" s="4">
        <v>26672</v>
      </c>
      <c r="D2449" s="4">
        <v>26740</v>
      </c>
      <c r="E2449" s="4">
        <v>26528</v>
      </c>
      <c r="F2449" s="4" t="str">
        <v>15.47K</v>
      </c>
      <c r="G2449" s="4" t="str">
        <v>-0.45%</v>
      </c>
      <c r="H2449" s="3">
        <v>41906</v>
      </c>
      <c r="I2449" s="4">
        <v>26634</v>
      </c>
    </row>
    <row r="2450" spans="1:9" x14ac:dyDescent="0.25">
      <c r="A2450" s="3">
        <v>41905</v>
      </c>
      <c r="B2450" s="4">
        <v>26669</v>
      </c>
      <c r="C2450" s="4">
        <v>26580</v>
      </c>
      <c r="D2450" s="4">
        <v>26944</v>
      </c>
      <c r="E2450" s="4">
        <v>26471</v>
      </c>
      <c r="F2450" s="4" t="str">
        <v>18.41K</v>
      </c>
      <c r="G2450" s="4" t="str">
        <v>0.30%</v>
      </c>
      <c r="H2450" s="3">
        <v>41905</v>
      </c>
      <c r="I2450" s="4">
        <v>26707.5</v>
      </c>
    </row>
    <row r="2451" spans="1:9" x14ac:dyDescent="0.25">
      <c r="A2451" s="3">
        <v>41904</v>
      </c>
      <c r="B2451" s="4">
        <v>26588</v>
      </c>
      <c r="C2451" s="4">
        <v>26464</v>
      </c>
      <c r="D2451" s="4">
        <v>26650</v>
      </c>
      <c r="E2451" s="4">
        <v>26313</v>
      </c>
      <c r="F2451" s="4" t="str">
        <v>16.39K</v>
      </c>
      <c r="G2451" s="4" t="str">
        <v>0.35%</v>
      </c>
      <c r="H2451" s="3">
        <v>41904</v>
      </c>
      <c r="I2451" s="4">
        <v>26481.5</v>
      </c>
    </row>
    <row r="2452" spans="1:9" x14ac:dyDescent="0.25">
      <c r="A2452" s="3">
        <v>41901</v>
      </c>
      <c r="B2452" s="4">
        <v>26496</v>
      </c>
      <c r="C2452" s="4">
        <v>26634</v>
      </c>
      <c r="D2452" s="4">
        <v>26665</v>
      </c>
      <c r="E2452" s="4">
        <v>26461</v>
      </c>
      <c r="F2452" s="4" t="str">
        <v>17.49K</v>
      </c>
      <c r="G2452" s="4" t="str">
        <v>-0.61%</v>
      </c>
      <c r="H2452" s="3">
        <v>41901</v>
      </c>
      <c r="I2452" s="4">
        <v>26563</v>
      </c>
    </row>
    <row r="2453" spans="1:9" x14ac:dyDescent="0.25">
      <c r="A2453" s="3">
        <v>41900</v>
      </c>
      <c r="B2453" s="4">
        <v>26659</v>
      </c>
      <c r="C2453" s="4">
        <v>26845</v>
      </c>
      <c r="D2453" s="4">
        <v>26845</v>
      </c>
      <c r="E2453" s="4">
        <v>26560</v>
      </c>
      <c r="F2453" s="4" t="str">
        <v>16.37K</v>
      </c>
      <c r="G2453" s="4" t="str">
        <v>-0.90%</v>
      </c>
      <c r="H2453" s="3">
        <v>41900</v>
      </c>
      <c r="I2453" s="4">
        <v>26702.5</v>
      </c>
    </row>
    <row r="2454" spans="1:9" x14ac:dyDescent="0.25">
      <c r="A2454" s="3">
        <v>41899</v>
      </c>
      <c r="B2454" s="4">
        <v>26901</v>
      </c>
      <c r="C2454" s="4">
        <v>27001</v>
      </c>
      <c r="D2454" s="4">
        <v>27001</v>
      </c>
      <c r="E2454" s="4">
        <v>26865</v>
      </c>
      <c r="F2454" s="4" t="str">
        <v>11.25K</v>
      </c>
      <c r="G2454" s="4" t="str">
        <v>-0.20%</v>
      </c>
      <c r="H2454" s="3">
        <v>41899</v>
      </c>
      <c r="I2454" s="4">
        <v>26933</v>
      </c>
    </row>
    <row r="2455" spans="1:9" x14ac:dyDescent="0.25">
      <c r="A2455" s="3">
        <v>41898</v>
      </c>
      <c r="B2455" s="4">
        <v>26954</v>
      </c>
      <c r="C2455" s="4">
        <v>27025</v>
      </c>
      <c r="D2455" s="4">
        <v>27114</v>
      </c>
      <c r="E2455" s="4">
        <v>26920</v>
      </c>
      <c r="F2455" s="4" t="str">
        <v>17.84K</v>
      </c>
      <c r="G2455" s="4" t="str">
        <v>-0.17%</v>
      </c>
      <c r="H2455" s="3">
        <v>41898</v>
      </c>
      <c r="I2455" s="4">
        <v>27017</v>
      </c>
    </row>
    <row r="2456" spans="1:9" x14ac:dyDescent="0.25">
      <c r="A2456" s="3">
        <v>41897</v>
      </c>
      <c r="B2456" s="4">
        <v>26999</v>
      </c>
      <c r="C2456" s="4">
        <v>26937</v>
      </c>
      <c r="D2456" s="4">
        <v>27117</v>
      </c>
      <c r="E2456" s="4">
        <v>26911</v>
      </c>
      <c r="F2456" s="4" t="str">
        <v>16.31K</v>
      </c>
      <c r="G2456" s="4" t="str">
        <v>0.37%</v>
      </c>
      <c r="H2456" s="3">
        <v>41897</v>
      </c>
      <c r="I2456" s="4">
        <v>27014</v>
      </c>
    </row>
    <row r="2457" spans="1:9" x14ac:dyDescent="0.25">
      <c r="A2457" s="3">
        <v>41895</v>
      </c>
      <c r="B2457" s="4">
        <v>26899</v>
      </c>
      <c r="C2457" s="4">
        <v>26899</v>
      </c>
      <c r="D2457" s="4">
        <v>26899</v>
      </c>
      <c r="E2457" s="4">
        <v>26899</v>
      </c>
      <c r="F2457" s="4" t="str">
        <v>0</v>
      </c>
      <c r="G2457" s="4" t="str">
        <v>0.00%</v>
      </c>
      <c r="H2457" s="3">
        <v>41895</v>
      </c>
      <c r="I2457" s="4">
        <v>26899</v>
      </c>
    </row>
    <row r="2458" spans="1:9" x14ac:dyDescent="0.25">
      <c r="A2458" s="3">
        <v>41894</v>
      </c>
      <c r="B2458" s="4">
        <v>26898</v>
      </c>
      <c r="C2458" s="4">
        <v>26945</v>
      </c>
      <c r="D2458" s="4">
        <v>26984</v>
      </c>
      <c r="E2458" s="4">
        <v>26790</v>
      </c>
      <c r="F2458" s="4" t="str">
        <v>16.20K</v>
      </c>
      <c r="G2458" s="4" t="str">
        <v>-0.33%</v>
      </c>
      <c r="H2458" s="3">
        <v>41894</v>
      </c>
      <c r="I2458" s="4">
        <v>26887</v>
      </c>
    </row>
    <row r="2459" spans="1:9" x14ac:dyDescent="0.25">
      <c r="A2459" s="3">
        <v>41893</v>
      </c>
      <c r="B2459" s="4">
        <v>26986</v>
      </c>
      <c r="C2459" s="4">
        <v>27200</v>
      </c>
      <c r="D2459" s="4">
        <v>27245</v>
      </c>
      <c r="E2459" s="4">
        <v>26953</v>
      </c>
      <c r="F2459" s="4" t="str">
        <v>20.64K</v>
      </c>
      <c r="G2459" s="4" t="str">
        <v>-0.71%</v>
      </c>
      <c r="H2459" s="3">
        <v>41893</v>
      </c>
      <c r="I2459" s="4">
        <v>27099</v>
      </c>
    </row>
    <row r="2460" spans="1:9" x14ac:dyDescent="0.25">
      <c r="A2460" s="3">
        <v>41892</v>
      </c>
      <c r="B2460" s="4">
        <v>27179</v>
      </c>
      <c r="C2460" s="4">
        <v>27334</v>
      </c>
      <c r="D2460" s="4">
        <v>27429</v>
      </c>
      <c r="E2460" s="4">
        <v>27142</v>
      </c>
      <c r="F2460" s="4" t="str">
        <v>15.45K</v>
      </c>
      <c r="G2460" s="4" t="str">
        <v>-0.30%</v>
      </c>
      <c r="H2460" s="3">
        <v>41892</v>
      </c>
      <c r="I2460" s="4">
        <v>27285.5</v>
      </c>
    </row>
    <row r="2461" spans="1:9" x14ac:dyDescent="0.25">
      <c r="A2461" s="3">
        <v>41891</v>
      </c>
      <c r="B2461" s="4">
        <v>27261</v>
      </c>
      <c r="C2461" s="4">
        <v>27213</v>
      </c>
      <c r="D2461" s="4">
        <v>27380</v>
      </c>
      <c r="E2461" s="4">
        <v>27156</v>
      </c>
      <c r="F2461" s="4" t="str">
        <v>16.07K</v>
      </c>
      <c r="G2461" s="4" t="str">
        <v>0.21%</v>
      </c>
      <c r="H2461" s="3">
        <v>41891</v>
      </c>
      <c r="I2461" s="4">
        <v>27268</v>
      </c>
    </row>
    <row r="2462" spans="1:9" x14ac:dyDescent="0.25">
      <c r="A2462" s="3">
        <v>41890</v>
      </c>
      <c r="B2462" s="4">
        <v>27204</v>
      </c>
      <c r="C2462" s="4">
        <v>27431</v>
      </c>
      <c r="D2462" s="4">
        <v>27480</v>
      </c>
      <c r="E2462" s="4">
        <v>27105</v>
      </c>
      <c r="F2462" s="4" t="str">
        <v>11.87K</v>
      </c>
      <c r="G2462" s="4" t="str">
        <v>-0.64%</v>
      </c>
      <c r="H2462" s="3">
        <v>41890</v>
      </c>
      <c r="I2462" s="4">
        <v>27292.5</v>
      </c>
    </row>
    <row r="2463" spans="1:9" x14ac:dyDescent="0.25">
      <c r="A2463" s="3">
        <v>41887</v>
      </c>
      <c r="B2463" s="4">
        <v>27378</v>
      </c>
      <c r="C2463" s="4">
        <v>27406</v>
      </c>
      <c r="D2463" s="4">
        <v>27537</v>
      </c>
      <c r="E2463" s="4">
        <v>27332</v>
      </c>
      <c r="F2463" s="4" t="str">
        <v>13.93K</v>
      </c>
      <c r="G2463" s="4" t="str">
        <v>-0.30%</v>
      </c>
      <c r="H2463" s="3">
        <v>41887</v>
      </c>
      <c r="I2463" s="4">
        <v>27434.5</v>
      </c>
    </row>
    <row r="2464" spans="1:9" x14ac:dyDescent="0.25">
      <c r="A2464" s="3">
        <v>41886</v>
      </c>
      <c r="B2464" s="4">
        <v>27461</v>
      </c>
      <c r="C2464" s="4">
        <v>27596</v>
      </c>
      <c r="D2464" s="4">
        <v>27632</v>
      </c>
      <c r="E2464" s="4">
        <v>27388</v>
      </c>
      <c r="F2464" s="4" t="str">
        <v>16.36K</v>
      </c>
      <c r="G2464" s="4" t="str">
        <v>-0.40%</v>
      </c>
      <c r="H2464" s="3">
        <v>41886</v>
      </c>
      <c r="I2464" s="4">
        <v>27510</v>
      </c>
    </row>
    <row r="2465" spans="1:9" x14ac:dyDescent="0.25">
      <c r="A2465" s="3">
        <v>41885</v>
      </c>
      <c r="B2465" s="4">
        <v>27570</v>
      </c>
      <c r="C2465" s="4">
        <v>27569</v>
      </c>
      <c r="D2465" s="4">
        <v>27620</v>
      </c>
      <c r="E2465" s="4">
        <v>27368</v>
      </c>
      <c r="F2465" s="4" t="str">
        <v>16.74K</v>
      </c>
      <c r="G2465" s="4" t="str">
        <v>0.06%</v>
      </c>
      <c r="H2465" s="3">
        <v>41885</v>
      </c>
      <c r="I2465" s="4">
        <v>27494</v>
      </c>
    </row>
    <row r="2466" spans="1:9" x14ac:dyDescent="0.25">
      <c r="A2466" s="3">
        <v>41884</v>
      </c>
      <c r="B2466" s="4">
        <v>27554</v>
      </c>
      <c r="C2466" s="4">
        <v>27883</v>
      </c>
      <c r="D2466" s="4">
        <v>27898</v>
      </c>
      <c r="E2466" s="4">
        <v>27534</v>
      </c>
      <c r="F2466" s="4" t="str">
        <v>18.25K</v>
      </c>
      <c r="G2466" s="4" t="str">
        <v>-1.36%</v>
      </c>
      <c r="H2466" s="3">
        <v>41884</v>
      </c>
      <c r="I2466" s="4">
        <v>27716</v>
      </c>
    </row>
    <row r="2467" spans="1:9" x14ac:dyDescent="0.25">
      <c r="A2467" s="3">
        <v>41883</v>
      </c>
      <c r="B2467" s="4">
        <v>27934</v>
      </c>
      <c r="C2467" s="4">
        <v>27958</v>
      </c>
      <c r="D2467" s="4">
        <v>27967</v>
      </c>
      <c r="E2467" s="4">
        <v>27907</v>
      </c>
      <c r="F2467" s="4" t="str">
        <v>4.64K</v>
      </c>
      <c r="G2467" s="4" t="str">
        <v>-0.22%</v>
      </c>
      <c r="H2467" s="3">
        <v>41883</v>
      </c>
      <c r="I2467" s="4">
        <v>27937</v>
      </c>
    </row>
    <row r="2468" spans="1:9" x14ac:dyDescent="0.25">
      <c r="A2468" s="3">
        <v>41880</v>
      </c>
      <c r="B2468" s="4">
        <v>27996</v>
      </c>
      <c r="C2468" s="4">
        <v>28020</v>
      </c>
      <c r="D2468" s="4">
        <v>28037</v>
      </c>
      <c r="E2468" s="4">
        <v>27884</v>
      </c>
      <c r="F2468" s="4" t="str">
        <v>5.42K</v>
      </c>
      <c r="G2468" s="4" t="str">
        <v>-0.28%</v>
      </c>
      <c r="H2468" s="3">
        <v>41880</v>
      </c>
      <c r="I2468" s="4">
        <v>27960.5</v>
      </c>
    </row>
    <row r="2469" spans="1:9" x14ac:dyDescent="0.25">
      <c r="A2469" s="3">
        <v>41879</v>
      </c>
      <c r="B2469" s="4">
        <v>28075</v>
      </c>
      <c r="C2469" s="4">
        <v>27824</v>
      </c>
      <c r="D2469" s="4">
        <v>28178</v>
      </c>
      <c r="E2469" s="4">
        <v>27824</v>
      </c>
      <c r="F2469" s="4" t="str">
        <v>16.16K</v>
      </c>
      <c r="G2469" s="4" t="str">
        <v>1.06%</v>
      </c>
      <c r="H2469" s="3">
        <v>41879</v>
      </c>
      <c r="I2469" s="4">
        <v>28001</v>
      </c>
    </row>
    <row r="2470" spans="1:9" x14ac:dyDescent="0.25">
      <c r="A2470" s="3">
        <v>41878</v>
      </c>
      <c r="B2470" s="4">
        <v>27780</v>
      </c>
      <c r="C2470" s="4">
        <v>27863</v>
      </c>
      <c r="D2470" s="4">
        <v>27925</v>
      </c>
      <c r="E2470" s="4">
        <v>27765</v>
      </c>
      <c r="F2470" s="4" t="str">
        <v>9.90K</v>
      </c>
      <c r="G2470" s="4" t="str">
        <v>-0.41%</v>
      </c>
      <c r="H2470" s="3">
        <v>41878</v>
      </c>
      <c r="I2470" s="4">
        <v>27845</v>
      </c>
    </row>
    <row r="2471" spans="1:9" x14ac:dyDescent="0.25">
      <c r="A2471" s="3">
        <v>41877</v>
      </c>
      <c r="B2471" s="4">
        <v>27895</v>
      </c>
      <c r="C2471" s="4">
        <v>27813</v>
      </c>
      <c r="D2471" s="4">
        <v>28040</v>
      </c>
      <c r="E2471" s="4">
        <v>27804</v>
      </c>
      <c r="F2471" s="4" t="str">
        <v>14.07K</v>
      </c>
      <c r="G2471" s="4" t="str">
        <v>0.45%</v>
      </c>
      <c r="H2471" s="3">
        <v>41877</v>
      </c>
      <c r="I2471" s="4">
        <v>27922</v>
      </c>
    </row>
    <row r="2472" spans="1:9" x14ac:dyDescent="0.25">
      <c r="A2472" s="3">
        <v>41876</v>
      </c>
      <c r="B2472" s="4">
        <v>27771</v>
      </c>
      <c r="C2472" s="4">
        <v>27774</v>
      </c>
      <c r="D2472" s="4">
        <v>27848</v>
      </c>
      <c r="E2472" s="4">
        <v>27715</v>
      </c>
      <c r="F2472" s="4" t="str">
        <v>9.50K</v>
      </c>
      <c r="G2472" s="4" t="str">
        <v>-0.15%</v>
      </c>
      <c r="H2472" s="3">
        <v>41876</v>
      </c>
      <c r="I2472" s="4">
        <v>27781.5</v>
      </c>
    </row>
    <row r="2473" spans="1:9" x14ac:dyDescent="0.25">
      <c r="A2473" s="3">
        <v>41873</v>
      </c>
      <c r="B2473" s="4">
        <v>27813</v>
      </c>
      <c r="C2473" s="4">
        <v>27791</v>
      </c>
      <c r="D2473" s="4">
        <v>27880</v>
      </c>
      <c r="E2473" s="4">
        <v>27714</v>
      </c>
      <c r="F2473" s="4" t="str">
        <v>12.91K</v>
      </c>
      <c r="G2473" s="4" t="str">
        <v>0.24%</v>
      </c>
      <c r="H2473" s="3">
        <v>41873</v>
      </c>
      <c r="I2473" s="4">
        <v>27797</v>
      </c>
    </row>
    <row r="2474" spans="1:9" x14ac:dyDescent="0.25">
      <c r="A2474" s="3">
        <v>41872</v>
      </c>
      <c r="B2474" s="4">
        <v>27747</v>
      </c>
      <c r="C2474" s="4">
        <v>28161</v>
      </c>
      <c r="D2474" s="4">
        <v>28161</v>
      </c>
      <c r="E2474" s="4">
        <v>27704</v>
      </c>
      <c r="F2474" s="4" t="str">
        <v>18.71K</v>
      </c>
      <c r="G2474" s="4" t="str">
        <v>-1.65%</v>
      </c>
      <c r="H2474" s="3">
        <v>41872</v>
      </c>
      <c r="I2474" s="4">
        <v>27932.5</v>
      </c>
    </row>
    <row r="2475" spans="1:9" x14ac:dyDescent="0.25">
      <c r="A2475" s="3">
        <v>41871</v>
      </c>
      <c r="B2475" s="4">
        <v>28212</v>
      </c>
      <c r="C2475" s="4">
        <v>28258</v>
      </c>
      <c r="D2475" s="4">
        <v>28282</v>
      </c>
      <c r="E2475" s="4">
        <v>28150</v>
      </c>
      <c r="F2475" s="4" t="str">
        <v>11.13K</v>
      </c>
      <c r="G2475" s="4" t="str">
        <v>-0.14%</v>
      </c>
      <c r="H2475" s="3">
        <v>41871</v>
      </c>
      <c r="I2475" s="4">
        <v>28216</v>
      </c>
    </row>
    <row r="2476" spans="1:9" x14ac:dyDescent="0.25">
      <c r="A2476" s="3">
        <v>41870</v>
      </c>
      <c r="B2476" s="4">
        <v>28252</v>
      </c>
      <c r="C2476" s="4">
        <v>28321</v>
      </c>
      <c r="D2476" s="4">
        <v>28360</v>
      </c>
      <c r="E2476" s="4">
        <v>28204</v>
      </c>
      <c r="F2476" s="4" t="str">
        <v>11.11K</v>
      </c>
      <c r="G2476" s="4" t="str">
        <v>-0.15%</v>
      </c>
      <c r="H2476" s="3">
        <v>41870</v>
      </c>
      <c r="I2476" s="4">
        <v>28282</v>
      </c>
    </row>
    <row r="2477" spans="1:9" x14ac:dyDescent="0.25">
      <c r="A2477" s="3">
        <v>41869</v>
      </c>
      <c r="B2477" s="4">
        <v>28295</v>
      </c>
      <c r="C2477" s="4">
        <v>28505</v>
      </c>
      <c r="D2477" s="4">
        <v>28505</v>
      </c>
      <c r="E2477" s="4">
        <v>28256</v>
      </c>
      <c r="F2477" s="4" t="str">
        <v>9.91K</v>
      </c>
      <c r="G2477" s="4" t="str">
        <v>-1.11%</v>
      </c>
      <c r="H2477" s="3">
        <v>41869</v>
      </c>
      <c r="I2477" s="4">
        <v>28380.5</v>
      </c>
    </row>
    <row r="2478" spans="1:9" x14ac:dyDescent="0.25">
      <c r="A2478" s="3">
        <v>41865</v>
      </c>
      <c r="B2478" s="4">
        <v>28614</v>
      </c>
      <c r="C2478" s="4">
        <v>28682</v>
      </c>
      <c r="D2478" s="4">
        <v>28775</v>
      </c>
      <c r="E2478" s="4">
        <v>28501</v>
      </c>
      <c r="F2478" s="4" t="str">
        <v>15.01K</v>
      </c>
      <c r="G2478" s="4" t="str">
        <v>-0.26%</v>
      </c>
      <c r="H2478" s="3">
        <v>41865</v>
      </c>
      <c r="I2478" s="4">
        <v>28638</v>
      </c>
    </row>
    <row r="2479" spans="1:9" x14ac:dyDescent="0.25">
      <c r="A2479" s="3">
        <v>41864</v>
      </c>
      <c r="B2479" s="4">
        <v>28688</v>
      </c>
      <c r="C2479" s="4">
        <v>28640</v>
      </c>
      <c r="D2479" s="4">
        <v>28750</v>
      </c>
      <c r="E2479" s="4">
        <v>28587</v>
      </c>
      <c r="F2479" s="4" t="str">
        <v>13.94K</v>
      </c>
      <c r="G2479" s="4" t="str">
        <v>-0.15%</v>
      </c>
      <c r="H2479" s="3">
        <v>41864</v>
      </c>
      <c r="I2479" s="4">
        <v>28668.5</v>
      </c>
    </row>
    <row r="2480" spans="1:9" x14ac:dyDescent="0.25">
      <c r="A2480" s="3">
        <v>41863</v>
      </c>
      <c r="B2480" s="4">
        <v>28730</v>
      </c>
      <c r="C2480" s="4">
        <v>28561</v>
      </c>
      <c r="D2480" s="4">
        <v>28891</v>
      </c>
      <c r="E2480" s="4">
        <v>28550</v>
      </c>
      <c r="F2480" s="4" t="str">
        <v>13.18K</v>
      </c>
      <c r="G2480" s="4" t="str">
        <v>0.34%</v>
      </c>
      <c r="H2480" s="3">
        <v>41863</v>
      </c>
      <c r="I2480" s="4">
        <v>28720.5</v>
      </c>
    </row>
    <row r="2481" spans="1:9" x14ac:dyDescent="0.25">
      <c r="A2481" s="3">
        <v>41862</v>
      </c>
      <c r="B2481" s="4">
        <v>28633</v>
      </c>
      <c r="C2481" s="4">
        <v>28569</v>
      </c>
      <c r="D2481" s="4">
        <v>28693</v>
      </c>
      <c r="E2481" s="4">
        <v>28528</v>
      </c>
      <c r="F2481" s="4" t="str">
        <v>8.63K</v>
      </c>
      <c r="G2481" s="4" t="str">
        <v>0.12%</v>
      </c>
      <c r="H2481" s="3">
        <v>41862</v>
      </c>
      <c r="I2481" s="4">
        <v>28610.5</v>
      </c>
    </row>
    <row r="2482" spans="1:9" x14ac:dyDescent="0.25">
      <c r="A2482" s="3">
        <v>41861</v>
      </c>
      <c r="B2482" s="4">
        <v>28598</v>
      </c>
      <c r="C2482" s="4">
        <v>28598</v>
      </c>
      <c r="D2482" s="4">
        <v>28598</v>
      </c>
      <c r="E2482" s="4">
        <v>28598</v>
      </c>
      <c r="F2482" s="4" t="str">
        <v>0</v>
      </c>
      <c r="G2482" s="4" t="str">
        <v>-0.02%</v>
      </c>
      <c r="H2482" s="3">
        <v>41861</v>
      </c>
      <c r="I2482" s="4">
        <v>28598</v>
      </c>
    </row>
    <row r="2483" spans="1:9" x14ac:dyDescent="0.25">
      <c r="A2483" s="3">
        <v>41859</v>
      </c>
      <c r="B2483" s="4">
        <v>28604</v>
      </c>
      <c r="C2483" s="4">
        <v>28845</v>
      </c>
      <c r="D2483" s="4">
        <v>29085</v>
      </c>
      <c r="E2483" s="4">
        <v>28566</v>
      </c>
      <c r="F2483" s="4" t="str">
        <v>17.30K</v>
      </c>
      <c r="G2483" s="4" t="str">
        <v>-0.58%</v>
      </c>
      <c r="H2483" s="3">
        <v>41859</v>
      </c>
      <c r="I2483" s="4">
        <v>28825.5</v>
      </c>
    </row>
    <row r="2484" spans="1:9" x14ac:dyDescent="0.25">
      <c r="A2484" s="3">
        <v>41858</v>
      </c>
      <c r="B2484" s="4">
        <v>28770</v>
      </c>
      <c r="C2484" s="4">
        <v>28595</v>
      </c>
      <c r="D2484" s="4">
        <v>28836</v>
      </c>
      <c r="E2484" s="4">
        <v>28531</v>
      </c>
      <c r="F2484" s="4" t="str">
        <v>14.87K</v>
      </c>
      <c r="G2484" s="4" t="str">
        <v>0.48%</v>
      </c>
      <c r="H2484" s="3">
        <v>41858</v>
      </c>
      <c r="I2484" s="4">
        <v>28683.5</v>
      </c>
    </row>
    <row r="2485" spans="1:9" x14ac:dyDescent="0.25">
      <c r="A2485" s="3">
        <v>41857</v>
      </c>
      <c r="B2485" s="4">
        <v>28633</v>
      </c>
      <c r="C2485" s="4">
        <v>28175</v>
      </c>
      <c r="D2485" s="4">
        <v>28717</v>
      </c>
      <c r="E2485" s="4">
        <v>28175</v>
      </c>
      <c r="F2485" s="4" t="str">
        <v>18.79K</v>
      </c>
      <c r="G2485" s="4" t="str">
        <v>2.83%</v>
      </c>
      <c r="H2485" s="3">
        <v>41857</v>
      </c>
      <c r="I2485" s="4">
        <v>28446</v>
      </c>
    </row>
    <row r="2486" spans="1:9" x14ac:dyDescent="0.25">
      <c r="A2486" s="3">
        <v>41856</v>
      </c>
      <c r="B2486" s="4">
        <v>27844</v>
      </c>
      <c r="C2486" s="4">
        <v>27997</v>
      </c>
      <c r="D2486" s="4">
        <v>28035</v>
      </c>
      <c r="E2486" s="4">
        <v>27819</v>
      </c>
      <c r="F2486" s="4" t="str">
        <v>0.11K</v>
      </c>
      <c r="G2486" s="4" t="str">
        <v>-0.25%</v>
      </c>
      <c r="H2486" s="3">
        <v>41856</v>
      </c>
      <c r="I2486" s="4">
        <v>27927</v>
      </c>
    </row>
    <row r="2487" spans="1:9" x14ac:dyDescent="0.25">
      <c r="A2487" s="3">
        <v>41855</v>
      </c>
      <c r="B2487" s="4">
        <v>27915</v>
      </c>
      <c r="C2487" s="4">
        <v>28035</v>
      </c>
      <c r="D2487" s="4">
        <v>28099</v>
      </c>
      <c r="E2487" s="4">
        <v>27866</v>
      </c>
      <c r="F2487" s="4" t="str">
        <v>0.74K</v>
      </c>
      <c r="G2487" s="4" t="str">
        <v>-0.50%</v>
      </c>
      <c r="H2487" s="3">
        <v>41855</v>
      </c>
      <c r="I2487" s="4">
        <v>27982.5</v>
      </c>
    </row>
    <row r="2488" spans="1:9" x14ac:dyDescent="0.25">
      <c r="A2488" s="3">
        <v>41852</v>
      </c>
      <c r="B2488" s="4">
        <v>28054</v>
      </c>
      <c r="C2488" s="4">
        <v>27845</v>
      </c>
      <c r="D2488" s="4">
        <v>28123</v>
      </c>
      <c r="E2488" s="4">
        <v>27798</v>
      </c>
      <c r="F2488" s="4" t="str">
        <v>1.51K</v>
      </c>
      <c r="G2488" s="4" t="str">
        <v>0.85%</v>
      </c>
      <c r="H2488" s="3">
        <v>41852</v>
      </c>
      <c r="I2488" s="4">
        <v>27960.5</v>
      </c>
    </row>
    <row r="2489" spans="1:9" x14ac:dyDescent="0.25">
      <c r="A2489" s="3">
        <v>41851</v>
      </c>
      <c r="B2489" s="4">
        <v>27818</v>
      </c>
      <c r="C2489" s="4">
        <v>27805</v>
      </c>
      <c r="D2489" s="4">
        <v>27956</v>
      </c>
      <c r="E2489" s="4">
        <v>27752</v>
      </c>
      <c r="F2489" s="4" t="str">
        <v>10.46K</v>
      </c>
      <c r="G2489" s="4" t="str">
        <v>-0.42%</v>
      </c>
      <c r="H2489" s="3">
        <v>41851</v>
      </c>
      <c r="I2489" s="4">
        <v>27854</v>
      </c>
    </row>
    <row r="2490" spans="1:9" x14ac:dyDescent="0.25">
      <c r="A2490" s="3">
        <v>41850</v>
      </c>
      <c r="B2490" s="4">
        <v>27934</v>
      </c>
      <c r="C2490" s="4">
        <v>27853</v>
      </c>
      <c r="D2490" s="4">
        <v>27979</v>
      </c>
      <c r="E2490" s="4">
        <v>27723</v>
      </c>
      <c r="F2490" s="4" t="str">
        <v>12.49K</v>
      </c>
      <c r="G2490" s="4" t="str">
        <v>0.24%</v>
      </c>
      <c r="H2490" s="3">
        <v>41850</v>
      </c>
      <c r="I2490" s="4">
        <v>27851</v>
      </c>
    </row>
    <row r="2491" spans="1:9" x14ac:dyDescent="0.25">
      <c r="A2491" s="3">
        <v>41849</v>
      </c>
      <c r="B2491" s="4">
        <v>27866</v>
      </c>
      <c r="C2491" s="4">
        <v>28000</v>
      </c>
      <c r="D2491" s="4">
        <v>28090</v>
      </c>
      <c r="E2491" s="4">
        <v>27825</v>
      </c>
      <c r="F2491" s="4" t="str">
        <v>8.12K</v>
      </c>
      <c r="G2491" s="4" t="str">
        <v>-0.21%</v>
      </c>
      <c r="H2491" s="3">
        <v>41849</v>
      </c>
      <c r="I2491" s="4">
        <v>27957.5</v>
      </c>
    </row>
    <row r="2492" spans="1:9" x14ac:dyDescent="0.25">
      <c r="A2492" s="3">
        <v>41848</v>
      </c>
      <c r="B2492" s="4">
        <v>27926</v>
      </c>
      <c r="C2492" s="4">
        <v>28000</v>
      </c>
      <c r="D2492" s="4">
        <v>28035</v>
      </c>
      <c r="E2492" s="4">
        <v>27880</v>
      </c>
      <c r="F2492" s="4" t="str">
        <v>9.72K</v>
      </c>
      <c r="G2492" s="4" t="str">
        <v>-0.01%</v>
      </c>
      <c r="H2492" s="3">
        <v>41848</v>
      </c>
      <c r="I2492" s="4">
        <v>27957.5</v>
      </c>
    </row>
    <row r="2493" spans="1:9" x14ac:dyDescent="0.25">
      <c r="A2493" s="3">
        <v>41847</v>
      </c>
      <c r="B2493" s="4">
        <v>27928</v>
      </c>
      <c r="C2493" s="4">
        <v>27928</v>
      </c>
      <c r="D2493" s="4">
        <v>27928</v>
      </c>
      <c r="E2493" s="4">
        <v>27928</v>
      </c>
      <c r="F2493" s="4" t="str">
        <v>0</v>
      </c>
      <c r="G2493" s="4" t="str">
        <v>-0.04%</v>
      </c>
      <c r="H2493" s="3">
        <v>41847</v>
      </c>
      <c r="I2493" s="4">
        <v>27928</v>
      </c>
    </row>
    <row r="2494" spans="1:9" x14ac:dyDescent="0.25">
      <c r="A2494" s="3">
        <v>41845</v>
      </c>
      <c r="B2494" s="4">
        <v>27938</v>
      </c>
      <c r="C2494" s="4">
        <v>27661</v>
      </c>
      <c r="D2494" s="4">
        <v>27965</v>
      </c>
      <c r="E2494" s="4">
        <v>27651</v>
      </c>
      <c r="F2494" s="4" t="str">
        <v>11.20K</v>
      </c>
      <c r="G2494" s="4" t="str">
        <v>1.13%</v>
      </c>
      <c r="H2494" s="3">
        <v>41845</v>
      </c>
      <c r="I2494" s="4">
        <v>27808</v>
      </c>
    </row>
    <row r="2495" spans="1:9" x14ac:dyDescent="0.25">
      <c r="A2495" s="3">
        <v>41844</v>
      </c>
      <c r="B2495" s="4">
        <v>27626</v>
      </c>
      <c r="C2495" s="4">
        <v>27850</v>
      </c>
      <c r="D2495" s="4">
        <v>27850</v>
      </c>
      <c r="E2495" s="4">
        <v>27602</v>
      </c>
      <c r="F2495" s="4" t="str">
        <v>14.83K</v>
      </c>
      <c r="G2495" s="4" t="str">
        <v>-0.92%</v>
      </c>
      <c r="H2495" s="3">
        <v>41844</v>
      </c>
      <c r="I2495" s="4">
        <v>27726</v>
      </c>
    </row>
    <row r="2496" spans="1:9" x14ac:dyDescent="0.25">
      <c r="A2496" s="3">
        <v>41843</v>
      </c>
      <c r="B2496" s="4">
        <v>27882</v>
      </c>
      <c r="C2496" s="4">
        <v>27924</v>
      </c>
      <c r="D2496" s="4">
        <v>27995</v>
      </c>
      <c r="E2496" s="4">
        <v>27852</v>
      </c>
      <c r="F2496" s="4" t="str">
        <v>12.87K</v>
      </c>
      <c r="G2496" s="4" t="str">
        <v>-0.05%</v>
      </c>
      <c r="H2496" s="3">
        <v>41843</v>
      </c>
      <c r="I2496" s="4">
        <v>27923.5</v>
      </c>
    </row>
    <row r="2497" spans="1:9" x14ac:dyDescent="0.25">
      <c r="A2497" s="3">
        <v>41842</v>
      </c>
      <c r="B2497" s="4">
        <v>27895</v>
      </c>
      <c r="C2497" s="4">
        <v>28070</v>
      </c>
      <c r="D2497" s="4">
        <v>28087</v>
      </c>
      <c r="E2497" s="4">
        <v>27812</v>
      </c>
      <c r="F2497" s="4" t="str">
        <v>19.30K</v>
      </c>
      <c r="G2497" s="4" t="str">
        <v>-0.68%</v>
      </c>
      <c r="H2497" s="3">
        <v>41842</v>
      </c>
      <c r="I2497" s="4">
        <v>27949.5</v>
      </c>
    </row>
    <row r="2498" spans="1:9" x14ac:dyDescent="0.25">
      <c r="A2498" s="3">
        <v>41841</v>
      </c>
      <c r="B2498" s="4">
        <v>28087</v>
      </c>
      <c r="C2498" s="4">
        <v>28015</v>
      </c>
      <c r="D2498" s="4">
        <v>28217</v>
      </c>
      <c r="E2498" s="4">
        <v>27983</v>
      </c>
      <c r="F2498" s="4" t="str">
        <v>10.77K</v>
      </c>
      <c r="G2498" s="4" t="str">
        <v>0.32%</v>
      </c>
      <c r="H2498" s="3">
        <v>41841</v>
      </c>
      <c r="I2498" s="4">
        <v>28100</v>
      </c>
    </row>
    <row r="2499" spans="1:9" x14ac:dyDescent="0.25">
      <c r="A2499" s="3">
        <v>41840</v>
      </c>
      <c r="B2499" s="4">
        <v>27997</v>
      </c>
      <c r="C2499" s="4">
        <v>27997</v>
      </c>
      <c r="D2499" s="4">
        <v>27997</v>
      </c>
      <c r="E2499" s="4">
        <v>27997</v>
      </c>
      <c r="F2499" s="4" t="str">
        <v>0</v>
      </c>
      <c r="G2499" s="4" t="str">
        <v>0.01%</v>
      </c>
      <c r="H2499" s="3">
        <v>41840</v>
      </c>
      <c r="I2499" s="4">
        <v>27997</v>
      </c>
    </row>
    <row r="2500" spans="1:9" x14ac:dyDescent="0.25">
      <c r="A2500" s="3">
        <v>41838</v>
      </c>
      <c r="B2500" s="4">
        <v>27993</v>
      </c>
      <c r="C2500" s="4">
        <v>28158</v>
      </c>
      <c r="D2500" s="4">
        <v>28179</v>
      </c>
      <c r="E2500" s="4">
        <v>27917</v>
      </c>
      <c r="F2500" s="4" t="str">
        <v>12.64K</v>
      </c>
      <c r="G2500" s="4" t="str">
        <v>-0.73%</v>
      </c>
      <c r="H2500" s="3">
        <v>41838</v>
      </c>
      <c r="I2500" s="4">
        <v>28048</v>
      </c>
    </row>
    <row r="2501" spans="1:9" x14ac:dyDescent="0.25">
      <c r="A2501" s="3">
        <v>41837</v>
      </c>
      <c r="B2501" s="4">
        <v>28199</v>
      </c>
      <c r="C2501" s="4">
        <v>27745</v>
      </c>
      <c r="D2501" s="4">
        <v>28398</v>
      </c>
      <c r="E2501" s="4">
        <v>27743</v>
      </c>
      <c r="F2501" s="4" t="str">
        <v>24.02K</v>
      </c>
      <c r="G2501" s="4" t="str">
        <v>1.89%</v>
      </c>
      <c r="H2501" s="3">
        <v>41837</v>
      </c>
      <c r="I2501" s="4">
        <v>28070.5</v>
      </c>
    </row>
    <row r="2502" spans="1:9" x14ac:dyDescent="0.25">
      <c r="A2502" s="3">
        <v>41836</v>
      </c>
      <c r="B2502" s="4">
        <v>27676</v>
      </c>
      <c r="C2502" s="4">
        <v>27667</v>
      </c>
      <c r="D2502" s="4">
        <v>27735</v>
      </c>
      <c r="E2502" s="4">
        <v>27583</v>
      </c>
      <c r="F2502" s="4" t="str">
        <v>15.69K</v>
      </c>
      <c r="G2502" s="4" t="str">
        <v>0.10%</v>
      </c>
      <c r="H2502" s="3">
        <v>41836</v>
      </c>
      <c r="I2502" s="4">
        <v>27659</v>
      </c>
    </row>
    <row r="2503" spans="1:9" x14ac:dyDescent="0.25">
      <c r="A2503" s="3">
        <v>41835</v>
      </c>
      <c r="B2503" s="4">
        <v>27648</v>
      </c>
      <c r="C2503" s="4">
        <v>27857</v>
      </c>
      <c r="D2503" s="4">
        <v>27948</v>
      </c>
      <c r="E2503" s="4">
        <v>27587</v>
      </c>
      <c r="F2503" s="4" t="str">
        <v>18.72K</v>
      </c>
      <c r="G2503" s="4" t="str">
        <v>-0.41%</v>
      </c>
      <c r="H2503" s="3">
        <v>41835</v>
      </c>
      <c r="I2503" s="4">
        <v>27767.5</v>
      </c>
    </row>
    <row r="2504" spans="1:9" x14ac:dyDescent="0.25">
      <c r="A2504" s="3">
        <v>41834</v>
      </c>
      <c r="B2504" s="4">
        <v>27762</v>
      </c>
      <c r="C2504" s="4">
        <v>28221</v>
      </c>
      <c r="D2504" s="4">
        <v>28304</v>
      </c>
      <c r="E2504" s="4">
        <v>27726</v>
      </c>
      <c r="F2504" s="4" t="str">
        <v>19.03K</v>
      </c>
      <c r="G2504" s="4" t="str">
        <v>-1.97%</v>
      </c>
      <c r="H2504" s="3">
        <v>41834</v>
      </c>
      <c r="I2504" s="4">
        <v>28015</v>
      </c>
    </row>
    <row r="2505" spans="1:9" x14ac:dyDescent="0.25">
      <c r="A2505" s="3">
        <v>41833</v>
      </c>
      <c r="B2505" s="4">
        <v>28320</v>
      </c>
      <c r="C2505" s="4">
        <v>28320</v>
      </c>
      <c r="D2505" s="4">
        <v>28320</v>
      </c>
      <c r="E2505" s="4">
        <v>28320</v>
      </c>
      <c r="F2505" s="4" t="str">
        <v>0</v>
      </c>
      <c r="G2505" s="4" t="str">
        <v>0.00%</v>
      </c>
      <c r="H2505" s="3">
        <v>41833</v>
      </c>
      <c r="I2505" s="4">
        <v>28320</v>
      </c>
    </row>
    <row r="2506" spans="1:9" x14ac:dyDescent="0.25">
      <c r="A2506" s="3">
        <v>41832</v>
      </c>
      <c r="B2506" s="4">
        <v>28320</v>
      </c>
      <c r="C2506" s="4">
        <v>28320</v>
      </c>
      <c r="D2506" s="4">
        <v>28320</v>
      </c>
      <c r="E2506" s="4">
        <v>28320</v>
      </c>
      <c r="F2506" s="4" t="str">
        <v>0</v>
      </c>
      <c r="G2506" s="4" t="str">
        <v>-0.13%</v>
      </c>
      <c r="H2506" s="3">
        <v>41832</v>
      </c>
      <c r="I2506" s="4">
        <v>28320</v>
      </c>
    </row>
    <row r="2507" spans="1:9" x14ac:dyDescent="0.25">
      <c r="A2507" s="3">
        <v>41831</v>
      </c>
      <c r="B2507" s="4">
        <v>28356</v>
      </c>
      <c r="C2507" s="4">
        <v>28528</v>
      </c>
      <c r="D2507" s="4">
        <v>28528</v>
      </c>
      <c r="E2507" s="4">
        <v>28231</v>
      </c>
      <c r="F2507" s="4" t="str">
        <v>15.13K</v>
      </c>
      <c r="G2507" s="4" t="str">
        <v>-0.49%</v>
      </c>
      <c r="H2507" s="3">
        <v>41831</v>
      </c>
      <c r="I2507" s="4">
        <v>28379.5</v>
      </c>
    </row>
    <row r="2508" spans="1:9" x14ac:dyDescent="0.25">
      <c r="A2508" s="3">
        <v>41830</v>
      </c>
      <c r="B2508" s="4">
        <v>28496</v>
      </c>
      <c r="C2508" s="4">
        <v>27655</v>
      </c>
      <c r="D2508" s="4">
        <v>28589</v>
      </c>
      <c r="E2508" s="4">
        <v>27500</v>
      </c>
      <c r="F2508" s="4" t="str">
        <v>31.45K</v>
      </c>
      <c r="G2508" s="4" t="str">
        <v>3.20%</v>
      </c>
      <c r="H2508" s="3">
        <v>41830</v>
      </c>
      <c r="I2508" s="4">
        <v>28044.5</v>
      </c>
    </row>
    <row r="2509" spans="1:9" x14ac:dyDescent="0.25">
      <c r="A2509" s="3">
        <v>41829</v>
      </c>
      <c r="B2509" s="4">
        <v>27613</v>
      </c>
      <c r="C2509" s="4">
        <v>27545</v>
      </c>
      <c r="D2509" s="4">
        <v>27698</v>
      </c>
      <c r="E2509" s="4">
        <v>27544</v>
      </c>
      <c r="F2509" s="4" t="str">
        <v>12.58K</v>
      </c>
      <c r="G2509" s="4" t="str">
        <v>0.34%</v>
      </c>
      <c r="H2509" s="3">
        <v>41829</v>
      </c>
      <c r="I2509" s="4">
        <v>27621</v>
      </c>
    </row>
    <row r="2510" spans="1:9" x14ac:dyDescent="0.25">
      <c r="A2510" s="3">
        <v>41828</v>
      </c>
      <c r="B2510" s="4">
        <v>27519</v>
      </c>
      <c r="C2510" s="4">
        <v>27507</v>
      </c>
      <c r="D2510" s="4">
        <v>27629</v>
      </c>
      <c r="E2510" s="4">
        <v>27381</v>
      </c>
      <c r="F2510" s="4" t="str">
        <v>14.51K</v>
      </c>
      <c r="G2510" s="4" t="str">
        <v>0.11%</v>
      </c>
      <c r="H2510" s="3">
        <v>41828</v>
      </c>
      <c r="I2510" s="4">
        <v>27505</v>
      </c>
    </row>
    <row r="2511" spans="1:9" x14ac:dyDescent="0.25">
      <c r="A2511" s="3">
        <v>41827</v>
      </c>
      <c r="B2511" s="4">
        <v>27490</v>
      </c>
      <c r="C2511" s="4">
        <v>27482</v>
      </c>
      <c r="D2511" s="4">
        <v>27522</v>
      </c>
      <c r="E2511" s="4">
        <v>27382</v>
      </c>
      <c r="F2511" s="4" t="str">
        <v>9.74K</v>
      </c>
      <c r="G2511" s="4" t="str">
        <v>-0.24%</v>
      </c>
      <c r="H2511" s="3">
        <v>41827</v>
      </c>
      <c r="I2511" s="4">
        <v>27452</v>
      </c>
    </row>
    <row r="2512" spans="1:9" x14ac:dyDescent="0.25">
      <c r="A2512" s="3">
        <v>41824</v>
      </c>
      <c r="B2512" s="4">
        <v>27557</v>
      </c>
      <c r="C2512" s="4">
        <v>27487</v>
      </c>
      <c r="D2512" s="4">
        <v>27595</v>
      </c>
      <c r="E2512" s="4">
        <v>27451</v>
      </c>
      <c r="F2512" s="4" t="str">
        <v>9.49K</v>
      </c>
      <c r="G2512" s="4" t="str">
        <v>0.34%</v>
      </c>
      <c r="H2512" s="3">
        <v>41824</v>
      </c>
      <c r="I2512" s="4">
        <v>27523</v>
      </c>
    </row>
    <row r="2513" spans="1:9" x14ac:dyDescent="0.25">
      <c r="A2513" s="3">
        <v>41823</v>
      </c>
      <c r="B2513" s="4">
        <v>27464</v>
      </c>
      <c r="C2513" s="4">
        <v>27564</v>
      </c>
      <c r="D2513" s="4">
        <v>27634</v>
      </c>
      <c r="E2513" s="4">
        <v>27363</v>
      </c>
      <c r="F2513" s="4" t="str">
        <v>15.29K</v>
      </c>
      <c r="G2513" s="4" t="str">
        <v>-0.72%</v>
      </c>
      <c r="H2513" s="3">
        <v>41823</v>
      </c>
      <c r="I2513" s="4">
        <v>27498.5</v>
      </c>
    </row>
    <row r="2514" spans="1:9" x14ac:dyDescent="0.25">
      <c r="A2514" s="3">
        <v>41822</v>
      </c>
      <c r="B2514" s="4">
        <v>27663</v>
      </c>
      <c r="C2514" s="4">
        <v>27799</v>
      </c>
      <c r="D2514" s="4">
        <v>27800</v>
      </c>
      <c r="E2514" s="4">
        <v>27532</v>
      </c>
      <c r="F2514" s="4" t="str">
        <v>13.62K</v>
      </c>
      <c r="G2514" s="4" t="str">
        <v>-0.30%</v>
      </c>
      <c r="H2514" s="3">
        <v>41822</v>
      </c>
      <c r="I2514" s="4">
        <v>27666</v>
      </c>
    </row>
    <row r="2515" spans="1:9" x14ac:dyDescent="0.25">
      <c r="A2515" s="3">
        <v>41821</v>
      </c>
      <c r="B2515" s="4">
        <v>27746</v>
      </c>
      <c r="C2515" s="4">
        <v>27867</v>
      </c>
      <c r="D2515" s="4">
        <v>27940</v>
      </c>
      <c r="E2515" s="4">
        <v>27730</v>
      </c>
      <c r="F2515" s="4" t="str">
        <v>11.91K</v>
      </c>
      <c r="G2515" s="4" t="str">
        <v>-0.11%</v>
      </c>
      <c r="H2515" s="3">
        <v>41821</v>
      </c>
      <c r="I2515" s="4">
        <v>27835</v>
      </c>
    </row>
    <row r="2516" spans="1:9" x14ac:dyDescent="0.25">
      <c r="A2516" s="3">
        <v>41820</v>
      </c>
      <c r="B2516" s="4">
        <v>27776</v>
      </c>
      <c r="C2516" s="4">
        <v>27632</v>
      </c>
      <c r="D2516" s="4">
        <v>27850</v>
      </c>
      <c r="E2516" s="4">
        <v>27561</v>
      </c>
      <c r="F2516" s="4" t="str">
        <v>11.77K</v>
      </c>
      <c r="G2516" s="4" t="str">
        <v>0.38%</v>
      </c>
      <c r="H2516" s="3">
        <v>41820</v>
      </c>
      <c r="I2516" s="4">
        <v>27705.5</v>
      </c>
    </row>
    <row r="2517" spans="1:9" x14ac:dyDescent="0.25">
      <c r="A2517" s="3">
        <v>41817</v>
      </c>
      <c r="B2517" s="4">
        <v>27672</v>
      </c>
      <c r="C2517" s="4">
        <v>27705</v>
      </c>
      <c r="D2517" s="4">
        <v>27799</v>
      </c>
      <c r="E2517" s="4">
        <v>27605</v>
      </c>
      <c r="F2517" s="4" t="str">
        <v>10.95K</v>
      </c>
      <c r="G2517" s="4" t="str">
        <v>0.02%</v>
      </c>
      <c r="H2517" s="3">
        <v>41817</v>
      </c>
      <c r="I2517" s="4">
        <v>27702</v>
      </c>
    </row>
    <row r="2518" spans="1:9" x14ac:dyDescent="0.25">
      <c r="A2518" s="3">
        <v>41816</v>
      </c>
      <c r="B2518" s="4">
        <v>27667</v>
      </c>
      <c r="C2518" s="4">
        <v>27703</v>
      </c>
      <c r="D2518" s="4">
        <v>27748</v>
      </c>
      <c r="E2518" s="4">
        <v>27490</v>
      </c>
      <c r="F2518" s="4" t="str">
        <v>16.61K</v>
      </c>
      <c r="G2518" s="4" t="str">
        <v>-0.30%</v>
      </c>
      <c r="H2518" s="3">
        <v>41816</v>
      </c>
      <c r="I2518" s="4">
        <v>27619</v>
      </c>
    </row>
    <row r="2519" spans="1:9" x14ac:dyDescent="0.25">
      <c r="A2519" s="3">
        <v>41815</v>
      </c>
      <c r="B2519" s="4">
        <v>27751</v>
      </c>
      <c r="C2519" s="4">
        <v>27700</v>
      </c>
      <c r="D2519" s="4">
        <v>27820</v>
      </c>
      <c r="E2519" s="4">
        <v>27587</v>
      </c>
      <c r="F2519" s="4" t="str">
        <v>15.56K</v>
      </c>
      <c r="G2519" s="4" t="str">
        <v>0.07%</v>
      </c>
      <c r="H2519" s="3">
        <v>41815</v>
      </c>
      <c r="I2519" s="4">
        <v>27703.5</v>
      </c>
    </row>
    <row r="2520" spans="1:9" x14ac:dyDescent="0.25">
      <c r="A2520" s="3">
        <v>41814</v>
      </c>
      <c r="B2520" s="4">
        <v>27731</v>
      </c>
      <c r="C2520" s="4">
        <v>27641</v>
      </c>
      <c r="D2520" s="4">
        <v>27870</v>
      </c>
      <c r="E2520" s="4">
        <v>27585</v>
      </c>
      <c r="F2520" s="4" t="str">
        <v>15.40K</v>
      </c>
      <c r="G2520" s="4" t="str">
        <v>0.19%</v>
      </c>
      <c r="H2520" s="3">
        <v>41814</v>
      </c>
      <c r="I2520" s="4">
        <v>27727.5</v>
      </c>
    </row>
    <row r="2521" spans="1:9" x14ac:dyDescent="0.25">
      <c r="A2521" s="3">
        <v>41813</v>
      </c>
      <c r="B2521" s="4">
        <v>27678</v>
      </c>
      <c r="C2521" s="4">
        <v>27616</v>
      </c>
      <c r="D2521" s="4">
        <v>27746</v>
      </c>
      <c r="E2521" s="4">
        <v>27572</v>
      </c>
      <c r="F2521" s="4" t="str">
        <v>12.66K</v>
      </c>
      <c r="G2521" s="4" t="str">
        <v>0.04%</v>
      </c>
      <c r="H2521" s="3">
        <v>41813</v>
      </c>
      <c r="I2521" s="4">
        <v>27659</v>
      </c>
    </row>
    <row r="2522" spans="1:9" x14ac:dyDescent="0.25">
      <c r="A2522" s="3">
        <v>41810</v>
      </c>
      <c r="B2522" s="4">
        <v>27668</v>
      </c>
      <c r="C2522" s="4">
        <v>27636</v>
      </c>
      <c r="D2522" s="4">
        <v>27820</v>
      </c>
      <c r="E2522" s="4">
        <v>27468</v>
      </c>
      <c r="F2522" s="4" t="str">
        <v>18.35K</v>
      </c>
      <c r="G2522" s="4" t="str">
        <v>0.21%</v>
      </c>
      <c r="H2522" s="3">
        <v>41810</v>
      </c>
      <c r="I2522" s="4">
        <v>27644</v>
      </c>
    </row>
    <row r="2523" spans="1:9" x14ac:dyDescent="0.25">
      <c r="A2523" s="3">
        <v>41809</v>
      </c>
      <c r="B2523" s="4">
        <v>27611</v>
      </c>
      <c r="C2523" s="4">
        <v>26827</v>
      </c>
      <c r="D2523" s="4">
        <v>27653</v>
      </c>
      <c r="E2523" s="4">
        <v>26800</v>
      </c>
      <c r="F2523" s="4" t="str">
        <v>22.76K</v>
      </c>
      <c r="G2523" s="4" t="str">
        <v>2.93%</v>
      </c>
      <c r="H2523" s="3">
        <v>41809</v>
      </c>
      <c r="I2523" s="4">
        <v>27226.5</v>
      </c>
    </row>
    <row r="2524" spans="1:9" x14ac:dyDescent="0.25">
      <c r="A2524" s="3">
        <v>41808</v>
      </c>
      <c r="B2524" s="4">
        <v>26826</v>
      </c>
      <c r="C2524" s="4">
        <v>26787</v>
      </c>
      <c r="D2524" s="4">
        <v>26964</v>
      </c>
      <c r="E2524" s="4">
        <v>26690</v>
      </c>
      <c r="F2524" s="4" t="str">
        <v>16.09K</v>
      </c>
      <c r="G2524" s="4" t="str">
        <v>-0.05%</v>
      </c>
      <c r="H2524" s="3">
        <v>41808</v>
      </c>
      <c r="I2524" s="4">
        <v>26827</v>
      </c>
    </row>
    <row r="2525" spans="1:9" x14ac:dyDescent="0.25">
      <c r="A2525" s="3">
        <v>41807</v>
      </c>
      <c r="B2525" s="4">
        <v>26839</v>
      </c>
      <c r="C2525" s="4">
        <v>26775</v>
      </c>
      <c r="D2525" s="4">
        <v>26904</v>
      </c>
      <c r="E2525" s="4">
        <v>26550</v>
      </c>
      <c r="F2525" s="4" t="str">
        <v>17.66K</v>
      </c>
      <c r="G2525" s="4" t="str">
        <v>0.03%</v>
      </c>
      <c r="H2525" s="3">
        <v>41807</v>
      </c>
      <c r="I2525" s="4">
        <v>26727</v>
      </c>
    </row>
    <row r="2526" spans="1:9" x14ac:dyDescent="0.25">
      <c r="A2526" s="3">
        <v>41806</v>
      </c>
      <c r="B2526" s="4">
        <v>26831</v>
      </c>
      <c r="C2526" s="4">
        <v>26650</v>
      </c>
      <c r="D2526" s="4">
        <v>27035</v>
      </c>
      <c r="E2526" s="4">
        <v>26650</v>
      </c>
      <c r="F2526" s="4" t="str">
        <v>15.25K</v>
      </c>
      <c r="G2526" s="4" t="str">
        <v>0.77%</v>
      </c>
      <c r="H2526" s="3">
        <v>41806</v>
      </c>
      <c r="I2526" s="4">
        <v>26842.5</v>
      </c>
    </row>
    <row r="2527" spans="1:9" x14ac:dyDescent="0.25">
      <c r="A2527" s="3">
        <v>41803</v>
      </c>
      <c r="B2527" s="4">
        <v>26627</v>
      </c>
      <c r="C2527" s="4">
        <v>26362</v>
      </c>
      <c r="D2527" s="4">
        <v>26660</v>
      </c>
      <c r="E2527" s="4">
        <v>26321</v>
      </c>
      <c r="F2527" s="4" t="str">
        <v>12.97K</v>
      </c>
      <c r="G2527" s="4" t="str">
        <v>1.13%</v>
      </c>
      <c r="H2527" s="3">
        <v>41803</v>
      </c>
      <c r="I2527" s="4">
        <v>26490.5</v>
      </c>
    </row>
    <row r="2528" spans="1:9" x14ac:dyDescent="0.25">
      <c r="A2528" s="3">
        <v>41802</v>
      </c>
      <c r="B2528" s="4">
        <v>26330</v>
      </c>
      <c r="C2528" s="4">
        <v>26077</v>
      </c>
      <c r="D2528" s="4">
        <v>26360</v>
      </c>
      <c r="E2528" s="4">
        <v>25980</v>
      </c>
      <c r="F2528" s="4" t="str">
        <v>14.80K</v>
      </c>
      <c r="G2528" s="4" t="str">
        <v>0.99%</v>
      </c>
      <c r="H2528" s="3">
        <v>41802</v>
      </c>
      <c r="I2528" s="4">
        <v>26170</v>
      </c>
    </row>
    <row r="2529" spans="1:9" x14ac:dyDescent="0.25">
      <c r="A2529" s="3">
        <v>41801</v>
      </c>
      <c r="B2529" s="4">
        <v>26073</v>
      </c>
      <c r="C2529" s="4">
        <v>26189</v>
      </c>
      <c r="D2529" s="4">
        <v>26199</v>
      </c>
      <c r="E2529" s="4">
        <v>25956</v>
      </c>
      <c r="F2529" s="4" t="str">
        <v>13.03K</v>
      </c>
      <c r="G2529" s="4" t="str">
        <v>-0.25%</v>
      </c>
      <c r="H2529" s="3">
        <v>41801</v>
      </c>
      <c r="I2529" s="4">
        <v>26077.5</v>
      </c>
    </row>
    <row r="2530" spans="1:9" x14ac:dyDescent="0.25">
      <c r="A2530" s="3">
        <v>41800</v>
      </c>
      <c r="B2530" s="4">
        <v>26139</v>
      </c>
      <c r="C2530" s="4">
        <v>25984</v>
      </c>
      <c r="D2530" s="4">
        <v>26164</v>
      </c>
      <c r="E2530" s="4">
        <v>25951</v>
      </c>
      <c r="F2530" s="4" t="str">
        <v>12.11K</v>
      </c>
      <c r="G2530" s="4" t="str">
        <v>0.60%</v>
      </c>
      <c r="H2530" s="3">
        <v>41800</v>
      </c>
      <c r="I2530" s="4">
        <v>26057.5</v>
      </c>
    </row>
    <row r="2531" spans="1:9" x14ac:dyDescent="0.25">
      <c r="A2531" s="3">
        <v>41799</v>
      </c>
      <c r="B2531" s="4">
        <v>25982</v>
      </c>
      <c r="C2531" s="4">
        <v>25825</v>
      </c>
      <c r="D2531" s="4">
        <v>26010</v>
      </c>
      <c r="E2531" s="4">
        <v>25811</v>
      </c>
      <c r="F2531" s="4" t="str">
        <v>8.52K</v>
      </c>
      <c r="G2531" s="4" t="str">
        <v>0.46%</v>
      </c>
      <c r="H2531" s="3">
        <v>41799</v>
      </c>
      <c r="I2531" s="4">
        <v>25910.5</v>
      </c>
    </row>
    <row r="2532" spans="1:9" x14ac:dyDescent="0.25">
      <c r="A2532" s="3">
        <v>41796</v>
      </c>
      <c r="B2532" s="4">
        <v>25863</v>
      </c>
      <c r="C2532" s="4">
        <v>25936</v>
      </c>
      <c r="D2532" s="4">
        <v>25988</v>
      </c>
      <c r="E2532" s="4">
        <v>25755</v>
      </c>
      <c r="F2532" s="4" t="str">
        <v>11.75K</v>
      </c>
      <c r="G2532" s="4" t="str">
        <v>-3.83%</v>
      </c>
      <c r="H2532" s="3">
        <v>41796</v>
      </c>
      <c r="I2532" s="4">
        <v>25871.5</v>
      </c>
    </row>
    <row r="2533" spans="1:9" x14ac:dyDescent="0.25">
      <c r="A2533" s="3">
        <v>41795</v>
      </c>
      <c r="B2533" s="4">
        <v>26894</v>
      </c>
      <c r="C2533" s="4">
        <v>26615</v>
      </c>
      <c r="D2533" s="4">
        <v>26970</v>
      </c>
      <c r="E2533" s="4">
        <v>26511</v>
      </c>
      <c r="F2533" s="4" t="str">
        <v>0.15K</v>
      </c>
      <c r="G2533" s="4" t="str">
        <v>0.96%</v>
      </c>
      <c r="H2533" s="3">
        <v>41795</v>
      </c>
      <c r="I2533" s="4">
        <v>26740.5</v>
      </c>
    </row>
    <row r="2534" spans="1:9" x14ac:dyDescent="0.25">
      <c r="A2534" s="3">
        <v>41794</v>
      </c>
      <c r="B2534" s="4">
        <v>26639</v>
      </c>
      <c r="C2534" s="4">
        <v>26769</v>
      </c>
      <c r="D2534" s="4">
        <v>26799</v>
      </c>
      <c r="E2534" s="4">
        <v>26631</v>
      </c>
      <c r="F2534" s="4" t="str">
        <v>0.23K</v>
      </c>
      <c r="G2534" s="4" t="str">
        <v>-0.36%</v>
      </c>
      <c r="H2534" s="3">
        <v>41794</v>
      </c>
      <c r="I2534" s="4">
        <v>26715</v>
      </c>
    </row>
    <row r="2535" spans="1:9" x14ac:dyDescent="0.25">
      <c r="A2535" s="3">
        <v>41793</v>
      </c>
      <c r="B2535" s="4">
        <v>26735</v>
      </c>
      <c r="C2535" s="4">
        <v>26690</v>
      </c>
      <c r="D2535" s="4">
        <v>26875</v>
      </c>
      <c r="E2535" s="4">
        <v>26635</v>
      </c>
      <c r="F2535" s="4" t="str">
        <v>0.43K</v>
      </c>
      <c r="G2535" s="4" t="str">
        <v>0.13%</v>
      </c>
      <c r="H2535" s="3">
        <v>41793</v>
      </c>
      <c r="I2535" s="4">
        <v>26755</v>
      </c>
    </row>
    <row r="2536" spans="1:9" x14ac:dyDescent="0.25">
      <c r="A2536" s="3">
        <v>41792</v>
      </c>
      <c r="B2536" s="4">
        <v>26701</v>
      </c>
      <c r="C2536" s="4">
        <v>26830</v>
      </c>
      <c r="D2536" s="4">
        <v>26939</v>
      </c>
      <c r="E2536" s="4">
        <v>26655</v>
      </c>
      <c r="F2536" s="4" t="str">
        <v>2.12K</v>
      </c>
      <c r="G2536" s="4" t="str">
        <v>-0.60%</v>
      </c>
      <c r="H2536" s="3">
        <v>41792</v>
      </c>
      <c r="I2536" s="4">
        <v>26797</v>
      </c>
    </row>
    <row r="2537" spans="1:9" x14ac:dyDescent="0.25">
      <c r="A2537" s="3">
        <v>41789</v>
      </c>
      <c r="B2537" s="4">
        <v>26863</v>
      </c>
      <c r="C2537" s="4">
        <v>26816</v>
      </c>
      <c r="D2537" s="4">
        <v>26910</v>
      </c>
      <c r="E2537" s="4">
        <v>26709</v>
      </c>
      <c r="F2537" s="4" t="str">
        <v>10.40K</v>
      </c>
      <c r="G2537" s="4" t="str">
        <v>0.12%</v>
      </c>
      <c r="H2537" s="3">
        <v>41789</v>
      </c>
      <c r="I2537" s="4">
        <v>26809.5</v>
      </c>
    </row>
    <row r="2538" spans="1:9" x14ac:dyDescent="0.25">
      <c r="A2538" s="3">
        <v>41788</v>
      </c>
      <c r="B2538" s="4">
        <v>26830</v>
      </c>
      <c r="C2538" s="4">
        <v>26807</v>
      </c>
      <c r="D2538" s="4">
        <v>26945</v>
      </c>
      <c r="E2538" s="4">
        <v>26560</v>
      </c>
      <c r="F2538" s="4" t="str">
        <v>16.63K</v>
      </c>
      <c r="G2538" s="4" t="str">
        <v>-0.01%</v>
      </c>
      <c r="H2538" s="3">
        <v>41788</v>
      </c>
      <c r="I2538" s="4">
        <v>26752.5</v>
      </c>
    </row>
    <row r="2539" spans="1:9" x14ac:dyDescent="0.25">
      <c r="A2539" s="3">
        <v>41787</v>
      </c>
      <c r="B2539" s="4">
        <v>26834</v>
      </c>
      <c r="C2539" s="4">
        <v>26937</v>
      </c>
      <c r="D2539" s="4">
        <v>26970</v>
      </c>
      <c r="E2539" s="4">
        <v>26735</v>
      </c>
      <c r="F2539" s="4" t="str">
        <v>15.03K</v>
      </c>
      <c r="G2539" s="4" t="str">
        <v>-0.46%</v>
      </c>
      <c r="H2539" s="3">
        <v>41787</v>
      </c>
      <c r="I2539" s="4">
        <v>26852.5</v>
      </c>
    </row>
    <row r="2540" spans="1:9" x14ac:dyDescent="0.25">
      <c r="A2540" s="3">
        <v>41786</v>
      </c>
      <c r="B2540" s="4">
        <v>26958</v>
      </c>
      <c r="C2540" s="4">
        <v>27525</v>
      </c>
      <c r="D2540" s="4">
        <v>27525</v>
      </c>
      <c r="E2540" s="4">
        <v>26875</v>
      </c>
      <c r="F2540" s="4" t="str">
        <v>18.14K</v>
      </c>
      <c r="G2540" s="4" t="str">
        <v>-1.91%</v>
      </c>
      <c r="H2540" s="3">
        <v>41786</v>
      </c>
      <c r="I2540" s="4">
        <v>27200</v>
      </c>
    </row>
    <row r="2541" spans="1:9" x14ac:dyDescent="0.25">
      <c r="A2541" s="3">
        <v>41785</v>
      </c>
      <c r="B2541" s="4">
        <v>27483</v>
      </c>
      <c r="C2541" s="4">
        <v>27325</v>
      </c>
      <c r="D2541" s="4">
        <v>27500</v>
      </c>
      <c r="E2541" s="4">
        <v>27292</v>
      </c>
      <c r="F2541" s="4" t="str">
        <v>7.55K</v>
      </c>
      <c r="G2541" s="4" t="str">
        <v>0.49%</v>
      </c>
      <c r="H2541" s="3">
        <v>41785</v>
      </c>
      <c r="I2541" s="4">
        <v>27396</v>
      </c>
    </row>
    <row r="2542" spans="1:9" x14ac:dyDescent="0.25">
      <c r="A2542" s="3">
        <v>41782</v>
      </c>
      <c r="B2542" s="4">
        <v>27349</v>
      </c>
      <c r="C2542" s="4">
        <v>27295</v>
      </c>
      <c r="D2542" s="4">
        <v>27395</v>
      </c>
      <c r="E2542" s="4">
        <v>27155</v>
      </c>
      <c r="F2542" s="4" t="str">
        <v>10.26K</v>
      </c>
      <c r="G2542" s="4" t="str">
        <v>0.40%</v>
      </c>
      <c r="H2542" s="3">
        <v>41782</v>
      </c>
      <c r="I2542" s="4">
        <v>27275</v>
      </c>
    </row>
    <row r="2543" spans="1:9" x14ac:dyDescent="0.25">
      <c r="A2543" s="3">
        <v>41781</v>
      </c>
      <c r="B2543" s="4">
        <v>27241</v>
      </c>
      <c r="C2543" s="4">
        <v>27300</v>
      </c>
      <c r="D2543" s="4">
        <v>27520</v>
      </c>
      <c r="E2543" s="4">
        <v>27100</v>
      </c>
      <c r="F2543" s="4" t="str">
        <v>19.99K</v>
      </c>
      <c r="G2543" s="4" t="str">
        <v>-0.48%</v>
      </c>
      <c r="H2543" s="3">
        <v>41781</v>
      </c>
      <c r="I2543" s="4">
        <v>27310</v>
      </c>
    </row>
    <row r="2544" spans="1:9" x14ac:dyDescent="0.25">
      <c r="A2544" s="3">
        <v>41780</v>
      </c>
      <c r="B2544" s="4">
        <v>27373</v>
      </c>
      <c r="C2544" s="4">
        <v>28245</v>
      </c>
      <c r="D2544" s="4">
        <v>28277</v>
      </c>
      <c r="E2544" s="4">
        <v>27341</v>
      </c>
      <c r="F2544" s="4" t="str">
        <v>24.05K</v>
      </c>
      <c r="G2544" s="4" t="str">
        <v>-2.88%</v>
      </c>
      <c r="H2544" s="3">
        <v>41780</v>
      </c>
      <c r="I2544" s="4">
        <v>27809</v>
      </c>
    </row>
    <row r="2545" spans="1:9" x14ac:dyDescent="0.25">
      <c r="A2545" s="3">
        <v>41779</v>
      </c>
      <c r="B2545" s="4">
        <v>28186</v>
      </c>
      <c r="C2545" s="4">
        <v>28120</v>
      </c>
      <c r="D2545" s="4">
        <v>28245</v>
      </c>
      <c r="E2545" s="4">
        <v>28062</v>
      </c>
      <c r="F2545" s="4" t="str">
        <v>11.38K</v>
      </c>
      <c r="G2545" s="4" t="str">
        <v>0.15%</v>
      </c>
      <c r="H2545" s="3">
        <v>41779</v>
      </c>
      <c r="I2545" s="4">
        <v>28153.5</v>
      </c>
    </row>
    <row r="2546" spans="1:9" x14ac:dyDescent="0.25">
      <c r="A2546" s="3">
        <v>41778</v>
      </c>
      <c r="B2546" s="4">
        <v>28144</v>
      </c>
      <c r="C2546" s="4">
        <v>28050</v>
      </c>
      <c r="D2546" s="4">
        <v>28299</v>
      </c>
      <c r="E2546" s="4">
        <v>28030</v>
      </c>
      <c r="F2546" s="4" t="str">
        <v>10.63K</v>
      </c>
      <c r="G2546" s="4" t="str">
        <v>0.20%</v>
      </c>
      <c r="H2546" s="3">
        <v>41778</v>
      </c>
      <c r="I2546" s="4">
        <v>28164.5</v>
      </c>
    </row>
    <row r="2547" spans="1:9" x14ac:dyDescent="0.25">
      <c r="A2547" s="3">
        <v>41775</v>
      </c>
      <c r="B2547" s="4">
        <v>28089</v>
      </c>
      <c r="C2547" s="4">
        <v>28351</v>
      </c>
      <c r="D2547" s="4">
        <v>28351</v>
      </c>
      <c r="E2547" s="4">
        <v>28014</v>
      </c>
      <c r="F2547" s="4" t="str">
        <v>11.33K</v>
      </c>
      <c r="G2547" s="4" t="str">
        <v>-1.12%</v>
      </c>
      <c r="H2547" s="3">
        <v>41775</v>
      </c>
      <c r="I2547" s="4">
        <v>28182.5</v>
      </c>
    </row>
    <row r="2548" spans="1:9" x14ac:dyDescent="0.25">
      <c r="A2548" s="3">
        <v>41774</v>
      </c>
      <c r="B2548" s="4">
        <v>28408</v>
      </c>
      <c r="C2548" s="4">
        <v>28680</v>
      </c>
      <c r="D2548" s="4">
        <v>28686</v>
      </c>
      <c r="E2548" s="4">
        <v>28375</v>
      </c>
      <c r="F2548" s="4" t="str">
        <v>13.25K</v>
      </c>
      <c r="G2548" s="4" t="str">
        <v>-1.03%</v>
      </c>
      <c r="H2548" s="3">
        <v>41774</v>
      </c>
      <c r="I2548" s="4">
        <v>28530.5</v>
      </c>
    </row>
    <row r="2549" spans="1:9" x14ac:dyDescent="0.25">
      <c r="A2549" s="3">
        <v>41773</v>
      </c>
      <c r="B2549" s="4">
        <v>28704</v>
      </c>
      <c r="C2549" s="4">
        <v>28599</v>
      </c>
      <c r="D2549" s="4">
        <v>28749</v>
      </c>
      <c r="E2549" s="4">
        <v>28599</v>
      </c>
      <c r="F2549" s="4" t="str">
        <v>7.20K</v>
      </c>
      <c r="G2549" s="4" t="str">
        <v>0.85%</v>
      </c>
      <c r="H2549" s="3">
        <v>41773</v>
      </c>
      <c r="I2549" s="4">
        <v>28674</v>
      </c>
    </row>
    <row r="2550" spans="1:9" x14ac:dyDescent="0.25">
      <c r="A2550" s="3">
        <v>41772</v>
      </c>
      <c r="B2550" s="4">
        <v>28462</v>
      </c>
      <c r="C2550" s="4">
        <v>28590</v>
      </c>
      <c r="D2550" s="4">
        <v>28650</v>
      </c>
      <c r="E2550" s="4">
        <v>28432</v>
      </c>
      <c r="F2550" s="4" t="str">
        <v>10.63K</v>
      </c>
      <c r="G2550" s="4" t="str">
        <v>-0.58%</v>
      </c>
      <c r="H2550" s="3">
        <v>41772</v>
      </c>
      <c r="I2550" s="4">
        <v>28541</v>
      </c>
    </row>
    <row r="2551" spans="1:9" x14ac:dyDescent="0.25">
      <c r="A2551" s="3">
        <v>41771</v>
      </c>
      <c r="B2551" s="4">
        <v>28628</v>
      </c>
      <c r="C2551" s="4">
        <v>28474</v>
      </c>
      <c r="D2551" s="4">
        <v>28798</v>
      </c>
      <c r="E2551" s="4">
        <v>28350</v>
      </c>
      <c r="F2551" s="4" t="str">
        <v>12.06K</v>
      </c>
      <c r="G2551" s="4" t="str">
        <v>0.36%</v>
      </c>
      <c r="H2551" s="3">
        <v>41771</v>
      </c>
      <c r="I2551" s="4">
        <v>28574</v>
      </c>
    </row>
    <row r="2552" spans="1:9" x14ac:dyDescent="0.25">
      <c r="A2552" s="3">
        <v>41768</v>
      </c>
      <c r="B2552" s="4">
        <v>28525</v>
      </c>
      <c r="C2552" s="4">
        <v>28589</v>
      </c>
      <c r="D2552" s="4">
        <v>28648</v>
      </c>
      <c r="E2552" s="4">
        <v>28487</v>
      </c>
      <c r="F2552" s="4" t="str">
        <v>9.27K</v>
      </c>
      <c r="G2552" s="4" t="str">
        <v>0.01%</v>
      </c>
      <c r="H2552" s="3">
        <v>41768</v>
      </c>
      <c r="I2552" s="4">
        <v>28567.5</v>
      </c>
    </row>
    <row r="2553" spans="1:9" x14ac:dyDescent="0.25">
      <c r="A2553" s="3">
        <v>41767</v>
      </c>
      <c r="B2553" s="4">
        <v>28523</v>
      </c>
      <c r="C2553" s="4">
        <v>28555</v>
      </c>
      <c r="D2553" s="4">
        <v>28624</v>
      </c>
      <c r="E2553" s="4">
        <v>28452</v>
      </c>
      <c r="F2553" s="4" t="str">
        <v>10.91K</v>
      </c>
      <c r="G2553" s="4" t="str">
        <v>0.01%</v>
      </c>
      <c r="H2553" s="3">
        <v>41767</v>
      </c>
      <c r="I2553" s="4">
        <v>28538</v>
      </c>
    </row>
    <row r="2554" spans="1:9" x14ac:dyDescent="0.25">
      <c r="A2554" s="3">
        <v>41766</v>
      </c>
      <c r="B2554" s="4">
        <v>28520</v>
      </c>
      <c r="C2554" s="4">
        <v>28943</v>
      </c>
      <c r="D2554" s="4">
        <v>29036</v>
      </c>
      <c r="E2554" s="4">
        <v>28505</v>
      </c>
      <c r="F2554" s="4" t="str">
        <v>15.59K</v>
      </c>
      <c r="G2554" s="4" t="str">
        <v>-1.27%</v>
      </c>
      <c r="H2554" s="3">
        <v>41766</v>
      </c>
      <c r="I2554" s="4">
        <v>28770.5</v>
      </c>
    </row>
    <row r="2555" spans="1:9" x14ac:dyDescent="0.25">
      <c r="A2555" s="3">
        <v>41765</v>
      </c>
      <c r="B2555" s="4">
        <v>28887</v>
      </c>
      <c r="C2555" s="4">
        <v>28913</v>
      </c>
      <c r="D2555" s="4">
        <v>28959</v>
      </c>
      <c r="E2555" s="4">
        <v>28834</v>
      </c>
      <c r="F2555" s="4" t="str">
        <v>10.60K</v>
      </c>
      <c r="G2555" s="4" t="str">
        <v>-0.17%</v>
      </c>
      <c r="H2555" s="3">
        <v>41765</v>
      </c>
      <c r="I2555" s="4">
        <v>28896.5</v>
      </c>
    </row>
    <row r="2556" spans="1:9" x14ac:dyDescent="0.25">
      <c r="A2556" s="3">
        <v>41764</v>
      </c>
      <c r="B2556" s="4">
        <v>28935</v>
      </c>
      <c r="C2556" s="4">
        <v>28920</v>
      </c>
      <c r="D2556" s="4">
        <v>29039</v>
      </c>
      <c r="E2556" s="4">
        <v>28875</v>
      </c>
      <c r="F2556" s="4" t="str">
        <v>10.10K</v>
      </c>
      <c r="G2556" s="4" t="str">
        <v>0.22%</v>
      </c>
      <c r="H2556" s="3">
        <v>41764</v>
      </c>
      <c r="I2556" s="4">
        <v>28957</v>
      </c>
    </row>
    <row r="2557" spans="1:9" x14ac:dyDescent="0.25">
      <c r="A2557" s="3">
        <v>41761</v>
      </c>
      <c r="B2557" s="4">
        <v>28871</v>
      </c>
      <c r="C2557" s="4">
        <v>28597</v>
      </c>
      <c r="D2557" s="4">
        <v>28889</v>
      </c>
      <c r="E2557" s="4">
        <v>28420</v>
      </c>
      <c r="F2557" s="4" t="str">
        <v>16.14K</v>
      </c>
      <c r="G2557" s="4" t="str">
        <v>1.02%</v>
      </c>
      <c r="H2557" s="3">
        <v>41761</v>
      </c>
      <c r="I2557" s="4">
        <v>28654.5</v>
      </c>
    </row>
    <row r="2558" spans="1:9" x14ac:dyDescent="0.25">
      <c r="A2558" s="3">
        <v>41760</v>
      </c>
      <c r="B2558" s="4">
        <v>28580</v>
      </c>
      <c r="C2558" s="4">
        <v>28825</v>
      </c>
      <c r="D2558" s="4">
        <v>28825</v>
      </c>
      <c r="E2558" s="4">
        <v>28510</v>
      </c>
      <c r="F2558" s="4" t="str">
        <v>9.00K</v>
      </c>
      <c r="G2558" s="4" t="str">
        <v>-1.06%</v>
      </c>
      <c r="H2558" s="3">
        <v>41760</v>
      </c>
      <c r="I2558" s="4">
        <v>28667.5</v>
      </c>
    </row>
    <row r="2559" spans="1:9" x14ac:dyDescent="0.25">
      <c r="A2559" s="3">
        <v>41759</v>
      </c>
      <c r="B2559" s="4">
        <v>28887</v>
      </c>
      <c r="C2559" s="4">
        <v>28725</v>
      </c>
      <c r="D2559" s="4">
        <v>28972</v>
      </c>
      <c r="E2559" s="4">
        <v>28583</v>
      </c>
      <c r="F2559" s="4" t="str">
        <v>17.10K</v>
      </c>
      <c r="G2559" s="4" t="str">
        <v>0.48%</v>
      </c>
      <c r="H2559" s="3">
        <v>41759</v>
      </c>
      <c r="I2559" s="4">
        <v>28777.5</v>
      </c>
    </row>
    <row r="2560" spans="1:9" x14ac:dyDescent="0.25">
      <c r="A2560" s="3">
        <v>41758</v>
      </c>
      <c r="B2560" s="4">
        <v>28750</v>
      </c>
      <c r="C2560" s="4">
        <v>28902</v>
      </c>
      <c r="D2560" s="4">
        <v>28902</v>
      </c>
      <c r="E2560" s="4">
        <v>28691</v>
      </c>
      <c r="F2560" s="4" t="str">
        <v>15.62K</v>
      </c>
      <c r="G2560" s="4" t="str">
        <v>-0.76%</v>
      </c>
      <c r="H2560" s="3">
        <v>41758</v>
      </c>
      <c r="I2560" s="4">
        <v>28796.5</v>
      </c>
    </row>
    <row r="2561" spans="1:9" x14ac:dyDescent="0.25">
      <c r="A2561" s="3">
        <v>41757</v>
      </c>
      <c r="B2561" s="4">
        <v>28970</v>
      </c>
      <c r="C2561" s="4">
        <v>28980</v>
      </c>
      <c r="D2561" s="4">
        <v>29020</v>
      </c>
      <c r="E2561" s="4">
        <v>28875</v>
      </c>
      <c r="F2561" s="4" t="str">
        <v>10.38K</v>
      </c>
      <c r="G2561" s="4" t="str">
        <v>0.25%</v>
      </c>
      <c r="H2561" s="3">
        <v>41757</v>
      </c>
      <c r="I2561" s="4">
        <v>28947.5</v>
      </c>
    </row>
    <row r="2562" spans="1:9" x14ac:dyDescent="0.25">
      <c r="A2562" s="3">
        <v>41756</v>
      </c>
      <c r="B2562" s="4">
        <v>28898</v>
      </c>
      <c r="C2562" s="4">
        <v>28898</v>
      </c>
      <c r="D2562" s="4">
        <v>28898</v>
      </c>
      <c r="E2562" s="4">
        <v>28898</v>
      </c>
      <c r="F2562" s="4" t="str">
        <v>0</v>
      </c>
      <c r="G2562" s="4" t="str">
        <v>-0.02%</v>
      </c>
      <c r="H2562" s="3">
        <v>41756</v>
      </c>
      <c r="I2562" s="4">
        <v>28898</v>
      </c>
    </row>
    <row r="2563" spans="1:9" x14ac:dyDescent="0.25">
      <c r="A2563" s="3">
        <v>41754</v>
      </c>
      <c r="B2563" s="4">
        <v>28905</v>
      </c>
      <c r="C2563" s="4">
        <v>28845</v>
      </c>
      <c r="D2563" s="4">
        <v>28965</v>
      </c>
      <c r="E2563" s="4">
        <v>28757</v>
      </c>
      <c r="F2563" s="4" t="str">
        <v>15.68K</v>
      </c>
      <c r="G2563" s="4" t="str">
        <v>0.40%</v>
      </c>
      <c r="H2563" s="3">
        <v>41754</v>
      </c>
      <c r="I2563" s="4">
        <v>28861</v>
      </c>
    </row>
    <row r="2564" spans="1:9" x14ac:dyDescent="0.25">
      <c r="A2564" s="3">
        <v>41752</v>
      </c>
      <c r="B2564" s="4">
        <v>28790</v>
      </c>
      <c r="C2564" s="4">
        <v>28645</v>
      </c>
      <c r="D2564" s="4">
        <v>28815</v>
      </c>
      <c r="E2564" s="4">
        <v>28645</v>
      </c>
      <c r="F2564" s="4" t="str">
        <v>12.38K</v>
      </c>
      <c r="G2564" s="4" t="str">
        <v>0.67%</v>
      </c>
      <c r="H2564" s="3">
        <v>41752</v>
      </c>
      <c r="I2564" s="4">
        <v>28730</v>
      </c>
    </row>
    <row r="2565" spans="1:9" x14ac:dyDescent="0.25">
      <c r="A2565" s="3">
        <v>41751</v>
      </c>
      <c r="B2565" s="4">
        <v>28599</v>
      </c>
      <c r="C2565" s="4">
        <v>28536</v>
      </c>
      <c r="D2565" s="4">
        <v>28678</v>
      </c>
      <c r="E2565" s="4">
        <v>28482</v>
      </c>
      <c r="F2565" s="4" t="str">
        <v>15.45K</v>
      </c>
      <c r="G2565" s="4" t="str">
        <v>0.25%</v>
      </c>
      <c r="H2565" s="3">
        <v>41751</v>
      </c>
      <c r="I2565" s="4">
        <v>28580</v>
      </c>
    </row>
    <row r="2566" spans="1:9" x14ac:dyDescent="0.25">
      <c r="A2566" s="3">
        <v>41750</v>
      </c>
      <c r="B2566" s="4">
        <v>28527</v>
      </c>
      <c r="C2566" s="4">
        <v>28425</v>
      </c>
      <c r="D2566" s="4">
        <v>28580</v>
      </c>
      <c r="E2566" s="4">
        <v>28282</v>
      </c>
      <c r="F2566" s="4" t="str">
        <v>11.78K</v>
      </c>
      <c r="G2566" s="4" t="str">
        <v>-0.02%</v>
      </c>
      <c r="H2566" s="3">
        <v>41750</v>
      </c>
      <c r="I2566" s="4">
        <v>28431</v>
      </c>
    </row>
    <row r="2567" spans="1:9" x14ac:dyDescent="0.25">
      <c r="A2567" s="3">
        <v>41748</v>
      </c>
      <c r="B2567" s="4">
        <v>28532</v>
      </c>
      <c r="C2567" s="4">
        <v>28532</v>
      </c>
      <c r="D2567" s="4">
        <v>28532</v>
      </c>
      <c r="E2567" s="4">
        <v>28532</v>
      </c>
      <c r="F2567" s="4" t="str">
        <v>0</v>
      </c>
      <c r="G2567" s="4" t="str">
        <v>0.09%</v>
      </c>
      <c r="H2567" s="3">
        <v>41748</v>
      </c>
      <c r="I2567" s="4">
        <v>28532</v>
      </c>
    </row>
    <row r="2568" spans="1:9" x14ac:dyDescent="0.25">
      <c r="A2568" s="3">
        <v>41746</v>
      </c>
      <c r="B2568" s="4">
        <v>28505</v>
      </c>
      <c r="C2568" s="4">
        <v>28550</v>
      </c>
      <c r="D2568" s="4">
        <v>28617</v>
      </c>
      <c r="E2568" s="4">
        <v>28460</v>
      </c>
      <c r="F2568" s="4" t="str">
        <v>10.93K</v>
      </c>
      <c r="G2568" s="4" t="str">
        <v>-0.29%</v>
      </c>
      <c r="H2568" s="3">
        <v>41746</v>
      </c>
      <c r="I2568" s="4">
        <v>28538.5</v>
      </c>
    </row>
    <row r="2569" spans="1:9" x14ac:dyDescent="0.25">
      <c r="A2569" s="3">
        <v>41745</v>
      </c>
      <c r="B2569" s="4">
        <v>28589</v>
      </c>
      <c r="C2569" s="4">
        <v>28520</v>
      </c>
      <c r="D2569" s="4">
        <v>28657</v>
      </c>
      <c r="E2569" s="4">
        <v>28315</v>
      </c>
      <c r="F2569" s="4" t="str">
        <v>15.34K</v>
      </c>
      <c r="G2569" s="4" t="str">
        <v>0.06%</v>
      </c>
      <c r="H2569" s="3">
        <v>41745</v>
      </c>
      <c r="I2569" s="4">
        <v>28486</v>
      </c>
    </row>
    <row r="2570" spans="1:9" x14ac:dyDescent="0.25">
      <c r="A2570" s="3">
        <v>41744</v>
      </c>
      <c r="B2570" s="4">
        <v>28573</v>
      </c>
      <c r="C2570" s="4">
        <v>28850</v>
      </c>
      <c r="D2570" s="4">
        <v>28850</v>
      </c>
      <c r="E2570" s="4">
        <v>28200</v>
      </c>
      <c r="F2570" s="4" t="str">
        <v>18.55K</v>
      </c>
      <c r="G2570" s="4" t="str">
        <v>-1.33%</v>
      </c>
      <c r="H2570" s="3">
        <v>41744</v>
      </c>
      <c r="I2570" s="4">
        <v>28525</v>
      </c>
    </row>
    <row r="2571" spans="1:9" x14ac:dyDescent="0.25">
      <c r="A2571" s="3">
        <v>41743</v>
      </c>
      <c r="B2571" s="4">
        <v>28959</v>
      </c>
      <c r="C2571" s="4">
        <v>28845</v>
      </c>
      <c r="D2571" s="4">
        <v>28986</v>
      </c>
      <c r="E2571" s="4">
        <v>28843</v>
      </c>
      <c r="F2571" s="4" t="str">
        <v>5.17K</v>
      </c>
      <c r="G2571" s="4" t="str">
        <v>0.71%</v>
      </c>
      <c r="H2571" s="3">
        <v>41743</v>
      </c>
      <c r="I2571" s="4">
        <v>28914.5</v>
      </c>
    </row>
    <row r="2572" spans="1:9" x14ac:dyDescent="0.25">
      <c r="A2572" s="3">
        <v>41740</v>
      </c>
      <c r="B2572" s="4">
        <v>28756</v>
      </c>
      <c r="C2572" s="4">
        <v>28799</v>
      </c>
      <c r="D2572" s="4">
        <v>28844</v>
      </c>
      <c r="E2572" s="4">
        <v>28670</v>
      </c>
      <c r="F2572" s="4" t="str">
        <v>11.38K</v>
      </c>
      <c r="G2572" s="4" t="str">
        <v>-0.09%</v>
      </c>
      <c r="H2572" s="3">
        <v>41740</v>
      </c>
      <c r="I2572" s="4">
        <v>28757</v>
      </c>
    </row>
    <row r="2573" spans="1:9" x14ac:dyDescent="0.25">
      <c r="A2573" s="3">
        <v>41739</v>
      </c>
      <c r="B2573" s="4">
        <v>28781</v>
      </c>
      <c r="C2573" s="4">
        <v>28450</v>
      </c>
      <c r="D2573" s="4">
        <v>28814</v>
      </c>
      <c r="E2573" s="4">
        <v>28450</v>
      </c>
      <c r="F2573" s="4" t="str">
        <v>14.69K</v>
      </c>
      <c r="G2573" s="4" t="str">
        <v>1.28%</v>
      </c>
      <c r="H2573" s="3">
        <v>41739</v>
      </c>
      <c r="I2573" s="4">
        <v>28632</v>
      </c>
    </row>
    <row r="2574" spans="1:9" x14ac:dyDescent="0.25">
      <c r="A2574" s="3">
        <v>41738</v>
      </c>
      <c r="B2574" s="4">
        <v>28417</v>
      </c>
      <c r="C2574" s="4">
        <v>28475</v>
      </c>
      <c r="D2574" s="4">
        <v>28559</v>
      </c>
      <c r="E2574" s="4">
        <v>28353</v>
      </c>
      <c r="F2574" s="4" t="str">
        <v>14.20K</v>
      </c>
      <c r="G2574" s="4" t="str">
        <v>-0.21%</v>
      </c>
      <c r="H2574" s="3">
        <v>41738</v>
      </c>
      <c r="I2574" s="4">
        <v>28456</v>
      </c>
    </row>
    <row r="2575" spans="1:9" x14ac:dyDescent="0.25">
      <c r="A2575" s="3">
        <v>41737</v>
      </c>
      <c r="B2575" s="4">
        <v>28477</v>
      </c>
      <c r="C2575" s="4">
        <v>28398</v>
      </c>
      <c r="D2575" s="4">
        <v>28586</v>
      </c>
      <c r="E2575" s="4">
        <v>28397</v>
      </c>
      <c r="F2575" s="4" t="str">
        <v>7.15K</v>
      </c>
      <c r="G2575" s="4" t="str">
        <v>0.53%</v>
      </c>
      <c r="H2575" s="3">
        <v>41737</v>
      </c>
      <c r="I2575" s="4">
        <v>28491.5</v>
      </c>
    </row>
    <row r="2576" spans="1:9" x14ac:dyDescent="0.25">
      <c r="A2576" s="3">
        <v>41736</v>
      </c>
      <c r="B2576" s="4">
        <v>28326</v>
      </c>
      <c r="C2576" s="4">
        <v>28230</v>
      </c>
      <c r="D2576" s="4">
        <v>28360</v>
      </c>
      <c r="E2576" s="4">
        <v>28221</v>
      </c>
      <c r="F2576" s="4" t="str">
        <v>9.70K</v>
      </c>
      <c r="G2576" s="4" t="str">
        <v>0.28%</v>
      </c>
      <c r="H2576" s="3">
        <v>41736</v>
      </c>
      <c r="I2576" s="4">
        <v>28290.5</v>
      </c>
    </row>
    <row r="2577" spans="1:9" x14ac:dyDescent="0.25">
      <c r="A2577" s="3">
        <v>41734</v>
      </c>
      <c r="B2577" s="4">
        <v>28246</v>
      </c>
      <c r="C2577" s="4">
        <v>28246</v>
      </c>
      <c r="D2577" s="4">
        <v>28246</v>
      </c>
      <c r="E2577" s="4">
        <v>28246</v>
      </c>
      <c r="F2577" s="4" t="str">
        <v>0</v>
      </c>
      <c r="G2577" s="4" t="str">
        <v>-0.77%</v>
      </c>
      <c r="H2577" s="3">
        <v>41734</v>
      </c>
      <c r="I2577" s="4">
        <v>28246</v>
      </c>
    </row>
    <row r="2578" spans="1:9" x14ac:dyDescent="0.25">
      <c r="A2578" s="3">
        <v>41733</v>
      </c>
      <c r="B2578" s="4">
        <v>28464</v>
      </c>
      <c r="C2578" s="4">
        <v>28435</v>
      </c>
      <c r="D2578" s="4">
        <v>28623</v>
      </c>
      <c r="E2578" s="4">
        <v>28361</v>
      </c>
      <c r="F2578" s="4" t="str">
        <v>0.12K</v>
      </c>
      <c r="G2578" s="4" t="str">
        <v>0.10%</v>
      </c>
      <c r="H2578" s="3">
        <v>41733</v>
      </c>
      <c r="I2578" s="4">
        <v>28492</v>
      </c>
    </row>
    <row r="2579" spans="1:9" x14ac:dyDescent="0.25">
      <c r="A2579" s="3">
        <v>41732</v>
      </c>
      <c r="B2579" s="4">
        <v>28435</v>
      </c>
      <c r="C2579" s="4">
        <v>28440</v>
      </c>
      <c r="D2579" s="4">
        <v>28550</v>
      </c>
      <c r="E2579" s="4">
        <v>28380</v>
      </c>
      <c r="F2579" s="4" t="str">
        <v>0.14K</v>
      </c>
      <c r="G2579" s="4" t="str">
        <v>0.89%</v>
      </c>
      <c r="H2579" s="3">
        <v>41732</v>
      </c>
      <c r="I2579" s="4">
        <v>28465</v>
      </c>
    </row>
    <row r="2580" spans="1:9" x14ac:dyDescent="0.25">
      <c r="A2580" s="3">
        <v>41731</v>
      </c>
      <c r="B2580" s="4">
        <v>28184</v>
      </c>
      <c r="C2580" s="4">
        <v>27923</v>
      </c>
      <c r="D2580" s="4">
        <v>28399</v>
      </c>
      <c r="E2580" s="4">
        <v>27861</v>
      </c>
      <c r="F2580" s="4" t="str">
        <v>0.55K</v>
      </c>
      <c r="G2580" s="4" t="str">
        <v>0.37%</v>
      </c>
      <c r="H2580" s="3">
        <v>41731</v>
      </c>
      <c r="I2580" s="4">
        <v>28130</v>
      </c>
    </row>
    <row r="2581" spans="1:9" x14ac:dyDescent="0.25">
      <c r="A2581" s="3">
        <v>41730</v>
      </c>
      <c r="B2581" s="4">
        <v>28080</v>
      </c>
      <c r="C2581" s="4">
        <v>28610</v>
      </c>
      <c r="D2581" s="4">
        <v>28615</v>
      </c>
      <c r="E2581" s="4">
        <v>28001</v>
      </c>
      <c r="F2581" s="4" t="str">
        <v>2.26K</v>
      </c>
      <c r="G2581" s="4" t="str">
        <v>-1.60%</v>
      </c>
      <c r="H2581" s="3">
        <v>41730</v>
      </c>
      <c r="I2581" s="4">
        <v>28308</v>
      </c>
    </row>
    <row r="2582" spans="1:9" x14ac:dyDescent="0.25">
      <c r="A2582" s="3">
        <v>41729</v>
      </c>
      <c r="B2582" s="4">
        <v>28536</v>
      </c>
      <c r="C2582" s="4">
        <v>28448</v>
      </c>
      <c r="D2582" s="4">
        <v>28790</v>
      </c>
      <c r="E2582" s="4">
        <v>28363</v>
      </c>
      <c r="F2582" s="4" t="str">
        <v>9.12K</v>
      </c>
      <c r="G2582" s="4" t="str">
        <v>0.55%</v>
      </c>
      <c r="H2582" s="3">
        <v>41729</v>
      </c>
      <c r="I2582" s="4">
        <v>28576.5</v>
      </c>
    </row>
    <row r="2583" spans="1:9" x14ac:dyDescent="0.25">
      <c r="A2583" s="3">
        <v>41726</v>
      </c>
      <c r="B2583" s="4">
        <v>28380</v>
      </c>
      <c r="C2583" s="4">
        <v>28360</v>
      </c>
      <c r="D2583" s="4">
        <v>28490</v>
      </c>
      <c r="E2583" s="4">
        <v>28119</v>
      </c>
      <c r="F2583" s="4" t="str">
        <v>16.23K</v>
      </c>
      <c r="G2583" s="4" t="str">
        <v>-0.24%</v>
      </c>
      <c r="H2583" s="3">
        <v>41726</v>
      </c>
      <c r="I2583" s="4">
        <v>28304.5</v>
      </c>
    </row>
    <row r="2584" spans="1:9" x14ac:dyDescent="0.25">
      <c r="A2584" s="3">
        <v>41725</v>
      </c>
      <c r="B2584" s="4">
        <v>28449</v>
      </c>
      <c r="C2584" s="4">
        <v>28557</v>
      </c>
      <c r="D2584" s="4">
        <v>28700</v>
      </c>
      <c r="E2584" s="4">
        <v>28290</v>
      </c>
      <c r="F2584" s="4" t="str">
        <v>18.63K</v>
      </c>
      <c r="G2584" s="4" t="str">
        <v>-0.43%</v>
      </c>
      <c r="H2584" s="3">
        <v>41725</v>
      </c>
      <c r="I2584" s="4">
        <v>28495</v>
      </c>
    </row>
    <row r="2585" spans="1:9" x14ac:dyDescent="0.25">
      <c r="A2585" s="3">
        <v>41724</v>
      </c>
      <c r="B2585" s="4">
        <v>28571</v>
      </c>
      <c r="C2585" s="4">
        <v>29050</v>
      </c>
      <c r="D2585" s="4">
        <v>29050</v>
      </c>
      <c r="E2585" s="4">
        <v>28380</v>
      </c>
      <c r="F2585" s="4" t="str">
        <v>16.19K</v>
      </c>
      <c r="G2585" s="4" t="str">
        <v>-1.13%</v>
      </c>
      <c r="H2585" s="3">
        <v>41724</v>
      </c>
      <c r="I2585" s="4">
        <v>28715</v>
      </c>
    </row>
    <row r="2586" spans="1:9" x14ac:dyDescent="0.25">
      <c r="A2586" s="3">
        <v>41723</v>
      </c>
      <c r="B2586" s="4">
        <v>28898</v>
      </c>
      <c r="C2586" s="4">
        <v>29110</v>
      </c>
      <c r="D2586" s="4">
        <v>29260</v>
      </c>
      <c r="E2586" s="4">
        <v>28863</v>
      </c>
      <c r="F2586" s="4" t="str">
        <v>17.22K</v>
      </c>
      <c r="G2586" s="4" t="str">
        <v>-0.90%</v>
      </c>
      <c r="H2586" s="3">
        <v>41723</v>
      </c>
      <c r="I2586" s="4">
        <v>29061.5</v>
      </c>
    </row>
    <row r="2587" spans="1:9" x14ac:dyDescent="0.25">
      <c r="A2587" s="3">
        <v>41722</v>
      </c>
      <c r="B2587" s="4">
        <v>29159</v>
      </c>
      <c r="C2587" s="4">
        <v>29700</v>
      </c>
      <c r="D2587" s="4">
        <v>29700</v>
      </c>
      <c r="E2587" s="4">
        <v>29121</v>
      </c>
      <c r="F2587" s="4" t="str">
        <v>14.02K</v>
      </c>
      <c r="G2587" s="4" t="str">
        <v>-1.96%</v>
      </c>
      <c r="H2587" s="3">
        <v>41722</v>
      </c>
      <c r="I2587" s="4">
        <v>29410.5</v>
      </c>
    </row>
    <row r="2588" spans="1:9" x14ac:dyDescent="0.25">
      <c r="A2588" s="3">
        <v>41719</v>
      </c>
      <c r="B2588" s="4">
        <v>29742</v>
      </c>
      <c r="C2588" s="4">
        <v>29757</v>
      </c>
      <c r="D2588" s="4">
        <v>29917</v>
      </c>
      <c r="E2588" s="4">
        <v>29696</v>
      </c>
      <c r="F2588" s="4" t="str">
        <v>12.20K</v>
      </c>
      <c r="G2588" s="4" t="str">
        <v>-0.03%</v>
      </c>
      <c r="H2588" s="3">
        <v>41719</v>
      </c>
      <c r="I2588" s="4">
        <v>29806.5</v>
      </c>
    </row>
    <row r="2589" spans="1:9" x14ac:dyDescent="0.25">
      <c r="A2589" s="3">
        <v>41718</v>
      </c>
      <c r="B2589" s="4">
        <v>29751</v>
      </c>
      <c r="C2589" s="4">
        <v>29930</v>
      </c>
      <c r="D2589" s="4">
        <v>29973</v>
      </c>
      <c r="E2589" s="4">
        <v>29721</v>
      </c>
      <c r="F2589" s="4" t="str">
        <v>14.60K</v>
      </c>
      <c r="G2589" s="4" t="str">
        <v>-0.77%</v>
      </c>
      <c r="H2589" s="3">
        <v>41718</v>
      </c>
      <c r="I2589" s="4">
        <v>29847</v>
      </c>
    </row>
    <row r="2590" spans="1:9" x14ac:dyDescent="0.25">
      <c r="A2590" s="3">
        <v>41717</v>
      </c>
      <c r="B2590" s="4">
        <v>29981</v>
      </c>
      <c r="C2590" s="4">
        <v>30211</v>
      </c>
      <c r="D2590" s="4">
        <v>30222</v>
      </c>
      <c r="E2590" s="4">
        <v>29926</v>
      </c>
      <c r="F2590" s="4" t="str">
        <v>15.22K</v>
      </c>
      <c r="G2590" s="4" t="str">
        <v>-0.74%</v>
      </c>
      <c r="H2590" s="3">
        <v>41717</v>
      </c>
      <c r="I2590" s="4">
        <v>30074</v>
      </c>
    </row>
    <row r="2591" spans="1:9" x14ac:dyDescent="0.25">
      <c r="A2591" s="3">
        <v>41716</v>
      </c>
      <c r="B2591" s="4">
        <v>30205</v>
      </c>
      <c r="C2591" s="4">
        <v>30350</v>
      </c>
      <c r="D2591" s="4">
        <v>30350</v>
      </c>
      <c r="E2591" s="4">
        <v>30112</v>
      </c>
      <c r="F2591" s="4" t="str">
        <v>13.23K</v>
      </c>
      <c r="G2591" s="4" t="str">
        <v>-0.56%</v>
      </c>
      <c r="H2591" s="3">
        <v>41716</v>
      </c>
      <c r="I2591" s="4">
        <v>30231</v>
      </c>
    </row>
    <row r="2592" spans="1:9" x14ac:dyDescent="0.25">
      <c r="A2592" s="3">
        <v>41715</v>
      </c>
      <c r="B2592" s="4">
        <v>30375</v>
      </c>
      <c r="C2592" s="4">
        <v>30560</v>
      </c>
      <c r="D2592" s="4">
        <v>30566</v>
      </c>
      <c r="E2592" s="4">
        <v>30352</v>
      </c>
      <c r="F2592" s="4" t="str">
        <v>4.29K</v>
      </c>
      <c r="G2592" s="4" t="str">
        <v>-0.72%</v>
      </c>
      <c r="H2592" s="3">
        <v>41715</v>
      </c>
      <c r="I2592" s="4">
        <v>30459</v>
      </c>
    </row>
    <row r="2593" spans="1:9" x14ac:dyDescent="0.25">
      <c r="A2593" s="3">
        <v>41712</v>
      </c>
      <c r="B2593" s="4">
        <v>30595</v>
      </c>
      <c r="C2593" s="4">
        <v>30585</v>
      </c>
      <c r="D2593" s="4">
        <v>30737</v>
      </c>
      <c r="E2593" s="4">
        <v>30452</v>
      </c>
      <c r="F2593" s="4" t="str">
        <v>16.11K</v>
      </c>
      <c r="G2593" s="4" t="str">
        <v>0.15%</v>
      </c>
      <c r="H2593" s="3">
        <v>41712</v>
      </c>
      <c r="I2593" s="4">
        <v>30594.5</v>
      </c>
    </row>
    <row r="2594" spans="1:9" x14ac:dyDescent="0.25">
      <c r="A2594" s="3">
        <v>41711</v>
      </c>
      <c r="B2594" s="4">
        <v>30549</v>
      </c>
      <c r="C2594" s="4">
        <v>30537</v>
      </c>
      <c r="D2594" s="4">
        <v>30575</v>
      </c>
      <c r="E2594" s="4">
        <v>30322</v>
      </c>
      <c r="F2594" s="4" t="str">
        <v>13.64K</v>
      </c>
      <c r="G2594" s="4" t="str">
        <v>0.25%</v>
      </c>
      <c r="H2594" s="3">
        <v>41711</v>
      </c>
      <c r="I2594" s="4">
        <v>30448.5</v>
      </c>
    </row>
    <row r="2595" spans="1:9" x14ac:dyDescent="0.25">
      <c r="A2595" s="3">
        <v>41710</v>
      </c>
      <c r="B2595" s="4">
        <v>30472</v>
      </c>
      <c r="C2595" s="4">
        <v>30280</v>
      </c>
      <c r="D2595" s="4">
        <v>30546</v>
      </c>
      <c r="E2595" s="4">
        <v>30280</v>
      </c>
      <c r="F2595" s="4" t="str">
        <v>15.88K</v>
      </c>
      <c r="G2595" s="4" t="str">
        <v>0.74%</v>
      </c>
      <c r="H2595" s="3">
        <v>41710</v>
      </c>
      <c r="I2595" s="4">
        <v>30413</v>
      </c>
    </row>
    <row r="2596" spans="1:9" x14ac:dyDescent="0.25">
      <c r="A2596" s="3">
        <v>41709</v>
      </c>
      <c r="B2596" s="4">
        <v>30247</v>
      </c>
      <c r="C2596" s="4">
        <v>30025</v>
      </c>
      <c r="D2596" s="4">
        <v>30335</v>
      </c>
      <c r="E2596" s="4">
        <v>29963</v>
      </c>
      <c r="F2596" s="4" t="str">
        <v>18.87K</v>
      </c>
      <c r="G2596" s="4" t="str">
        <v>0.41%</v>
      </c>
      <c r="H2596" s="3">
        <v>41709</v>
      </c>
      <c r="I2596" s="4">
        <v>30149</v>
      </c>
    </row>
    <row r="2597" spans="1:9" x14ac:dyDescent="0.25">
      <c r="A2597" s="3">
        <v>41708</v>
      </c>
      <c r="B2597" s="4">
        <v>30123</v>
      </c>
      <c r="C2597" s="4">
        <v>30063</v>
      </c>
      <c r="D2597" s="4">
        <v>30148</v>
      </c>
      <c r="E2597" s="4">
        <v>29956</v>
      </c>
      <c r="F2597" s="4" t="str">
        <v>10.74K</v>
      </c>
      <c r="G2597" s="4" t="str">
        <v>-0.02%</v>
      </c>
      <c r="H2597" s="3">
        <v>41708</v>
      </c>
      <c r="I2597" s="4">
        <v>30052</v>
      </c>
    </row>
    <row r="2598" spans="1:9" x14ac:dyDescent="0.25">
      <c r="A2598" s="3">
        <v>41705</v>
      </c>
      <c r="B2598" s="4">
        <v>30130</v>
      </c>
      <c r="C2598" s="4">
        <v>30202</v>
      </c>
      <c r="D2598" s="4">
        <v>30340</v>
      </c>
      <c r="E2598" s="4">
        <v>29930</v>
      </c>
      <c r="F2598" s="4" t="str">
        <v>16.10K</v>
      </c>
      <c r="G2598" s="4" t="str">
        <v>-0.26%</v>
      </c>
      <c r="H2598" s="3">
        <v>41705</v>
      </c>
      <c r="I2598" s="4">
        <v>30135</v>
      </c>
    </row>
    <row r="2599" spans="1:9" x14ac:dyDescent="0.25">
      <c r="A2599" s="3">
        <v>41704</v>
      </c>
      <c r="B2599" s="4">
        <v>30209</v>
      </c>
      <c r="C2599" s="4">
        <v>30082</v>
      </c>
      <c r="D2599" s="4">
        <v>30235</v>
      </c>
      <c r="E2599" s="4">
        <v>29900</v>
      </c>
      <c r="F2599" s="4" t="str">
        <v>18.87K</v>
      </c>
      <c r="G2599" s="4" t="str">
        <v>0.17%</v>
      </c>
      <c r="H2599" s="3">
        <v>41704</v>
      </c>
      <c r="I2599" s="4">
        <v>30067.5</v>
      </c>
    </row>
    <row r="2600" spans="1:9" x14ac:dyDescent="0.25">
      <c r="A2600" s="3">
        <v>41703</v>
      </c>
      <c r="B2600" s="4">
        <v>30158</v>
      </c>
      <c r="C2600" s="4">
        <v>30191</v>
      </c>
      <c r="D2600" s="4">
        <v>30318</v>
      </c>
      <c r="E2600" s="4">
        <v>30080</v>
      </c>
      <c r="F2600" s="4" t="str">
        <v>18.01K</v>
      </c>
      <c r="G2600" s="4" t="str">
        <v>-0.01%</v>
      </c>
      <c r="H2600" s="3">
        <v>41703</v>
      </c>
      <c r="I2600" s="4">
        <v>30199</v>
      </c>
    </row>
    <row r="2601" spans="1:9" x14ac:dyDescent="0.25">
      <c r="A2601" s="3">
        <v>41702</v>
      </c>
      <c r="B2601" s="4">
        <v>30160</v>
      </c>
      <c r="C2601" s="4">
        <v>30650</v>
      </c>
      <c r="D2601" s="4">
        <v>30650</v>
      </c>
      <c r="E2601" s="4">
        <v>30051</v>
      </c>
      <c r="F2601" s="4" t="str">
        <v>23.64K</v>
      </c>
      <c r="G2601" s="4" t="str">
        <v>-1.54%</v>
      </c>
      <c r="H2601" s="3">
        <v>41702</v>
      </c>
      <c r="I2601" s="4">
        <v>30350.5</v>
      </c>
    </row>
    <row r="2602" spans="1:9" x14ac:dyDescent="0.25">
      <c r="A2602" s="3">
        <v>41701</v>
      </c>
      <c r="B2602" s="4">
        <v>30631</v>
      </c>
      <c r="C2602" s="4">
        <v>30192</v>
      </c>
      <c r="D2602" s="4">
        <v>30660</v>
      </c>
      <c r="E2602" s="4">
        <v>30192</v>
      </c>
      <c r="F2602" s="4" t="str">
        <v>15.98K</v>
      </c>
      <c r="G2602" s="4" t="str">
        <v>1.80%</v>
      </c>
      <c r="H2602" s="3">
        <v>41701</v>
      </c>
      <c r="I2602" s="4">
        <v>30426</v>
      </c>
    </row>
    <row r="2603" spans="1:9" x14ac:dyDescent="0.25">
      <c r="A2603" s="3">
        <v>41698</v>
      </c>
      <c r="B2603" s="4">
        <v>30090</v>
      </c>
      <c r="C2603" s="4">
        <v>30026</v>
      </c>
      <c r="D2603" s="4">
        <v>30400</v>
      </c>
      <c r="E2603" s="4">
        <v>30026</v>
      </c>
      <c r="F2603" s="4" t="str">
        <v>14.47K</v>
      </c>
      <c r="G2603" s="4" t="str">
        <v>0.00%</v>
      </c>
      <c r="H2603" s="3">
        <v>41698</v>
      </c>
      <c r="I2603" s="4">
        <v>30213</v>
      </c>
    </row>
    <row r="2604" spans="1:9" x14ac:dyDescent="0.25">
      <c r="A2604" s="3">
        <v>41697</v>
      </c>
      <c r="B2604" s="4">
        <v>30089</v>
      </c>
      <c r="C2604" s="4">
        <v>30090</v>
      </c>
      <c r="D2604" s="4">
        <v>30185</v>
      </c>
      <c r="E2604" s="4">
        <v>30010</v>
      </c>
      <c r="F2604" s="4" t="str">
        <v>7.61K</v>
      </c>
      <c r="G2604" s="4" t="str">
        <v>0.16%</v>
      </c>
      <c r="H2604" s="3">
        <v>41697</v>
      </c>
      <c r="I2604" s="4">
        <v>30097.5</v>
      </c>
    </row>
    <row r="2605" spans="1:9" x14ac:dyDescent="0.25">
      <c r="A2605" s="3">
        <v>41696</v>
      </c>
      <c r="B2605" s="4">
        <v>30042</v>
      </c>
      <c r="C2605" s="4">
        <v>30240</v>
      </c>
      <c r="D2605" s="4">
        <v>30240</v>
      </c>
      <c r="E2605" s="4">
        <v>29883</v>
      </c>
      <c r="F2605" s="4" t="str">
        <v>18.14K</v>
      </c>
      <c r="G2605" s="4" t="str">
        <v>-0.65%</v>
      </c>
      <c r="H2605" s="3">
        <v>41696</v>
      </c>
      <c r="I2605" s="4">
        <v>30061.5</v>
      </c>
    </row>
    <row r="2606" spans="1:9" x14ac:dyDescent="0.25">
      <c r="A2606" s="3">
        <v>41695</v>
      </c>
      <c r="B2606" s="4">
        <v>30240</v>
      </c>
      <c r="C2606" s="4">
        <v>30035</v>
      </c>
      <c r="D2606" s="4">
        <v>30267</v>
      </c>
      <c r="E2606" s="4">
        <v>30035</v>
      </c>
      <c r="F2606" s="4" t="str">
        <v>12.94K</v>
      </c>
      <c r="G2606" s="4" t="str">
        <v>0.40%</v>
      </c>
      <c r="H2606" s="3">
        <v>41695</v>
      </c>
      <c r="I2606" s="4">
        <v>30151</v>
      </c>
    </row>
    <row r="2607" spans="1:9" x14ac:dyDescent="0.25">
      <c r="A2607" s="3">
        <v>41694</v>
      </c>
      <c r="B2607" s="4">
        <v>30120</v>
      </c>
      <c r="C2607" s="4">
        <v>29881</v>
      </c>
      <c r="D2607" s="4">
        <v>30174</v>
      </c>
      <c r="E2607" s="4">
        <v>29881</v>
      </c>
      <c r="F2607" s="4" t="str">
        <v>11.70K</v>
      </c>
      <c r="G2607" s="4" t="str">
        <v>0.77%</v>
      </c>
      <c r="H2607" s="3">
        <v>41694</v>
      </c>
      <c r="I2607" s="4">
        <v>30027.5</v>
      </c>
    </row>
    <row r="2608" spans="1:9" x14ac:dyDescent="0.25">
      <c r="A2608" s="3">
        <v>41691</v>
      </c>
      <c r="B2608" s="4">
        <v>29889</v>
      </c>
      <c r="C2608" s="4">
        <v>29865</v>
      </c>
      <c r="D2608" s="4">
        <v>29970</v>
      </c>
      <c r="E2608" s="4">
        <v>29772</v>
      </c>
      <c r="F2608" s="4" t="str">
        <v>9.91K</v>
      </c>
      <c r="G2608" s="4" t="str">
        <v>0.02%</v>
      </c>
      <c r="H2608" s="3">
        <v>41691</v>
      </c>
      <c r="I2608" s="4">
        <v>29871</v>
      </c>
    </row>
    <row r="2609" spans="1:9" x14ac:dyDescent="0.25">
      <c r="A2609" s="3">
        <v>41690</v>
      </c>
      <c r="B2609" s="4">
        <v>29882</v>
      </c>
      <c r="C2609" s="4">
        <v>29960</v>
      </c>
      <c r="D2609" s="4">
        <v>29980</v>
      </c>
      <c r="E2609" s="4">
        <v>29790</v>
      </c>
      <c r="F2609" s="4" t="str">
        <v>12.59K</v>
      </c>
      <c r="G2609" s="4" t="str">
        <v>-0.50%</v>
      </c>
      <c r="H2609" s="3">
        <v>41690</v>
      </c>
      <c r="I2609" s="4">
        <v>29885</v>
      </c>
    </row>
    <row r="2610" spans="1:9" x14ac:dyDescent="0.25">
      <c r="A2610" s="3">
        <v>41689</v>
      </c>
      <c r="B2610" s="4">
        <v>30031</v>
      </c>
      <c r="C2610" s="4">
        <v>30132</v>
      </c>
      <c r="D2610" s="4">
        <v>30150</v>
      </c>
      <c r="E2610" s="4">
        <v>29752</v>
      </c>
      <c r="F2610" s="4" t="str">
        <v>19.40K</v>
      </c>
      <c r="G2610" s="4" t="str">
        <v>-0.64%</v>
      </c>
      <c r="H2610" s="3">
        <v>41689</v>
      </c>
      <c r="I2610" s="4">
        <v>29951</v>
      </c>
    </row>
    <row r="2611" spans="1:9" x14ac:dyDescent="0.25">
      <c r="A2611" s="3">
        <v>41688</v>
      </c>
      <c r="B2611" s="4">
        <v>30224</v>
      </c>
      <c r="C2611" s="4">
        <v>30035</v>
      </c>
      <c r="D2611" s="4">
        <v>30260</v>
      </c>
      <c r="E2611" s="4">
        <v>29974</v>
      </c>
      <c r="F2611" s="4" t="str">
        <v>19.00K</v>
      </c>
      <c r="G2611" s="4" t="str">
        <v>0.22%</v>
      </c>
      <c r="H2611" s="3">
        <v>41688</v>
      </c>
      <c r="I2611" s="4">
        <v>30117</v>
      </c>
    </row>
    <row r="2612" spans="1:9" x14ac:dyDescent="0.25">
      <c r="A2612" s="3">
        <v>41687</v>
      </c>
      <c r="B2612" s="4">
        <v>30157</v>
      </c>
      <c r="C2612" s="4">
        <v>29445</v>
      </c>
      <c r="D2612" s="4">
        <v>30218</v>
      </c>
      <c r="E2612" s="4">
        <v>29384</v>
      </c>
      <c r="F2612" s="4" t="str">
        <v>21.93K</v>
      </c>
      <c r="G2612" s="4" t="str">
        <v>2.66%</v>
      </c>
      <c r="H2612" s="3">
        <v>41687</v>
      </c>
      <c r="I2612" s="4">
        <v>29801</v>
      </c>
    </row>
    <row r="2613" spans="1:9" x14ac:dyDescent="0.25">
      <c r="A2613" s="3">
        <v>41684</v>
      </c>
      <c r="B2613" s="4">
        <v>29375</v>
      </c>
      <c r="C2613" s="4">
        <v>29230</v>
      </c>
      <c r="D2613" s="4">
        <v>29425</v>
      </c>
      <c r="E2613" s="4">
        <v>29230</v>
      </c>
      <c r="F2613" s="4" t="str">
        <v>12.78K</v>
      </c>
      <c r="G2613" s="4" t="str">
        <v>0.65%</v>
      </c>
      <c r="H2613" s="3">
        <v>41684</v>
      </c>
      <c r="I2613" s="4">
        <v>29327.5</v>
      </c>
    </row>
    <row r="2614" spans="1:9" x14ac:dyDescent="0.25">
      <c r="A2614" s="3">
        <v>41683</v>
      </c>
      <c r="B2614" s="4">
        <v>29184</v>
      </c>
      <c r="C2614" s="4">
        <v>29120</v>
      </c>
      <c r="D2614" s="4">
        <v>29218</v>
      </c>
      <c r="E2614" s="4">
        <v>29062</v>
      </c>
      <c r="F2614" s="4" t="str">
        <v>12.35K</v>
      </c>
      <c r="G2614" s="4" t="str">
        <v>0.18%</v>
      </c>
      <c r="H2614" s="3">
        <v>41683</v>
      </c>
      <c r="I2614" s="4">
        <v>29140</v>
      </c>
    </row>
    <row r="2615" spans="1:9" x14ac:dyDescent="0.25">
      <c r="A2615" s="3">
        <v>41682</v>
      </c>
      <c r="B2615" s="4">
        <v>29132</v>
      </c>
      <c r="C2615" s="4">
        <v>29070</v>
      </c>
      <c r="D2615" s="4">
        <v>29160</v>
      </c>
      <c r="E2615" s="4">
        <v>29006</v>
      </c>
      <c r="F2615" s="4" t="str">
        <v>12.82K</v>
      </c>
      <c r="G2615" s="4" t="str">
        <v>0.10%</v>
      </c>
      <c r="H2615" s="3">
        <v>41682</v>
      </c>
      <c r="I2615" s="4">
        <v>29083</v>
      </c>
    </row>
    <row r="2616" spans="1:9" x14ac:dyDescent="0.25">
      <c r="A2616" s="3">
        <v>41681</v>
      </c>
      <c r="B2616" s="4">
        <v>29104</v>
      </c>
      <c r="C2616" s="4">
        <v>28980</v>
      </c>
      <c r="D2616" s="4">
        <v>29174</v>
      </c>
      <c r="E2616" s="4">
        <v>28980</v>
      </c>
      <c r="F2616" s="4" t="str">
        <v>16.59K</v>
      </c>
      <c r="G2616" s="4" t="str">
        <v>0.58%</v>
      </c>
      <c r="H2616" s="3">
        <v>41681</v>
      </c>
      <c r="I2616" s="4">
        <v>29077</v>
      </c>
    </row>
    <row r="2617" spans="1:9" x14ac:dyDescent="0.25">
      <c r="A2617" s="3">
        <v>41680</v>
      </c>
      <c r="B2617" s="4">
        <v>28935</v>
      </c>
      <c r="C2617" s="4">
        <v>28850</v>
      </c>
      <c r="D2617" s="4">
        <v>29009</v>
      </c>
      <c r="E2617" s="4">
        <v>28825</v>
      </c>
      <c r="F2617" s="4" t="str">
        <v>13.02K</v>
      </c>
      <c r="G2617" s="4" t="str">
        <v>0.63%</v>
      </c>
      <c r="H2617" s="3">
        <v>41680</v>
      </c>
      <c r="I2617" s="4">
        <v>28917</v>
      </c>
    </row>
    <row r="2618" spans="1:9" x14ac:dyDescent="0.25">
      <c r="A2618" s="3">
        <v>41677</v>
      </c>
      <c r="B2618" s="4">
        <v>28754</v>
      </c>
      <c r="C2618" s="4">
        <v>28730</v>
      </c>
      <c r="D2618" s="4">
        <v>28900</v>
      </c>
      <c r="E2618" s="4">
        <v>28683</v>
      </c>
      <c r="F2618" s="4" t="str">
        <v>16.02K</v>
      </c>
      <c r="G2618" s="4" t="str">
        <v>0.36%</v>
      </c>
      <c r="H2618" s="3">
        <v>41677</v>
      </c>
      <c r="I2618" s="4">
        <v>28791.5</v>
      </c>
    </row>
    <row r="2619" spans="1:9" x14ac:dyDescent="0.25">
      <c r="A2619" s="3">
        <v>41676</v>
      </c>
      <c r="B2619" s="4">
        <v>28650</v>
      </c>
      <c r="C2619" s="4">
        <v>28680</v>
      </c>
      <c r="D2619" s="4">
        <v>28940</v>
      </c>
      <c r="E2619" s="4">
        <v>28625</v>
      </c>
      <c r="F2619" s="4" t="str">
        <v>15.79K</v>
      </c>
      <c r="G2619" s="4" t="str">
        <v>-8.67%</v>
      </c>
      <c r="H2619" s="3">
        <v>41676</v>
      </c>
      <c r="I2619" s="4">
        <v>28782.5</v>
      </c>
    </row>
    <row r="2620" spans="1:9" x14ac:dyDescent="0.25">
      <c r="A2620" s="3">
        <v>41675</v>
      </c>
      <c r="B2620" s="4">
        <v>31370</v>
      </c>
      <c r="C2620" s="4">
        <v>29796</v>
      </c>
      <c r="D2620" s="4">
        <v>31468</v>
      </c>
      <c r="E2620" s="4">
        <v>29748</v>
      </c>
      <c r="F2620" s="4" t="str">
        <v>0.27K</v>
      </c>
      <c r="G2620" s="4" t="str">
        <v>5.67%</v>
      </c>
      <c r="H2620" s="3">
        <v>41675</v>
      </c>
      <c r="I2620" s="4">
        <v>30608</v>
      </c>
    </row>
    <row r="2621" spans="1:9" x14ac:dyDescent="0.25">
      <c r="A2621" s="3">
        <v>41674</v>
      </c>
      <c r="B2621" s="4">
        <v>29688</v>
      </c>
      <c r="C2621" s="4">
        <v>29701</v>
      </c>
      <c r="D2621" s="4">
        <v>29834</v>
      </c>
      <c r="E2621" s="4">
        <v>29600</v>
      </c>
      <c r="F2621" s="4" t="str">
        <v>0.34K</v>
      </c>
      <c r="G2621" s="4" t="str">
        <v>-0.53%</v>
      </c>
      <c r="H2621" s="3">
        <v>41674</v>
      </c>
      <c r="I2621" s="4">
        <v>29717</v>
      </c>
    </row>
    <row r="2622" spans="1:9" x14ac:dyDescent="0.25">
      <c r="A2622" s="3">
        <v>41673</v>
      </c>
      <c r="B2622" s="4">
        <v>29845</v>
      </c>
      <c r="C2622" s="4">
        <v>29500</v>
      </c>
      <c r="D2622" s="4">
        <v>29885</v>
      </c>
      <c r="E2622" s="4">
        <v>29399</v>
      </c>
      <c r="F2622" s="4" t="str">
        <v>0.65K</v>
      </c>
      <c r="G2622" s="4" t="str">
        <v>1.30%</v>
      </c>
      <c r="H2622" s="3">
        <v>41673</v>
      </c>
      <c r="I2622" s="4">
        <v>29642</v>
      </c>
    </row>
    <row r="2623" spans="1:9" x14ac:dyDescent="0.25">
      <c r="A2623" s="3">
        <v>41670</v>
      </c>
      <c r="B2623" s="4">
        <v>29462</v>
      </c>
      <c r="C2623" s="4">
        <v>29363</v>
      </c>
      <c r="D2623" s="4">
        <v>29584</v>
      </c>
      <c r="E2623" s="4">
        <v>29255</v>
      </c>
      <c r="F2623" s="4" t="str">
        <v>9.71K</v>
      </c>
      <c r="G2623" s="4" t="str">
        <v>0.29%</v>
      </c>
      <c r="H2623" s="3">
        <v>41670</v>
      </c>
      <c r="I2623" s="4">
        <v>29419.5</v>
      </c>
    </row>
    <row r="2624" spans="1:9" x14ac:dyDescent="0.25">
      <c r="A2624" s="3">
        <v>41669</v>
      </c>
      <c r="B2624" s="4">
        <v>29378</v>
      </c>
      <c r="C2624" s="4">
        <v>29789</v>
      </c>
      <c r="D2624" s="4">
        <v>29820</v>
      </c>
      <c r="E2624" s="4">
        <v>29353</v>
      </c>
      <c r="F2624" s="4" t="str">
        <v>14.40K</v>
      </c>
      <c r="G2624" s="4" t="str">
        <v>-1.21%</v>
      </c>
      <c r="H2624" s="3">
        <v>41669</v>
      </c>
      <c r="I2624" s="4">
        <v>29586.5</v>
      </c>
    </row>
    <row r="2625" spans="1:9" x14ac:dyDescent="0.25">
      <c r="A2625" s="3">
        <v>41668</v>
      </c>
      <c r="B2625" s="4">
        <v>29738</v>
      </c>
      <c r="C2625" s="4">
        <v>29450</v>
      </c>
      <c r="D2625" s="4">
        <v>29840</v>
      </c>
      <c r="E2625" s="4">
        <v>29346</v>
      </c>
      <c r="F2625" s="4" t="str">
        <v>17.34K</v>
      </c>
      <c r="G2625" s="4" t="str">
        <v>0.74%</v>
      </c>
      <c r="H2625" s="3">
        <v>41668</v>
      </c>
      <c r="I2625" s="4">
        <v>29593</v>
      </c>
    </row>
    <row r="2626" spans="1:9" x14ac:dyDescent="0.25">
      <c r="A2626" s="3">
        <v>41667</v>
      </c>
      <c r="B2626" s="4">
        <v>29521</v>
      </c>
      <c r="C2626" s="4">
        <v>29718</v>
      </c>
      <c r="D2626" s="4">
        <v>29718</v>
      </c>
      <c r="E2626" s="4">
        <v>29470</v>
      </c>
      <c r="F2626" s="4" t="str">
        <v>13.38K</v>
      </c>
      <c r="G2626" s="4" t="str">
        <v>-0.93%</v>
      </c>
      <c r="H2626" s="3">
        <v>41667</v>
      </c>
      <c r="I2626" s="4">
        <v>29594</v>
      </c>
    </row>
    <row r="2627" spans="1:9" x14ac:dyDescent="0.25">
      <c r="A2627" s="3">
        <v>41666</v>
      </c>
      <c r="B2627" s="4">
        <v>29798</v>
      </c>
      <c r="C2627" s="4">
        <v>29550</v>
      </c>
      <c r="D2627" s="4">
        <v>29849</v>
      </c>
      <c r="E2627" s="4">
        <v>29550</v>
      </c>
      <c r="F2627" s="4" t="str">
        <v>12.88K</v>
      </c>
      <c r="G2627" s="4" t="str">
        <v>0.95%</v>
      </c>
      <c r="H2627" s="3">
        <v>41666</v>
      </c>
      <c r="I2627" s="4">
        <v>29699.5</v>
      </c>
    </row>
    <row r="2628" spans="1:9" x14ac:dyDescent="0.25">
      <c r="A2628" s="3">
        <v>41663</v>
      </c>
      <c r="B2628" s="4">
        <v>29519</v>
      </c>
      <c r="C2628" s="4">
        <v>29270</v>
      </c>
      <c r="D2628" s="4">
        <v>29675</v>
      </c>
      <c r="E2628" s="4">
        <v>29252</v>
      </c>
      <c r="F2628" s="4" t="str">
        <v>16.34K</v>
      </c>
      <c r="G2628" s="4" t="str">
        <v>0.56%</v>
      </c>
      <c r="H2628" s="3">
        <v>41663</v>
      </c>
      <c r="I2628" s="4">
        <v>29463.5</v>
      </c>
    </row>
    <row r="2629" spans="1:9" x14ac:dyDescent="0.25">
      <c r="A2629" s="3">
        <v>41662</v>
      </c>
      <c r="B2629" s="4">
        <v>29355</v>
      </c>
      <c r="C2629" s="4">
        <v>29102</v>
      </c>
      <c r="D2629" s="4">
        <v>29389</v>
      </c>
      <c r="E2629" s="4">
        <v>28965</v>
      </c>
      <c r="F2629" s="4" t="str">
        <v>26.69K</v>
      </c>
      <c r="G2629" s="4" t="str">
        <v>0.70%</v>
      </c>
      <c r="H2629" s="3">
        <v>41662</v>
      </c>
      <c r="I2629" s="4">
        <v>29177</v>
      </c>
    </row>
    <row r="2630" spans="1:9" x14ac:dyDescent="0.25">
      <c r="A2630" s="3">
        <v>41661</v>
      </c>
      <c r="B2630" s="4">
        <v>29150</v>
      </c>
      <c r="C2630" s="4">
        <v>29208</v>
      </c>
      <c r="D2630" s="4">
        <v>29278</v>
      </c>
      <c r="E2630" s="4">
        <v>29121</v>
      </c>
      <c r="F2630" s="4" t="str">
        <v>12.56K</v>
      </c>
      <c r="G2630" s="4" t="str">
        <v>-0.31%</v>
      </c>
      <c r="H2630" s="3">
        <v>41661</v>
      </c>
      <c r="I2630" s="4">
        <v>29199.5</v>
      </c>
    </row>
    <row r="2631" spans="1:9" x14ac:dyDescent="0.25">
      <c r="A2631" s="3">
        <v>41660</v>
      </c>
      <c r="B2631" s="4">
        <v>29241</v>
      </c>
      <c r="C2631" s="4">
        <v>29238</v>
      </c>
      <c r="D2631" s="4">
        <v>29298</v>
      </c>
      <c r="E2631" s="4">
        <v>29130</v>
      </c>
      <c r="F2631" s="4" t="str">
        <v>18.60K</v>
      </c>
      <c r="G2631" s="4" t="str">
        <v>-0.16%</v>
      </c>
      <c r="H2631" s="3">
        <v>41660</v>
      </c>
      <c r="I2631" s="4">
        <v>29214</v>
      </c>
    </row>
    <row r="2632" spans="1:9" x14ac:dyDescent="0.25">
      <c r="A2632" s="3">
        <v>41659</v>
      </c>
      <c r="B2632" s="4">
        <v>29288</v>
      </c>
      <c r="C2632" s="4">
        <v>29288</v>
      </c>
      <c r="D2632" s="4">
        <v>29390</v>
      </c>
      <c r="E2632" s="4">
        <v>29261</v>
      </c>
      <c r="F2632" s="4" t="str">
        <v>8.70K</v>
      </c>
      <c r="G2632" s="4" t="str">
        <v>0.08%</v>
      </c>
      <c r="H2632" s="3">
        <v>41659</v>
      </c>
      <c r="I2632" s="4">
        <v>29325.5</v>
      </c>
    </row>
    <row r="2633" spans="1:9" x14ac:dyDescent="0.25">
      <c r="A2633" s="3">
        <v>41656</v>
      </c>
      <c r="B2633" s="4">
        <v>29265</v>
      </c>
      <c r="C2633" s="4">
        <v>29031</v>
      </c>
      <c r="D2633" s="4">
        <v>29310</v>
      </c>
      <c r="E2633" s="4">
        <v>28911</v>
      </c>
      <c r="F2633" s="4" t="str">
        <v>15.06K</v>
      </c>
      <c r="G2633" s="4" t="str">
        <v>0.80%</v>
      </c>
      <c r="H2633" s="3">
        <v>41656</v>
      </c>
      <c r="I2633" s="4">
        <v>29110.5</v>
      </c>
    </row>
    <row r="2634" spans="1:9" x14ac:dyDescent="0.25">
      <c r="A2634" s="3">
        <v>41655</v>
      </c>
      <c r="B2634" s="4">
        <v>29034</v>
      </c>
      <c r="C2634" s="4">
        <v>29049</v>
      </c>
      <c r="D2634" s="4">
        <v>29141</v>
      </c>
      <c r="E2634" s="4">
        <v>28953</v>
      </c>
      <c r="F2634" s="4" t="str">
        <v>12.56K</v>
      </c>
      <c r="G2634" s="4" t="str">
        <v>0.05%</v>
      </c>
      <c r="H2634" s="3">
        <v>41655</v>
      </c>
      <c r="I2634" s="4">
        <v>29047</v>
      </c>
    </row>
    <row r="2635" spans="1:9" x14ac:dyDescent="0.25">
      <c r="A2635" s="3">
        <v>41654</v>
      </c>
      <c r="B2635" s="4">
        <v>29019</v>
      </c>
      <c r="C2635" s="4">
        <v>29023</v>
      </c>
      <c r="D2635" s="4">
        <v>29074</v>
      </c>
      <c r="E2635" s="4">
        <v>28865</v>
      </c>
      <c r="F2635" s="4" t="str">
        <v>13.72K</v>
      </c>
      <c r="G2635" s="4" t="str">
        <v>-0.26%</v>
      </c>
      <c r="H2635" s="3">
        <v>41654</v>
      </c>
      <c r="I2635" s="4">
        <v>28969.5</v>
      </c>
    </row>
    <row r="2636" spans="1:9" x14ac:dyDescent="0.25">
      <c r="A2636" s="3">
        <v>41653</v>
      </c>
      <c r="B2636" s="4">
        <v>29096</v>
      </c>
      <c r="C2636" s="4">
        <v>29171</v>
      </c>
      <c r="D2636" s="4">
        <v>29314</v>
      </c>
      <c r="E2636" s="4">
        <v>29031</v>
      </c>
      <c r="F2636" s="4" t="str">
        <v>10.37K</v>
      </c>
      <c r="G2636" s="4" t="str">
        <v>-0.40%</v>
      </c>
      <c r="H2636" s="3">
        <v>41653</v>
      </c>
      <c r="I2636" s="4">
        <v>29172.5</v>
      </c>
    </row>
    <row r="2637" spans="1:9" x14ac:dyDescent="0.25">
      <c r="A2637" s="3">
        <v>41652</v>
      </c>
      <c r="B2637" s="4">
        <v>29212</v>
      </c>
      <c r="C2637" s="4">
        <v>29045</v>
      </c>
      <c r="D2637" s="4">
        <v>29232</v>
      </c>
      <c r="E2637" s="4">
        <v>29012</v>
      </c>
      <c r="F2637" s="4" t="str">
        <v>12.75K</v>
      </c>
      <c r="G2637" s="4" t="str">
        <v>0.62%</v>
      </c>
      <c r="H2637" s="3">
        <v>41652</v>
      </c>
      <c r="I2637" s="4">
        <v>29122</v>
      </c>
    </row>
    <row r="2638" spans="1:9" x14ac:dyDescent="0.25">
      <c r="A2638" s="3">
        <v>41649</v>
      </c>
      <c r="B2638" s="4">
        <v>29033</v>
      </c>
      <c r="C2638" s="4">
        <v>28878</v>
      </c>
      <c r="D2638" s="4">
        <v>29070</v>
      </c>
      <c r="E2638" s="4">
        <v>28811</v>
      </c>
      <c r="F2638" s="4" t="str">
        <v>15.42K</v>
      </c>
      <c r="G2638" s="4" t="str">
        <v>0.59%</v>
      </c>
      <c r="H2638" s="3">
        <v>41649</v>
      </c>
      <c r="I2638" s="4">
        <v>28940.5</v>
      </c>
    </row>
    <row r="2639" spans="1:9" x14ac:dyDescent="0.25">
      <c r="A2639" s="3">
        <v>41648</v>
      </c>
      <c r="B2639" s="4">
        <v>28862</v>
      </c>
      <c r="C2639" s="4">
        <v>28875</v>
      </c>
      <c r="D2639" s="4">
        <v>28912</v>
      </c>
      <c r="E2639" s="4">
        <v>28712</v>
      </c>
      <c r="F2639" s="4" t="str">
        <v>15.04K</v>
      </c>
      <c r="G2639" s="4" t="str">
        <v>0.23%</v>
      </c>
      <c r="H2639" s="3">
        <v>41648</v>
      </c>
      <c r="I2639" s="4">
        <v>28812</v>
      </c>
    </row>
    <row r="2640" spans="1:9" x14ac:dyDescent="0.25">
      <c r="A2640" s="3">
        <v>41647</v>
      </c>
      <c r="B2640" s="4">
        <v>28796</v>
      </c>
      <c r="C2640" s="4">
        <v>28766</v>
      </c>
      <c r="D2640" s="4">
        <v>28878</v>
      </c>
      <c r="E2640" s="4">
        <v>28671</v>
      </c>
      <c r="F2640" s="4" t="str">
        <v>15.84K</v>
      </c>
      <c r="G2640" s="4" t="str">
        <v>-0.13%</v>
      </c>
      <c r="H2640" s="3">
        <v>41647</v>
      </c>
      <c r="I2640" s="4">
        <v>28774.5</v>
      </c>
    </row>
    <row r="2641" spans="1:9" x14ac:dyDescent="0.25">
      <c r="A2641" s="3">
        <v>41646</v>
      </c>
      <c r="B2641" s="4">
        <v>28834</v>
      </c>
      <c r="C2641" s="4">
        <v>29001</v>
      </c>
      <c r="D2641" s="4">
        <v>29060</v>
      </c>
      <c r="E2641" s="4">
        <v>28802</v>
      </c>
      <c r="F2641" s="4" t="str">
        <v>16.95K</v>
      </c>
      <c r="G2641" s="4" t="str">
        <v>-0.48%</v>
      </c>
      <c r="H2641" s="3">
        <v>41646</v>
      </c>
      <c r="I2641" s="4">
        <v>28931</v>
      </c>
    </row>
    <row r="2642" spans="1:9" x14ac:dyDescent="0.25">
      <c r="A2642" s="3">
        <v>41645</v>
      </c>
      <c r="B2642" s="4">
        <v>28974</v>
      </c>
      <c r="C2642" s="4">
        <v>29213</v>
      </c>
      <c r="D2642" s="4">
        <v>29276</v>
      </c>
      <c r="E2642" s="4">
        <v>28890</v>
      </c>
      <c r="F2642" s="4" t="str">
        <v>19.95K</v>
      </c>
      <c r="G2642" s="4" t="str">
        <v>-0.63%</v>
      </c>
      <c r="H2642" s="3">
        <v>41645</v>
      </c>
      <c r="I2642" s="4">
        <v>29083</v>
      </c>
    </row>
    <row r="2643" spans="1:9" x14ac:dyDescent="0.25">
      <c r="A2643" s="3">
        <v>41643</v>
      </c>
      <c r="B2643" s="4">
        <v>29159</v>
      </c>
      <c r="C2643" s="4">
        <v>29159</v>
      </c>
      <c r="D2643" s="4">
        <v>29159</v>
      </c>
      <c r="E2643" s="4">
        <v>29159</v>
      </c>
      <c r="F2643" s="4" t="str">
        <v>0</v>
      </c>
      <c r="G2643" s="4" t="str">
        <v>0.00%</v>
      </c>
      <c r="H2643" s="3">
        <v>41643</v>
      </c>
      <c r="I2643" s="4">
        <v>29159</v>
      </c>
    </row>
    <row r="2644" spans="1:9" x14ac:dyDescent="0.25">
      <c r="A2644" s="3">
        <v>41642</v>
      </c>
      <c r="B2644" s="4">
        <v>29159</v>
      </c>
      <c r="C2644" s="4">
        <v>29000</v>
      </c>
      <c r="D2644" s="4">
        <v>29242</v>
      </c>
      <c r="E2644" s="4">
        <v>28833</v>
      </c>
      <c r="F2644" s="4" t="str">
        <v>18.99K</v>
      </c>
      <c r="G2644" s="4" t="str">
        <v>0.66%</v>
      </c>
      <c r="H2644" s="3">
        <v>41642</v>
      </c>
      <c r="I2644" s="4">
        <v>29037.5</v>
      </c>
    </row>
    <row r="2645" spans="1:9" x14ac:dyDescent="0.25">
      <c r="A2645" s="3">
        <v>41641</v>
      </c>
      <c r="B2645" s="4">
        <v>28968</v>
      </c>
      <c r="C2645" s="4">
        <v>28490</v>
      </c>
      <c r="D2645" s="4">
        <v>28995</v>
      </c>
      <c r="E2645" s="4">
        <v>28490</v>
      </c>
      <c r="F2645" s="4" t="str">
        <v>16.49K</v>
      </c>
      <c r="G2645" s="4" t="str">
        <v>1.94%</v>
      </c>
      <c r="H2645" s="3">
        <v>41641</v>
      </c>
      <c r="I2645" s="4">
        <v>28742.5</v>
      </c>
    </row>
    <row r="2646" spans="1:9" x14ac:dyDescent="0.25">
      <c r="A2646" s="3">
        <v>41640</v>
      </c>
      <c r="B2646" s="4">
        <v>28418</v>
      </c>
      <c r="C2646" s="4">
        <v>28400</v>
      </c>
      <c r="D2646" s="4">
        <v>28490</v>
      </c>
      <c r="E2646" s="4">
        <v>28390</v>
      </c>
      <c r="F2646" s="4" t="str">
        <v>2.79K</v>
      </c>
      <c r="G2646" s="4" t="str">
        <v>-0.01%</v>
      </c>
      <c r="H2646" s="3">
        <v>41640</v>
      </c>
      <c r="I2646" s="4">
        <v>28440</v>
      </c>
    </row>
    <row r="2647" spans="1:9" x14ac:dyDescent="0.25">
      <c r="A2647" s="3">
        <v>41639</v>
      </c>
      <c r="B2647" s="4">
        <v>28422</v>
      </c>
      <c r="C2647" s="4">
        <v>28326</v>
      </c>
      <c r="D2647" s="4">
        <v>28578</v>
      </c>
      <c r="E2647" s="4">
        <v>28075</v>
      </c>
      <c r="F2647" s="4" t="str">
        <v>18.19K</v>
      </c>
      <c r="G2647" s="4" t="str">
        <v>0.22%</v>
      </c>
      <c r="H2647" s="3">
        <v>41639</v>
      </c>
      <c r="I2647" s="4">
        <v>28326.5</v>
      </c>
    </row>
    <row r="2648" spans="1:9" x14ac:dyDescent="0.25">
      <c r="A2648" s="3">
        <v>41638</v>
      </c>
      <c r="B2648" s="4">
        <v>28359</v>
      </c>
      <c r="C2648" s="4">
        <v>28551</v>
      </c>
      <c r="D2648" s="4">
        <v>28551</v>
      </c>
      <c r="E2648" s="4">
        <v>28331</v>
      </c>
      <c r="F2648" s="4" t="str">
        <v>10.31K</v>
      </c>
      <c r="G2648" s="4" t="str">
        <v>-0.72%</v>
      </c>
      <c r="H2648" s="3">
        <v>41638</v>
      </c>
      <c r="I2648" s="4">
        <v>28441</v>
      </c>
    </row>
    <row r="2649" spans="1:9" x14ac:dyDescent="0.25">
      <c r="A2649" s="3">
        <v>41635</v>
      </c>
      <c r="B2649" s="4">
        <v>28564</v>
      </c>
      <c r="C2649" s="4">
        <v>28634</v>
      </c>
      <c r="D2649" s="4">
        <v>28640</v>
      </c>
      <c r="E2649" s="4">
        <v>28250</v>
      </c>
      <c r="F2649" s="4" t="str">
        <v>11.70K</v>
      </c>
      <c r="G2649" s="4" t="str">
        <v>-0.04%</v>
      </c>
      <c r="H2649" s="3">
        <v>41635</v>
      </c>
      <c r="I2649" s="4">
        <v>28445</v>
      </c>
    </row>
    <row r="2650" spans="1:9" x14ac:dyDescent="0.25">
      <c r="A2650" s="3">
        <v>41634</v>
      </c>
      <c r="B2650" s="4">
        <v>28576</v>
      </c>
      <c r="C2650" s="4">
        <v>28475</v>
      </c>
      <c r="D2650" s="4">
        <v>28697</v>
      </c>
      <c r="E2650" s="4">
        <v>28455</v>
      </c>
      <c r="F2650" s="4" t="str">
        <v>10.16K</v>
      </c>
      <c r="G2650" s="4" t="str">
        <v>0.43%</v>
      </c>
      <c r="H2650" s="3">
        <v>41634</v>
      </c>
      <c r="I2650" s="4">
        <v>28576</v>
      </c>
    </row>
    <row r="2651" spans="1:9" x14ac:dyDescent="0.25">
      <c r="A2651" s="3">
        <v>41632</v>
      </c>
      <c r="B2651" s="4">
        <v>28454</v>
      </c>
      <c r="C2651" s="4">
        <v>28383</v>
      </c>
      <c r="D2651" s="4">
        <v>28479</v>
      </c>
      <c r="E2651" s="4">
        <v>28282</v>
      </c>
      <c r="F2651" s="4" t="str">
        <v>9.37K</v>
      </c>
      <c r="G2651" s="4" t="str">
        <v>0.32%</v>
      </c>
      <c r="H2651" s="3">
        <v>41632</v>
      </c>
      <c r="I2651" s="4">
        <v>28380.5</v>
      </c>
    </row>
    <row r="2652" spans="1:9" x14ac:dyDescent="0.25">
      <c r="A2652" s="3">
        <v>41631</v>
      </c>
      <c r="B2652" s="4">
        <v>28364</v>
      </c>
      <c r="C2652" s="4">
        <v>28526</v>
      </c>
      <c r="D2652" s="4">
        <v>28550</v>
      </c>
      <c r="E2652" s="4">
        <v>28310</v>
      </c>
      <c r="F2652" s="4" t="str">
        <v>12.08K</v>
      </c>
      <c r="G2652" s="4" t="str">
        <v>-0.67%</v>
      </c>
      <c r="H2652" s="3">
        <v>41631</v>
      </c>
      <c r="I2652" s="4">
        <v>28430</v>
      </c>
    </row>
    <row r="2653" spans="1:9" x14ac:dyDescent="0.25">
      <c r="A2653" s="3">
        <v>41628</v>
      </c>
      <c r="B2653" s="4">
        <v>28554</v>
      </c>
      <c r="C2653" s="4">
        <v>28360</v>
      </c>
      <c r="D2653" s="4">
        <v>28649</v>
      </c>
      <c r="E2653" s="4">
        <v>28276</v>
      </c>
      <c r="F2653" s="4" t="str">
        <v>18.97K</v>
      </c>
      <c r="G2653" s="4" t="str">
        <v>0.68%</v>
      </c>
      <c r="H2653" s="3">
        <v>41628</v>
      </c>
      <c r="I2653" s="4">
        <v>28462.5</v>
      </c>
    </row>
    <row r="2654" spans="1:9" x14ac:dyDescent="0.25">
      <c r="A2654" s="3">
        <v>41627</v>
      </c>
      <c r="B2654" s="4">
        <v>28362</v>
      </c>
      <c r="C2654" s="4">
        <v>28767</v>
      </c>
      <c r="D2654" s="4">
        <v>28785</v>
      </c>
      <c r="E2654" s="4">
        <v>28335</v>
      </c>
      <c r="F2654" s="4" t="str">
        <v>21.65K</v>
      </c>
      <c r="G2654" s="4" t="str">
        <v>-1.75%</v>
      </c>
      <c r="H2654" s="3">
        <v>41627</v>
      </c>
      <c r="I2654" s="4">
        <v>28560</v>
      </c>
    </row>
    <row r="2655" spans="1:9" x14ac:dyDescent="0.25">
      <c r="A2655" s="3">
        <v>41626</v>
      </c>
      <c r="B2655" s="4">
        <v>28868</v>
      </c>
      <c r="C2655" s="4">
        <v>28735</v>
      </c>
      <c r="D2655" s="4">
        <v>28920</v>
      </c>
      <c r="E2655" s="4">
        <v>28672</v>
      </c>
      <c r="F2655" s="4" t="str">
        <v>17.27K</v>
      </c>
      <c r="G2655" s="4" t="str">
        <v>0.66%</v>
      </c>
      <c r="H2655" s="3">
        <v>41626</v>
      </c>
      <c r="I2655" s="4">
        <v>28796</v>
      </c>
    </row>
    <row r="2656" spans="1:9" x14ac:dyDescent="0.25">
      <c r="A2656" s="3">
        <v>41625</v>
      </c>
      <c r="B2656" s="4">
        <v>28678</v>
      </c>
      <c r="C2656" s="4">
        <v>28752</v>
      </c>
      <c r="D2656" s="4">
        <v>28990</v>
      </c>
      <c r="E2656" s="4">
        <v>28642</v>
      </c>
      <c r="F2656" s="4" t="str">
        <v>22.80K</v>
      </c>
      <c r="G2656" s="4" t="str">
        <v>-0.53%</v>
      </c>
      <c r="H2656" s="3">
        <v>41625</v>
      </c>
      <c r="I2656" s="4">
        <v>28816</v>
      </c>
    </row>
    <row r="2657" spans="1:9" x14ac:dyDescent="0.25">
      <c r="A2657" s="3">
        <v>41624</v>
      </c>
      <c r="B2657" s="4">
        <v>28831</v>
      </c>
      <c r="C2657" s="4">
        <v>29371</v>
      </c>
      <c r="D2657" s="4">
        <v>29371</v>
      </c>
      <c r="E2657" s="4">
        <v>28766</v>
      </c>
      <c r="F2657" s="4" t="str">
        <v>23.76K</v>
      </c>
      <c r="G2657" s="4" t="str">
        <v>-2.04%</v>
      </c>
      <c r="H2657" s="3">
        <v>41624</v>
      </c>
      <c r="I2657" s="4">
        <v>29068.5</v>
      </c>
    </row>
    <row r="2658" spans="1:9" x14ac:dyDescent="0.25">
      <c r="A2658" s="3">
        <v>41621</v>
      </c>
      <c r="B2658" s="4">
        <v>29432</v>
      </c>
      <c r="C2658" s="4">
        <v>29200</v>
      </c>
      <c r="D2658" s="4">
        <v>29450</v>
      </c>
      <c r="E2658" s="4">
        <v>29158</v>
      </c>
      <c r="F2658" s="4" t="str">
        <v>16.21K</v>
      </c>
      <c r="G2658" s="4" t="str">
        <v>0.72%</v>
      </c>
      <c r="H2658" s="3">
        <v>41621</v>
      </c>
      <c r="I2658" s="4">
        <v>29304</v>
      </c>
    </row>
    <row r="2659" spans="1:9" x14ac:dyDescent="0.25">
      <c r="A2659" s="3">
        <v>41620</v>
      </c>
      <c r="B2659" s="4">
        <v>29223</v>
      </c>
      <c r="C2659" s="4">
        <v>29501</v>
      </c>
      <c r="D2659" s="4">
        <v>29501</v>
      </c>
      <c r="E2659" s="4">
        <v>29150</v>
      </c>
      <c r="F2659" s="4" t="str">
        <v>18.73K</v>
      </c>
      <c r="G2659" s="4" t="str">
        <v>-0.80%</v>
      </c>
      <c r="H2659" s="3">
        <v>41620</v>
      </c>
      <c r="I2659" s="4">
        <v>29325.5</v>
      </c>
    </row>
    <row r="2660" spans="1:9" x14ac:dyDescent="0.25">
      <c r="A2660" s="3">
        <v>41619</v>
      </c>
      <c r="B2660" s="4">
        <v>29460</v>
      </c>
      <c r="C2660" s="4">
        <v>29499</v>
      </c>
      <c r="D2660" s="4">
        <v>29639</v>
      </c>
      <c r="E2660" s="4">
        <v>29272</v>
      </c>
      <c r="F2660" s="4" t="str">
        <v>18.05K</v>
      </c>
      <c r="G2660" s="4" t="str">
        <v>-0.25%</v>
      </c>
      <c r="H2660" s="3">
        <v>41619</v>
      </c>
      <c r="I2660" s="4">
        <v>29455.5</v>
      </c>
    </row>
    <row r="2661" spans="1:9" x14ac:dyDescent="0.25">
      <c r="A2661" s="3">
        <v>41618</v>
      </c>
      <c r="B2661" s="4">
        <v>29535</v>
      </c>
      <c r="C2661" s="4">
        <v>29190</v>
      </c>
      <c r="D2661" s="4">
        <v>29575</v>
      </c>
      <c r="E2661" s="4">
        <v>29190</v>
      </c>
      <c r="F2661" s="4" t="str">
        <v>17.31K</v>
      </c>
      <c r="G2661" s="4" t="str">
        <v>1.44%</v>
      </c>
      <c r="H2661" s="3">
        <v>41618</v>
      </c>
      <c r="I2661" s="4">
        <v>29382.5</v>
      </c>
    </row>
    <row r="2662" spans="1:9" x14ac:dyDescent="0.25">
      <c r="A2662" s="3">
        <v>41617</v>
      </c>
      <c r="B2662" s="4">
        <v>29117</v>
      </c>
      <c r="C2662" s="4">
        <v>28921</v>
      </c>
      <c r="D2662" s="4">
        <v>29159</v>
      </c>
      <c r="E2662" s="4">
        <v>28842</v>
      </c>
      <c r="F2662" s="4" t="str">
        <v>13.20K</v>
      </c>
      <c r="G2662" s="4" t="str">
        <v>0.56%</v>
      </c>
      <c r="H2662" s="3">
        <v>41617</v>
      </c>
      <c r="I2662" s="4">
        <v>29000.5</v>
      </c>
    </row>
    <row r="2663" spans="1:9" x14ac:dyDescent="0.25">
      <c r="A2663" s="3">
        <v>41614</v>
      </c>
      <c r="B2663" s="4">
        <v>28954</v>
      </c>
      <c r="C2663" s="4">
        <v>29151</v>
      </c>
      <c r="D2663" s="4">
        <v>29350</v>
      </c>
      <c r="E2663" s="4">
        <v>28720</v>
      </c>
      <c r="F2663" s="4" t="str">
        <v>22.20K</v>
      </c>
      <c r="G2663" s="4" t="str">
        <v>-4.37%</v>
      </c>
      <c r="H2663" s="3">
        <v>41614</v>
      </c>
      <c r="I2663" s="4">
        <v>29035</v>
      </c>
    </row>
    <row r="2664" spans="1:9" x14ac:dyDescent="0.25">
      <c r="A2664" s="3">
        <v>41613</v>
      </c>
      <c r="B2664" s="4">
        <v>30278</v>
      </c>
      <c r="C2664" s="4">
        <v>30652</v>
      </c>
      <c r="D2664" s="4">
        <v>30957</v>
      </c>
      <c r="E2664" s="4">
        <v>29601</v>
      </c>
      <c r="F2664" s="4" t="str">
        <v>0.29K</v>
      </c>
      <c r="G2664" s="4" t="str">
        <v>-2.17%</v>
      </c>
      <c r="H2664" s="3">
        <v>41613</v>
      </c>
      <c r="I2664" s="4">
        <v>30279</v>
      </c>
    </row>
    <row r="2665" spans="1:9" x14ac:dyDescent="0.25">
      <c r="A2665" s="3">
        <v>41612</v>
      </c>
      <c r="B2665" s="4">
        <v>30950</v>
      </c>
      <c r="C2665" s="4">
        <v>30340</v>
      </c>
      <c r="D2665" s="4">
        <v>31062</v>
      </c>
      <c r="E2665" s="4">
        <v>30220</v>
      </c>
      <c r="F2665" s="4" t="str">
        <v>0.31K</v>
      </c>
      <c r="G2665" s="4" t="str">
        <v>1.92%</v>
      </c>
      <c r="H2665" s="3">
        <v>41612</v>
      </c>
      <c r="I2665" s="4">
        <v>30641</v>
      </c>
    </row>
    <row r="2666" spans="1:9" x14ac:dyDescent="0.25">
      <c r="A2666" s="3">
        <v>41611</v>
      </c>
      <c r="B2666" s="4">
        <v>30368</v>
      </c>
      <c r="C2666" s="4">
        <v>30084</v>
      </c>
      <c r="D2666" s="4">
        <v>30394</v>
      </c>
      <c r="E2666" s="4">
        <v>30050</v>
      </c>
      <c r="F2666" s="4" t="str">
        <v>0.52K</v>
      </c>
      <c r="G2666" s="4" t="str">
        <v>1.03%</v>
      </c>
      <c r="H2666" s="3">
        <v>41611</v>
      </c>
      <c r="I2666" s="4">
        <v>30222</v>
      </c>
    </row>
    <row r="2667" spans="1:9" x14ac:dyDescent="0.25">
      <c r="A2667" s="3">
        <v>41610</v>
      </c>
      <c r="B2667" s="4">
        <v>30057</v>
      </c>
      <c r="C2667" s="4">
        <v>30179</v>
      </c>
      <c r="D2667" s="4">
        <v>30233</v>
      </c>
      <c r="E2667" s="4">
        <v>30013</v>
      </c>
      <c r="F2667" s="4" t="str">
        <v>1.54K</v>
      </c>
      <c r="G2667" s="4" t="str">
        <v>-0.59%</v>
      </c>
      <c r="H2667" s="3">
        <v>41610</v>
      </c>
      <c r="I2667" s="4">
        <v>30123</v>
      </c>
    </row>
    <row r="2668" spans="1:9" x14ac:dyDescent="0.25">
      <c r="A2668" s="3">
        <v>41607</v>
      </c>
      <c r="B2668" s="4">
        <v>30236</v>
      </c>
      <c r="C2668" s="4">
        <v>30047</v>
      </c>
      <c r="D2668" s="4">
        <v>30330</v>
      </c>
      <c r="E2668" s="4">
        <v>30015</v>
      </c>
      <c r="F2668" s="4" t="str">
        <v>11.92K</v>
      </c>
      <c r="G2668" s="4" t="str">
        <v>0.26%</v>
      </c>
      <c r="H2668" s="3">
        <v>41607</v>
      </c>
      <c r="I2668" s="4">
        <v>30172.5</v>
      </c>
    </row>
    <row r="2669" spans="1:9" x14ac:dyDescent="0.25">
      <c r="A2669" s="3">
        <v>41606</v>
      </c>
      <c r="B2669" s="4">
        <v>30159</v>
      </c>
      <c r="C2669" s="4">
        <v>29939</v>
      </c>
      <c r="D2669" s="4">
        <v>30210</v>
      </c>
      <c r="E2669" s="4">
        <v>29911</v>
      </c>
      <c r="F2669" s="4" t="str">
        <v>9.89K</v>
      </c>
      <c r="G2669" s="4" t="str">
        <v>0.55%</v>
      </c>
      <c r="H2669" s="3">
        <v>41606</v>
      </c>
      <c r="I2669" s="4">
        <v>30060.5</v>
      </c>
    </row>
    <row r="2670" spans="1:9" x14ac:dyDescent="0.25">
      <c r="A2670" s="3">
        <v>41605</v>
      </c>
      <c r="B2670" s="4">
        <v>29995</v>
      </c>
      <c r="C2670" s="4">
        <v>30148</v>
      </c>
      <c r="D2670" s="4">
        <v>30266</v>
      </c>
      <c r="E2670" s="4">
        <v>29888</v>
      </c>
      <c r="F2670" s="4" t="str">
        <v>17.61K</v>
      </c>
      <c r="G2670" s="4" t="str">
        <v>-0.46%</v>
      </c>
      <c r="H2670" s="3">
        <v>41605</v>
      </c>
      <c r="I2670" s="4">
        <v>30077</v>
      </c>
    </row>
    <row r="2671" spans="1:9" x14ac:dyDescent="0.25">
      <c r="A2671" s="3">
        <v>41604</v>
      </c>
      <c r="B2671" s="4">
        <v>30133</v>
      </c>
      <c r="C2671" s="4">
        <v>30313</v>
      </c>
      <c r="D2671" s="4">
        <v>30444</v>
      </c>
      <c r="E2671" s="4">
        <v>30077</v>
      </c>
      <c r="F2671" s="4" t="str">
        <v>15.12K</v>
      </c>
      <c r="G2671" s="4" t="str">
        <v>-0.13%</v>
      </c>
      <c r="H2671" s="3">
        <v>41604</v>
      </c>
      <c r="I2671" s="4">
        <v>30260.5</v>
      </c>
    </row>
    <row r="2672" spans="1:9" x14ac:dyDescent="0.25">
      <c r="A2672" s="3">
        <v>41603</v>
      </c>
      <c r="B2672" s="4">
        <v>30171</v>
      </c>
      <c r="C2672" s="4">
        <v>29780</v>
      </c>
      <c r="D2672" s="4">
        <v>30237</v>
      </c>
      <c r="E2672" s="4">
        <v>29615</v>
      </c>
      <c r="F2672" s="4" t="str">
        <v>18.13K</v>
      </c>
      <c r="G2672" s="4" t="str">
        <v>1.08%</v>
      </c>
      <c r="H2672" s="3">
        <v>41603</v>
      </c>
      <c r="I2672" s="4">
        <v>29926</v>
      </c>
    </row>
    <row r="2673" spans="1:9" x14ac:dyDescent="0.25">
      <c r="A2673" s="3">
        <v>41600</v>
      </c>
      <c r="B2673" s="4">
        <v>29848</v>
      </c>
      <c r="C2673" s="4">
        <v>30262</v>
      </c>
      <c r="D2673" s="4">
        <v>30320</v>
      </c>
      <c r="E2673" s="4">
        <v>29812</v>
      </c>
      <c r="F2673" s="4" t="str">
        <v>17.38K</v>
      </c>
      <c r="G2673" s="4" t="str">
        <v>-1.41%</v>
      </c>
      <c r="H2673" s="3">
        <v>41600</v>
      </c>
      <c r="I2673" s="4">
        <v>30066</v>
      </c>
    </row>
    <row r="2674" spans="1:9" x14ac:dyDescent="0.25">
      <c r="A2674" s="3">
        <v>41599</v>
      </c>
      <c r="B2674" s="4">
        <v>30274</v>
      </c>
      <c r="C2674" s="4">
        <v>30030</v>
      </c>
      <c r="D2674" s="4">
        <v>30338</v>
      </c>
      <c r="E2674" s="4">
        <v>29917</v>
      </c>
      <c r="F2674" s="4" t="str">
        <v>19.40K</v>
      </c>
      <c r="G2674" s="4" t="str">
        <v>0.68%</v>
      </c>
      <c r="H2674" s="3">
        <v>41599</v>
      </c>
      <c r="I2674" s="4">
        <v>30127.5</v>
      </c>
    </row>
    <row r="2675" spans="1:9" x14ac:dyDescent="0.25">
      <c r="A2675" s="3">
        <v>41598</v>
      </c>
      <c r="B2675" s="4">
        <v>30070</v>
      </c>
      <c r="C2675" s="4">
        <v>30331</v>
      </c>
      <c r="D2675" s="4">
        <v>30487</v>
      </c>
      <c r="E2675" s="4">
        <v>30032</v>
      </c>
      <c r="F2675" s="4" t="str">
        <v>19.34K</v>
      </c>
      <c r="G2675" s="4" t="str">
        <v>-0.80%</v>
      </c>
      <c r="H2675" s="3">
        <v>41598</v>
      </c>
      <c r="I2675" s="4">
        <v>30259.5</v>
      </c>
    </row>
    <row r="2676" spans="1:9" x14ac:dyDescent="0.25">
      <c r="A2676" s="3">
        <v>41597</v>
      </c>
      <c r="B2676" s="4">
        <v>30313</v>
      </c>
      <c r="C2676" s="4">
        <v>30077</v>
      </c>
      <c r="D2676" s="4">
        <v>30379</v>
      </c>
      <c r="E2676" s="4">
        <v>29954</v>
      </c>
      <c r="F2676" s="4" t="str">
        <v>15.38K</v>
      </c>
      <c r="G2676" s="4" t="str">
        <v>0.87%</v>
      </c>
      <c r="H2676" s="3">
        <v>41597</v>
      </c>
      <c r="I2676" s="4">
        <v>30166.5</v>
      </c>
    </row>
    <row r="2677" spans="1:9" x14ac:dyDescent="0.25">
      <c r="A2677" s="3">
        <v>41596</v>
      </c>
      <c r="B2677" s="4">
        <v>30051</v>
      </c>
      <c r="C2677" s="4">
        <v>30294</v>
      </c>
      <c r="D2677" s="4">
        <v>30350</v>
      </c>
      <c r="E2677" s="4">
        <v>30015</v>
      </c>
      <c r="F2677" s="4" t="str">
        <v>14.58K</v>
      </c>
      <c r="G2677" s="4" t="str">
        <v>-0.93%</v>
      </c>
      <c r="H2677" s="3">
        <v>41596</v>
      </c>
      <c r="I2677" s="4">
        <v>30182.5</v>
      </c>
    </row>
    <row r="2678" spans="1:9" x14ac:dyDescent="0.25">
      <c r="A2678" s="3">
        <v>41593</v>
      </c>
      <c r="B2678" s="4">
        <v>30332</v>
      </c>
      <c r="C2678" s="4">
        <v>30256</v>
      </c>
      <c r="D2678" s="4">
        <v>30395</v>
      </c>
      <c r="E2678" s="4">
        <v>30235</v>
      </c>
      <c r="F2678" s="4" t="str">
        <v>4.94K</v>
      </c>
      <c r="G2678" s="4" t="str">
        <v>0.02%</v>
      </c>
      <c r="H2678" s="3">
        <v>41593</v>
      </c>
      <c r="I2678" s="4">
        <v>30315</v>
      </c>
    </row>
    <row r="2679" spans="1:9" x14ac:dyDescent="0.25">
      <c r="A2679" s="3">
        <v>41592</v>
      </c>
      <c r="B2679" s="4">
        <v>30325</v>
      </c>
      <c r="C2679" s="4">
        <v>30115</v>
      </c>
      <c r="D2679" s="4">
        <v>30437</v>
      </c>
      <c r="E2679" s="4">
        <v>30115</v>
      </c>
      <c r="F2679" s="4" t="str">
        <v>16.14K</v>
      </c>
      <c r="G2679" s="4" t="str">
        <v>0.89%</v>
      </c>
      <c r="H2679" s="3">
        <v>41592</v>
      </c>
      <c r="I2679" s="4">
        <v>30276</v>
      </c>
    </row>
    <row r="2680" spans="1:9" x14ac:dyDescent="0.25">
      <c r="A2680" s="3">
        <v>41591</v>
      </c>
      <c r="B2680" s="4">
        <v>30057</v>
      </c>
      <c r="C2680" s="4">
        <v>30300</v>
      </c>
      <c r="D2680" s="4">
        <v>30300</v>
      </c>
      <c r="E2680" s="4">
        <v>29972</v>
      </c>
      <c r="F2680" s="4" t="str">
        <v>18.77K</v>
      </c>
      <c r="G2680" s="4" t="str">
        <v>-1.16%</v>
      </c>
      <c r="H2680" s="3">
        <v>41591</v>
      </c>
      <c r="I2680" s="4">
        <v>30136</v>
      </c>
    </row>
    <row r="2681" spans="1:9" x14ac:dyDescent="0.25">
      <c r="A2681" s="3">
        <v>41590</v>
      </c>
      <c r="B2681" s="4">
        <v>30411</v>
      </c>
      <c r="C2681" s="4">
        <v>30053</v>
      </c>
      <c r="D2681" s="4">
        <v>30445</v>
      </c>
      <c r="E2681" s="4">
        <v>30021</v>
      </c>
      <c r="F2681" s="4" t="str">
        <v>17.40K</v>
      </c>
      <c r="G2681" s="4" t="str">
        <v>0.89%</v>
      </c>
      <c r="H2681" s="3">
        <v>41590</v>
      </c>
      <c r="I2681" s="4">
        <v>30233</v>
      </c>
    </row>
    <row r="2682" spans="1:9" x14ac:dyDescent="0.25">
      <c r="A2682" s="3">
        <v>41589</v>
      </c>
      <c r="B2682" s="4">
        <v>30143</v>
      </c>
      <c r="C2682" s="4">
        <v>29763</v>
      </c>
      <c r="D2682" s="4">
        <v>30499</v>
      </c>
      <c r="E2682" s="4">
        <v>29727</v>
      </c>
      <c r="F2682" s="4" t="str">
        <v>17.76K</v>
      </c>
      <c r="G2682" s="4" t="str">
        <v>1.47%</v>
      </c>
      <c r="H2682" s="3">
        <v>41589</v>
      </c>
      <c r="I2682" s="4">
        <v>30113</v>
      </c>
    </row>
    <row r="2683" spans="1:9" x14ac:dyDescent="0.25">
      <c r="A2683" s="3">
        <v>41586</v>
      </c>
      <c r="B2683" s="4">
        <v>29705</v>
      </c>
      <c r="C2683" s="4">
        <v>29986</v>
      </c>
      <c r="D2683" s="4">
        <v>30070</v>
      </c>
      <c r="E2683" s="4">
        <v>29674</v>
      </c>
      <c r="F2683" s="4" t="str">
        <v>17.86K</v>
      </c>
      <c r="G2683" s="4" t="str">
        <v>-0.72%</v>
      </c>
      <c r="H2683" s="3">
        <v>41586</v>
      </c>
      <c r="I2683" s="4">
        <v>29872</v>
      </c>
    </row>
    <row r="2684" spans="1:9" x14ac:dyDescent="0.25">
      <c r="A2684" s="3">
        <v>41585</v>
      </c>
      <c r="B2684" s="4">
        <v>29920</v>
      </c>
      <c r="C2684" s="4">
        <v>30050</v>
      </c>
      <c r="D2684" s="4">
        <v>30264</v>
      </c>
      <c r="E2684" s="4">
        <v>29726</v>
      </c>
      <c r="F2684" s="4" t="str">
        <v>22.98K</v>
      </c>
      <c r="G2684" s="4" t="str">
        <v>-0.38%</v>
      </c>
      <c r="H2684" s="3">
        <v>41585</v>
      </c>
      <c r="I2684" s="4">
        <v>29995</v>
      </c>
    </row>
    <row r="2685" spans="1:9" x14ac:dyDescent="0.25">
      <c r="A2685" s="3">
        <v>41584</v>
      </c>
      <c r="B2685" s="4">
        <v>30035</v>
      </c>
      <c r="C2685" s="4">
        <v>29702</v>
      </c>
      <c r="D2685" s="4">
        <v>30097</v>
      </c>
      <c r="E2685" s="4">
        <v>29617</v>
      </c>
      <c r="F2685" s="4" t="str">
        <v>14.08K</v>
      </c>
      <c r="G2685" s="4" t="str">
        <v>1.16%</v>
      </c>
      <c r="H2685" s="3">
        <v>41584</v>
      </c>
      <c r="I2685" s="4">
        <v>29857</v>
      </c>
    </row>
    <row r="2686" spans="1:9" x14ac:dyDescent="0.25">
      <c r="A2686" s="3">
        <v>41583</v>
      </c>
      <c r="B2686" s="4">
        <v>29692</v>
      </c>
      <c r="C2686" s="4">
        <v>29774</v>
      </c>
      <c r="D2686" s="4">
        <v>29810</v>
      </c>
      <c r="E2686" s="4">
        <v>29550</v>
      </c>
      <c r="F2686" s="4" t="str">
        <v>11.06K</v>
      </c>
      <c r="G2686" s="4" t="str">
        <v>-0.43%</v>
      </c>
      <c r="H2686" s="3">
        <v>41583</v>
      </c>
      <c r="I2686" s="4">
        <v>29680</v>
      </c>
    </row>
    <row r="2687" spans="1:9" x14ac:dyDescent="0.25">
      <c r="A2687" s="3">
        <v>41582</v>
      </c>
      <c r="B2687" s="4">
        <v>29821</v>
      </c>
      <c r="C2687" s="4">
        <v>29855</v>
      </c>
      <c r="D2687" s="4">
        <v>29938</v>
      </c>
      <c r="E2687" s="4">
        <v>29784</v>
      </c>
      <c r="F2687" s="4" t="str">
        <v>3.29K</v>
      </c>
      <c r="G2687" s="4" t="str">
        <v>-0.17%</v>
      </c>
      <c r="H2687" s="3">
        <v>41582</v>
      </c>
      <c r="I2687" s="4">
        <v>29861</v>
      </c>
    </row>
    <row r="2688" spans="1:9" x14ac:dyDescent="0.25">
      <c r="A2688" s="3">
        <v>41581</v>
      </c>
      <c r="B2688" s="4">
        <v>29871</v>
      </c>
      <c r="C2688" s="4">
        <v>29893</v>
      </c>
      <c r="D2688" s="4">
        <v>29930</v>
      </c>
      <c r="E2688" s="4">
        <v>29845</v>
      </c>
      <c r="F2688" s="4" t="str">
        <v>1.75K</v>
      </c>
      <c r="G2688" s="4" t="str">
        <v>0.15%</v>
      </c>
      <c r="H2688" s="3">
        <v>41581</v>
      </c>
      <c r="I2688" s="4">
        <v>29887.5</v>
      </c>
    </row>
    <row r="2689" spans="1:9" x14ac:dyDescent="0.25">
      <c r="A2689" s="3">
        <v>41579</v>
      </c>
      <c r="B2689" s="4">
        <v>29826</v>
      </c>
      <c r="C2689" s="4">
        <v>29889</v>
      </c>
      <c r="D2689" s="4">
        <v>30075</v>
      </c>
      <c r="E2689" s="4">
        <v>29733</v>
      </c>
      <c r="F2689" s="4" t="str">
        <v>14.41K</v>
      </c>
      <c r="G2689" s="4" t="str">
        <v>0.11%</v>
      </c>
      <c r="H2689" s="3">
        <v>41579</v>
      </c>
      <c r="I2689" s="4">
        <v>29904</v>
      </c>
    </row>
    <row r="2690" spans="1:9" x14ac:dyDescent="0.25">
      <c r="A2690" s="3">
        <v>41578</v>
      </c>
      <c r="B2690" s="4">
        <v>29793</v>
      </c>
      <c r="C2690" s="4">
        <v>30200</v>
      </c>
      <c r="D2690" s="4">
        <v>30200</v>
      </c>
      <c r="E2690" s="4">
        <v>29660</v>
      </c>
      <c r="F2690" s="4" t="str">
        <v>17.84K</v>
      </c>
      <c r="G2690" s="4" t="str">
        <v>-1.21%</v>
      </c>
      <c r="H2690" s="3">
        <v>41578</v>
      </c>
      <c r="I2690" s="4">
        <v>29930</v>
      </c>
    </row>
    <row r="2691" spans="1:9" x14ac:dyDescent="0.25">
      <c r="A2691" s="3">
        <v>41577</v>
      </c>
      <c r="B2691" s="4">
        <v>30158</v>
      </c>
      <c r="C2691" s="4">
        <v>30100</v>
      </c>
      <c r="D2691" s="4">
        <v>30450</v>
      </c>
      <c r="E2691" s="4">
        <v>29976</v>
      </c>
      <c r="F2691" s="4" t="str">
        <v>18.98K</v>
      </c>
      <c r="G2691" s="4" t="str">
        <v>0.04%</v>
      </c>
      <c r="H2691" s="3">
        <v>41577</v>
      </c>
      <c r="I2691" s="4">
        <v>30213</v>
      </c>
    </row>
    <row r="2692" spans="1:9" x14ac:dyDescent="0.25">
      <c r="A2692" s="3">
        <v>41576</v>
      </c>
      <c r="B2692" s="4">
        <v>30146</v>
      </c>
      <c r="C2692" s="4">
        <v>30770</v>
      </c>
      <c r="D2692" s="4">
        <v>30966</v>
      </c>
      <c r="E2692" s="4">
        <v>29925</v>
      </c>
      <c r="F2692" s="4" t="str">
        <v>30.84K</v>
      </c>
      <c r="G2692" s="4" t="str">
        <v>-1.99%</v>
      </c>
      <c r="H2692" s="3">
        <v>41576</v>
      </c>
      <c r="I2692" s="4">
        <v>30445.5</v>
      </c>
    </row>
    <row r="2693" spans="1:9" x14ac:dyDescent="0.25">
      <c r="A2693" s="3">
        <v>41575</v>
      </c>
      <c r="B2693" s="4">
        <v>30758</v>
      </c>
      <c r="C2693" s="4">
        <v>30712</v>
      </c>
      <c r="D2693" s="4">
        <v>31164</v>
      </c>
      <c r="E2693" s="4">
        <v>30445</v>
      </c>
      <c r="F2693" s="4" t="str">
        <v>16.87K</v>
      </c>
      <c r="G2693" s="4" t="str">
        <v>0.08%</v>
      </c>
      <c r="H2693" s="3">
        <v>41575</v>
      </c>
      <c r="I2693" s="4">
        <v>30804.5</v>
      </c>
    </row>
    <row r="2694" spans="1:9" x14ac:dyDescent="0.25">
      <c r="A2694" s="3">
        <v>41572</v>
      </c>
      <c r="B2694" s="4">
        <v>30734</v>
      </c>
      <c r="C2694" s="4">
        <v>30499</v>
      </c>
      <c r="D2694" s="4">
        <v>30824</v>
      </c>
      <c r="E2694" s="4">
        <v>30417</v>
      </c>
      <c r="F2694" s="4" t="str">
        <v>18.15K</v>
      </c>
      <c r="G2694" s="4" t="str">
        <v>0.56%</v>
      </c>
      <c r="H2694" s="3">
        <v>41572</v>
      </c>
      <c r="I2694" s="4">
        <v>30620.5</v>
      </c>
    </row>
    <row r="2695" spans="1:9" x14ac:dyDescent="0.25">
      <c r="A2695" s="3">
        <v>41571</v>
      </c>
      <c r="B2695" s="4">
        <v>30562</v>
      </c>
      <c r="C2695" s="4">
        <v>30175</v>
      </c>
      <c r="D2695" s="4">
        <v>30635</v>
      </c>
      <c r="E2695" s="4">
        <v>30123</v>
      </c>
      <c r="F2695" s="4" t="str">
        <v>19.47K</v>
      </c>
      <c r="G2695" s="4" t="str">
        <v>1.30%</v>
      </c>
      <c r="H2695" s="3">
        <v>41571</v>
      </c>
      <c r="I2695" s="4">
        <v>30379</v>
      </c>
    </row>
    <row r="2696" spans="1:9" x14ac:dyDescent="0.25">
      <c r="A2696" s="3">
        <v>41570</v>
      </c>
      <c r="B2696" s="4">
        <v>30171</v>
      </c>
      <c r="C2696" s="4">
        <v>30078</v>
      </c>
      <c r="D2696" s="4">
        <v>30269</v>
      </c>
      <c r="E2696" s="4">
        <v>30054</v>
      </c>
      <c r="F2696" s="4" t="str">
        <v>14.65K</v>
      </c>
      <c r="G2696" s="4" t="str">
        <v>0.17%</v>
      </c>
      <c r="H2696" s="3">
        <v>41570</v>
      </c>
      <c r="I2696" s="4">
        <v>30161.5</v>
      </c>
    </row>
    <row r="2697" spans="1:9" x14ac:dyDescent="0.25">
      <c r="A2697" s="3">
        <v>41569</v>
      </c>
      <c r="B2697" s="4">
        <v>30121</v>
      </c>
      <c r="C2697" s="4">
        <v>29743</v>
      </c>
      <c r="D2697" s="4">
        <v>30163</v>
      </c>
      <c r="E2697" s="4">
        <v>29630</v>
      </c>
      <c r="F2697" s="4" t="str">
        <v>20.12K</v>
      </c>
      <c r="G2697" s="4" t="str">
        <v>1.23%</v>
      </c>
      <c r="H2697" s="3">
        <v>41569</v>
      </c>
      <c r="I2697" s="4">
        <v>29896.5</v>
      </c>
    </row>
    <row r="2698" spans="1:9" x14ac:dyDescent="0.25">
      <c r="A2698" s="3">
        <v>41568</v>
      </c>
      <c r="B2698" s="4">
        <v>29756</v>
      </c>
      <c r="C2698" s="4">
        <v>29674</v>
      </c>
      <c r="D2698" s="4">
        <v>29829</v>
      </c>
      <c r="E2698" s="4">
        <v>29613</v>
      </c>
      <c r="F2698" s="4" t="str">
        <v>13.20K</v>
      </c>
      <c r="G2698" s="4" t="str">
        <v>0.94%</v>
      </c>
      <c r="H2698" s="3">
        <v>41568</v>
      </c>
      <c r="I2698" s="4">
        <v>29721</v>
      </c>
    </row>
    <row r="2699" spans="1:9" x14ac:dyDescent="0.25">
      <c r="A2699" s="3">
        <v>41565</v>
      </c>
      <c r="B2699" s="4">
        <v>29480</v>
      </c>
      <c r="C2699" s="4">
        <v>29367</v>
      </c>
      <c r="D2699" s="4">
        <v>29885</v>
      </c>
      <c r="E2699" s="4">
        <v>29300</v>
      </c>
      <c r="F2699" s="4" t="str">
        <v>19.13K</v>
      </c>
      <c r="G2699" s="4" t="str">
        <v>-0.20%</v>
      </c>
      <c r="H2699" s="3">
        <v>41565</v>
      </c>
      <c r="I2699" s="4">
        <v>29592.5</v>
      </c>
    </row>
    <row r="2700" spans="1:9" x14ac:dyDescent="0.25">
      <c r="A2700" s="3">
        <v>41564</v>
      </c>
      <c r="B2700" s="4">
        <v>29538</v>
      </c>
      <c r="C2700" s="4">
        <v>28900</v>
      </c>
      <c r="D2700" s="4">
        <v>29675</v>
      </c>
      <c r="E2700" s="4">
        <v>28750</v>
      </c>
      <c r="F2700" s="4" t="str">
        <v>25.56K</v>
      </c>
      <c r="G2700" s="4" t="str">
        <v>2.04%</v>
      </c>
      <c r="H2700" s="3">
        <v>41564</v>
      </c>
      <c r="I2700" s="4">
        <v>29212.5</v>
      </c>
    </row>
    <row r="2701" spans="1:9" x14ac:dyDescent="0.25">
      <c r="A2701" s="3">
        <v>41563</v>
      </c>
      <c r="B2701" s="4">
        <v>28948</v>
      </c>
      <c r="C2701" s="4">
        <v>28930</v>
      </c>
      <c r="D2701" s="4">
        <v>29089</v>
      </c>
      <c r="E2701" s="4">
        <v>28652</v>
      </c>
      <c r="F2701" s="4" t="str">
        <v>10.62K</v>
      </c>
      <c r="G2701" s="4" t="str">
        <v>0.21%</v>
      </c>
      <c r="H2701" s="3">
        <v>41563</v>
      </c>
      <c r="I2701" s="4">
        <v>28870.5</v>
      </c>
    </row>
    <row r="2702" spans="1:9" x14ac:dyDescent="0.25">
      <c r="A2702" s="3">
        <v>41562</v>
      </c>
      <c r="B2702" s="4">
        <v>28886</v>
      </c>
      <c r="C2702" s="4">
        <v>28607</v>
      </c>
      <c r="D2702" s="4">
        <v>28928</v>
      </c>
      <c r="E2702" s="4">
        <v>28376</v>
      </c>
      <c r="F2702" s="4" t="str">
        <v>25.09K</v>
      </c>
      <c r="G2702" s="4" t="str">
        <v>0.34%</v>
      </c>
      <c r="H2702" s="3">
        <v>41562</v>
      </c>
      <c r="I2702" s="4">
        <v>28652</v>
      </c>
    </row>
    <row r="2703" spans="1:9" x14ac:dyDescent="0.25">
      <c r="A2703" s="3">
        <v>41561</v>
      </c>
      <c r="B2703" s="4">
        <v>28787</v>
      </c>
      <c r="C2703" s="4">
        <v>28350</v>
      </c>
      <c r="D2703" s="4">
        <v>29072</v>
      </c>
      <c r="E2703" s="4">
        <v>28350</v>
      </c>
      <c r="F2703" s="4" t="str">
        <v>16.87K</v>
      </c>
      <c r="G2703" s="4" t="str">
        <v>1.49%</v>
      </c>
      <c r="H2703" s="3">
        <v>41561</v>
      </c>
      <c r="I2703" s="4">
        <v>28711</v>
      </c>
    </row>
    <row r="2704" spans="1:9" x14ac:dyDescent="0.25">
      <c r="A2704" s="3">
        <v>41558</v>
      </c>
      <c r="B2704" s="4">
        <v>28365</v>
      </c>
      <c r="C2704" s="4">
        <v>28794</v>
      </c>
      <c r="D2704" s="4">
        <v>28794</v>
      </c>
      <c r="E2704" s="4">
        <v>28321</v>
      </c>
      <c r="F2704" s="4" t="str">
        <v>23.49K</v>
      </c>
      <c r="G2704" s="4" t="str">
        <v>-1.70%</v>
      </c>
      <c r="H2704" s="3">
        <v>41558</v>
      </c>
      <c r="I2704" s="4">
        <v>28557.5</v>
      </c>
    </row>
    <row r="2705" spans="1:9" x14ac:dyDescent="0.25">
      <c r="A2705" s="3">
        <v>41557</v>
      </c>
      <c r="B2705" s="4">
        <v>28857</v>
      </c>
      <c r="C2705" s="4">
        <v>29358</v>
      </c>
      <c r="D2705" s="4">
        <v>29389</v>
      </c>
      <c r="E2705" s="4">
        <v>28802</v>
      </c>
      <c r="F2705" s="4" t="str">
        <v>19.43K</v>
      </c>
      <c r="G2705" s="4" t="str">
        <v>-1.52%</v>
      </c>
      <c r="H2705" s="3">
        <v>41557</v>
      </c>
      <c r="I2705" s="4">
        <v>29095.5</v>
      </c>
    </row>
    <row r="2706" spans="1:9" x14ac:dyDescent="0.25">
      <c r="A2706" s="3">
        <v>41556</v>
      </c>
      <c r="B2706" s="4">
        <v>29303</v>
      </c>
      <c r="C2706" s="4">
        <v>29601</v>
      </c>
      <c r="D2706" s="4">
        <v>29649</v>
      </c>
      <c r="E2706" s="4">
        <v>29011</v>
      </c>
      <c r="F2706" s="4" t="str">
        <v>20.42K</v>
      </c>
      <c r="G2706" s="4" t="str">
        <v>-1.07%</v>
      </c>
      <c r="H2706" s="3">
        <v>41556</v>
      </c>
      <c r="I2706" s="4">
        <v>29330</v>
      </c>
    </row>
    <row r="2707" spans="1:9" x14ac:dyDescent="0.25">
      <c r="A2707" s="3">
        <v>41555</v>
      </c>
      <c r="B2707" s="4">
        <v>29619</v>
      </c>
      <c r="C2707" s="4">
        <v>29510</v>
      </c>
      <c r="D2707" s="4">
        <v>29750</v>
      </c>
      <c r="E2707" s="4">
        <v>29401</v>
      </c>
      <c r="F2707" s="4" t="str">
        <v>18.91K</v>
      </c>
      <c r="G2707" s="4" t="str">
        <v>0.45%</v>
      </c>
      <c r="H2707" s="3">
        <v>41555</v>
      </c>
      <c r="I2707" s="4">
        <v>29575.5</v>
      </c>
    </row>
    <row r="2708" spans="1:9" x14ac:dyDescent="0.25">
      <c r="A2708" s="3">
        <v>41554</v>
      </c>
      <c r="B2708" s="4">
        <v>29486</v>
      </c>
      <c r="C2708" s="4">
        <v>29259</v>
      </c>
      <c r="D2708" s="4">
        <v>29579</v>
      </c>
      <c r="E2708" s="4">
        <v>29211</v>
      </c>
      <c r="F2708" s="4" t="str">
        <v>13.13K</v>
      </c>
      <c r="G2708" s="4" t="str">
        <v>-0.02%</v>
      </c>
      <c r="H2708" s="3">
        <v>41554</v>
      </c>
      <c r="I2708" s="4">
        <v>29395</v>
      </c>
    </row>
    <row r="2709" spans="1:9" x14ac:dyDescent="0.25">
      <c r="A2709" s="3">
        <v>41551</v>
      </c>
      <c r="B2709" s="4">
        <v>29493</v>
      </c>
      <c r="C2709" s="4">
        <v>29930</v>
      </c>
      <c r="D2709" s="4">
        <v>30379</v>
      </c>
      <c r="E2709" s="4">
        <v>29351</v>
      </c>
      <c r="F2709" s="4" t="str">
        <v>0.27K</v>
      </c>
      <c r="G2709" s="4" t="str">
        <v>-2.35%</v>
      </c>
      <c r="H2709" s="3">
        <v>41551</v>
      </c>
      <c r="I2709" s="4">
        <v>29865</v>
      </c>
    </row>
    <row r="2710" spans="1:9" x14ac:dyDescent="0.25">
      <c r="A2710" s="3">
        <v>41550</v>
      </c>
      <c r="B2710" s="4">
        <v>30204</v>
      </c>
      <c r="C2710" s="4">
        <v>29644</v>
      </c>
      <c r="D2710" s="4">
        <v>30330</v>
      </c>
      <c r="E2710" s="4">
        <v>29571</v>
      </c>
      <c r="F2710" s="4" t="str">
        <v>0.64K</v>
      </c>
      <c r="G2710" s="4" t="str">
        <v>2.29%</v>
      </c>
      <c r="H2710" s="3">
        <v>41550</v>
      </c>
      <c r="I2710" s="4">
        <v>29950.5</v>
      </c>
    </row>
    <row r="2711" spans="1:9" x14ac:dyDescent="0.25">
      <c r="A2711" s="3">
        <v>41548</v>
      </c>
      <c r="B2711" s="4">
        <v>29528</v>
      </c>
      <c r="C2711" s="4">
        <v>30353</v>
      </c>
      <c r="D2711" s="4">
        <v>30430</v>
      </c>
      <c r="E2711" s="4">
        <v>29352</v>
      </c>
      <c r="F2711" s="4" t="str">
        <v>2.15K</v>
      </c>
      <c r="G2711" s="4" t="str">
        <v>-2.95%</v>
      </c>
      <c r="H2711" s="3">
        <v>41548</v>
      </c>
      <c r="I2711" s="4">
        <v>29891</v>
      </c>
    </row>
    <row r="2712" spans="1:9" x14ac:dyDescent="0.25">
      <c r="A2712" s="3">
        <v>41547</v>
      </c>
      <c r="B2712" s="4">
        <v>30425</v>
      </c>
      <c r="C2712" s="4">
        <v>30620</v>
      </c>
      <c r="D2712" s="4">
        <v>30840</v>
      </c>
      <c r="E2712" s="4">
        <v>30160</v>
      </c>
      <c r="F2712" s="4" t="str">
        <v>13.24K</v>
      </c>
      <c r="G2712" s="4" t="str">
        <v>-0.98%</v>
      </c>
      <c r="H2712" s="3">
        <v>41547</v>
      </c>
      <c r="I2712" s="4">
        <v>30500</v>
      </c>
    </row>
    <row r="2713" spans="1:9" x14ac:dyDescent="0.25">
      <c r="A2713" s="3">
        <v>41544</v>
      </c>
      <c r="B2713" s="4">
        <v>30726</v>
      </c>
      <c r="C2713" s="4">
        <v>29809</v>
      </c>
      <c r="D2713" s="4">
        <v>30849</v>
      </c>
      <c r="E2713" s="4">
        <v>29718</v>
      </c>
      <c r="F2713" s="4" t="str">
        <v>19.61K</v>
      </c>
      <c r="G2713" s="4" t="str">
        <v>2.88%</v>
      </c>
      <c r="H2713" s="3">
        <v>41544</v>
      </c>
      <c r="I2713" s="4">
        <v>30283.5</v>
      </c>
    </row>
    <row r="2714" spans="1:9" x14ac:dyDescent="0.25">
      <c r="A2714" s="3">
        <v>41543</v>
      </c>
      <c r="B2714" s="4">
        <v>29865</v>
      </c>
      <c r="C2714" s="4">
        <v>30156</v>
      </c>
      <c r="D2714" s="4">
        <v>30240</v>
      </c>
      <c r="E2714" s="4">
        <v>29757</v>
      </c>
      <c r="F2714" s="4" t="str">
        <v>18.84K</v>
      </c>
      <c r="G2714" s="4" t="str">
        <v>-1.16%</v>
      </c>
      <c r="H2714" s="3">
        <v>41543</v>
      </c>
      <c r="I2714" s="4">
        <v>29998.5</v>
      </c>
    </row>
    <row r="2715" spans="1:9" x14ac:dyDescent="0.25">
      <c r="A2715" s="3">
        <v>41542</v>
      </c>
      <c r="B2715" s="4">
        <v>30215</v>
      </c>
      <c r="C2715" s="4">
        <v>29860</v>
      </c>
      <c r="D2715" s="4">
        <v>30290</v>
      </c>
      <c r="E2715" s="4">
        <v>29860</v>
      </c>
      <c r="F2715" s="4" t="str">
        <v>21.17K</v>
      </c>
      <c r="G2715" s="4" t="str">
        <v>1.32%</v>
      </c>
      <c r="H2715" s="3">
        <v>41542</v>
      </c>
      <c r="I2715" s="4">
        <v>30075</v>
      </c>
    </row>
    <row r="2716" spans="1:9" x14ac:dyDescent="0.25">
      <c r="A2716" s="3">
        <v>41541</v>
      </c>
      <c r="B2716" s="4">
        <v>29820</v>
      </c>
      <c r="C2716" s="4">
        <v>29919</v>
      </c>
      <c r="D2716" s="4">
        <v>29920</v>
      </c>
      <c r="E2716" s="4">
        <v>29578</v>
      </c>
      <c r="F2716" s="4" t="str">
        <v>17.37K</v>
      </c>
      <c r="G2716" s="4" t="str">
        <v>-0.18%</v>
      </c>
      <c r="H2716" s="3">
        <v>41541</v>
      </c>
      <c r="I2716" s="4">
        <v>29749</v>
      </c>
    </row>
    <row r="2717" spans="1:9" x14ac:dyDescent="0.25">
      <c r="A2717" s="3">
        <v>41540</v>
      </c>
      <c r="B2717" s="4">
        <v>29874</v>
      </c>
      <c r="C2717" s="4">
        <v>29812</v>
      </c>
      <c r="D2717" s="4">
        <v>29918</v>
      </c>
      <c r="E2717" s="4">
        <v>29540</v>
      </c>
      <c r="F2717" s="4" t="str">
        <v>18.03K</v>
      </c>
      <c r="G2717" s="4" t="str">
        <v>-0.13%</v>
      </c>
      <c r="H2717" s="3">
        <v>41540</v>
      </c>
      <c r="I2717" s="4">
        <v>29729</v>
      </c>
    </row>
    <row r="2718" spans="1:9" x14ac:dyDescent="0.25">
      <c r="A2718" s="3">
        <v>41537</v>
      </c>
      <c r="B2718" s="4">
        <v>29912</v>
      </c>
      <c r="C2718" s="4">
        <v>30422</v>
      </c>
      <c r="D2718" s="4">
        <v>30590</v>
      </c>
      <c r="E2718" s="4">
        <v>29836</v>
      </c>
      <c r="F2718" s="4" t="str">
        <v>24.25K</v>
      </c>
      <c r="G2718" s="4" t="str">
        <v>-2.07%</v>
      </c>
      <c r="H2718" s="3">
        <v>41537</v>
      </c>
      <c r="I2718" s="4">
        <v>30213</v>
      </c>
    </row>
    <row r="2719" spans="1:9" x14ac:dyDescent="0.25">
      <c r="A2719" s="3">
        <v>41536</v>
      </c>
      <c r="B2719" s="4">
        <v>30544</v>
      </c>
      <c r="C2719" s="4">
        <v>30204</v>
      </c>
      <c r="D2719" s="4">
        <v>30694</v>
      </c>
      <c r="E2719" s="4">
        <v>30105</v>
      </c>
      <c r="F2719" s="4" t="str">
        <v>25.88K</v>
      </c>
      <c r="G2719" s="4" t="str">
        <v>1.85%</v>
      </c>
      <c r="H2719" s="3">
        <v>41536</v>
      </c>
      <c r="I2719" s="4">
        <v>30399.5</v>
      </c>
    </row>
    <row r="2720" spans="1:9" x14ac:dyDescent="0.25">
      <c r="A2720" s="3">
        <v>41535</v>
      </c>
      <c r="B2720" s="4">
        <v>29990</v>
      </c>
      <c r="C2720" s="4">
        <v>29441</v>
      </c>
      <c r="D2720" s="4">
        <v>30100</v>
      </c>
      <c r="E2720" s="4">
        <v>29277</v>
      </c>
      <c r="F2720" s="4" t="str">
        <v>21.91K</v>
      </c>
      <c r="G2720" s="4" t="str">
        <v>0.90%</v>
      </c>
      <c r="H2720" s="3">
        <v>41535</v>
      </c>
      <c r="I2720" s="4">
        <v>29688.5</v>
      </c>
    </row>
    <row r="2721" spans="1:9" x14ac:dyDescent="0.25">
      <c r="A2721" s="3">
        <v>41534</v>
      </c>
      <c r="B2721" s="4">
        <v>29723</v>
      </c>
      <c r="C2721" s="4">
        <v>29868</v>
      </c>
      <c r="D2721" s="4">
        <v>30275</v>
      </c>
      <c r="E2721" s="4">
        <v>29617</v>
      </c>
      <c r="F2721" s="4" t="str">
        <v>25.67K</v>
      </c>
      <c r="G2721" s="4" t="str">
        <v>-0.21%</v>
      </c>
      <c r="H2721" s="3">
        <v>41534</v>
      </c>
      <c r="I2721" s="4">
        <v>29946</v>
      </c>
    </row>
    <row r="2722" spans="1:9" x14ac:dyDescent="0.25">
      <c r="A2722" s="3">
        <v>41533</v>
      </c>
      <c r="B2722" s="4">
        <v>29787</v>
      </c>
      <c r="C2722" s="4">
        <v>30050</v>
      </c>
      <c r="D2722" s="4">
        <v>30051</v>
      </c>
      <c r="E2722" s="4">
        <v>29400</v>
      </c>
      <c r="F2722" s="4" t="str">
        <v>20.42K</v>
      </c>
      <c r="G2722" s="4" t="str">
        <v>-1.13%</v>
      </c>
      <c r="H2722" s="3">
        <v>41533</v>
      </c>
      <c r="I2722" s="4">
        <v>29725.5</v>
      </c>
    </row>
    <row r="2723" spans="1:9" x14ac:dyDescent="0.25">
      <c r="A2723" s="3">
        <v>41531</v>
      </c>
      <c r="B2723" s="4">
        <v>30128</v>
      </c>
      <c r="C2723" s="4">
        <v>29750</v>
      </c>
      <c r="D2723" s="4">
        <v>30159</v>
      </c>
      <c r="E2723" s="4">
        <v>29750</v>
      </c>
      <c r="F2723" s="4" t="str">
        <v>2.08K</v>
      </c>
      <c r="G2723" s="4" t="str">
        <v>1.88%</v>
      </c>
      <c r="H2723" s="3">
        <v>41531</v>
      </c>
      <c r="I2723" s="4">
        <v>29954.5</v>
      </c>
    </row>
    <row r="2724" spans="1:9" x14ac:dyDescent="0.25">
      <c r="A2724" s="3">
        <v>41530</v>
      </c>
      <c r="B2724" s="4">
        <v>29571</v>
      </c>
      <c r="C2724" s="4">
        <v>30091</v>
      </c>
      <c r="D2724" s="4">
        <v>30162</v>
      </c>
      <c r="E2724" s="4">
        <v>29501</v>
      </c>
      <c r="F2724" s="4" t="str">
        <v>22.75K</v>
      </c>
      <c r="G2724" s="4" t="str">
        <v>-1.58%</v>
      </c>
      <c r="H2724" s="3">
        <v>41530</v>
      </c>
      <c r="I2724" s="4">
        <v>29831.5</v>
      </c>
    </row>
    <row r="2725" spans="1:9" x14ac:dyDescent="0.25">
      <c r="A2725" s="3">
        <v>41529</v>
      </c>
      <c r="B2725" s="4">
        <v>30047</v>
      </c>
      <c r="C2725" s="4">
        <v>30551</v>
      </c>
      <c r="D2725" s="4">
        <v>30679</v>
      </c>
      <c r="E2725" s="4">
        <v>29875</v>
      </c>
      <c r="F2725" s="4" t="str">
        <v>27.17K</v>
      </c>
      <c r="G2725" s="4" t="str">
        <v>-2.07%</v>
      </c>
      <c r="H2725" s="3">
        <v>41529</v>
      </c>
      <c r="I2725" s="4">
        <v>30277</v>
      </c>
    </row>
    <row r="2726" spans="1:9" x14ac:dyDescent="0.25">
      <c r="A2726" s="3">
        <v>41528</v>
      </c>
      <c r="B2726" s="4">
        <v>30682</v>
      </c>
      <c r="C2726" s="4">
        <v>30911</v>
      </c>
      <c r="D2726" s="4">
        <v>31085</v>
      </c>
      <c r="E2726" s="4">
        <v>30442</v>
      </c>
      <c r="F2726" s="4" t="str">
        <v>18.56K</v>
      </c>
      <c r="G2726" s="4" t="str">
        <v>-0.23%</v>
      </c>
      <c r="H2726" s="3">
        <v>41528</v>
      </c>
      <c r="I2726" s="4">
        <v>30763.5</v>
      </c>
    </row>
    <row r="2727" spans="1:9" x14ac:dyDescent="0.25">
      <c r="A2727" s="3">
        <v>41527</v>
      </c>
      <c r="B2727" s="4">
        <v>30753</v>
      </c>
      <c r="C2727" s="4">
        <v>31329</v>
      </c>
      <c r="D2727" s="4">
        <v>31497</v>
      </c>
      <c r="E2727" s="4">
        <v>30502</v>
      </c>
      <c r="F2727" s="4" t="str">
        <v>23.29K</v>
      </c>
      <c r="G2727" s="4" t="str">
        <v>-2.50%</v>
      </c>
      <c r="H2727" s="3">
        <v>41527</v>
      </c>
      <c r="I2727" s="4">
        <v>30999.5</v>
      </c>
    </row>
    <row r="2728" spans="1:9" x14ac:dyDescent="0.25">
      <c r="A2728" s="3">
        <v>41526</v>
      </c>
      <c r="B2728" s="4">
        <v>31540</v>
      </c>
      <c r="C2728" s="4">
        <v>31802</v>
      </c>
      <c r="D2728" s="4">
        <v>31967</v>
      </c>
      <c r="E2728" s="4">
        <v>31502</v>
      </c>
      <c r="F2728" s="4" t="str">
        <v>6.92K</v>
      </c>
      <c r="G2728" s="4" t="str">
        <v>-1.08%</v>
      </c>
      <c r="H2728" s="3">
        <v>41526</v>
      </c>
      <c r="I2728" s="4">
        <v>31734.5</v>
      </c>
    </row>
    <row r="2729" spans="1:9" x14ac:dyDescent="0.25">
      <c r="A2729" s="3">
        <v>41524</v>
      </c>
      <c r="B2729" s="4">
        <v>31884</v>
      </c>
      <c r="C2729" s="4">
        <v>31960</v>
      </c>
      <c r="D2729" s="4">
        <v>31960</v>
      </c>
      <c r="E2729" s="4">
        <v>31825</v>
      </c>
      <c r="F2729" s="4" t="str">
        <v>0.57K</v>
      </c>
      <c r="G2729" s="4" t="str">
        <v>0.07%</v>
      </c>
      <c r="H2729" s="3">
        <v>41524</v>
      </c>
      <c r="I2729" s="4">
        <v>31892.5</v>
      </c>
    </row>
    <row r="2730" spans="1:9" x14ac:dyDescent="0.25">
      <c r="A2730" s="3">
        <v>41523</v>
      </c>
      <c r="B2730" s="4">
        <v>31861</v>
      </c>
      <c r="C2730" s="4">
        <v>32249</v>
      </c>
      <c r="D2730" s="4">
        <v>32308</v>
      </c>
      <c r="E2730" s="4">
        <v>31564</v>
      </c>
      <c r="F2730" s="4" t="str">
        <v>24.02K</v>
      </c>
      <c r="G2730" s="4" t="str">
        <v>-1.11%</v>
      </c>
      <c r="H2730" s="3">
        <v>41523</v>
      </c>
      <c r="I2730" s="4">
        <v>31936</v>
      </c>
    </row>
    <row r="2731" spans="1:9" x14ac:dyDescent="0.25">
      <c r="A2731" s="3">
        <v>41522</v>
      </c>
      <c r="B2731" s="4">
        <v>32218</v>
      </c>
      <c r="C2731" s="4">
        <v>32488</v>
      </c>
      <c r="D2731" s="4">
        <v>32838</v>
      </c>
      <c r="E2731" s="4">
        <v>32026</v>
      </c>
      <c r="F2731" s="4" t="str">
        <v>26.92K</v>
      </c>
      <c r="G2731" s="4" t="str">
        <v>-1.18%</v>
      </c>
      <c r="H2731" s="3">
        <v>41522</v>
      </c>
      <c r="I2731" s="4">
        <v>32432</v>
      </c>
    </row>
    <row r="2732" spans="1:9" x14ac:dyDescent="0.25">
      <c r="A2732" s="3">
        <v>41521</v>
      </c>
      <c r="B2732" s="4">
        <v>32604</v>
      </c>
      <c r="C2732" s="4">
        <v>34375</v>
      </c>
      <c r="D2732" s="4">
        <v>34549</v>
      </c>
      <c r="E2732" s="4">
        <v>32410</v>
      </c>
      <c r="F2732" s="4" t="str">
        <v>28.21K</v>
      </c>
      <c r="G2732" s="4" t="str">
        <v>-5.33%</v>
      </c>
      <c r="H2732" s="3">
        <v>41521</v>
      </c>
      <c r="I2732" s="4">
        <v>33479.5</v>
      </c>
    </row>
    <row r="2733" spans="1:9" x14ac:dyDescent="0.25">
      <c r="A2733" s="3">
        <v>41520</v>
      </c>
      <c r="B2733" s="4">
        <v>34439</v>
      </c>
      <c r="C2733" s="4">
        <v>32941</v>
      </c>
      <c r="D2733" s="4">
        <v>34495</v>
      </c>
      <c r="E2733" s="4">
        <v>32940</v>
      </c>
      <c r="F2733" s="4" t="str">
        <v>22.26K</v>
      </c>
      <c r="G2733" s="4" t="str">
        <v>4.16%</v>
      </c>
      <c r="H2733" s="3">
        <v>41520</v>
      </c>
      <c r="I2733" s="4">
        <v>33717.5</v>
      </c>
    </row>
    <row r="2734" spans="1:9" x14ac:dyDescent="0.25">
      <c r="A2734" s="3">
        <v>41519</v>
      </c>
      <c r="B2734" s="4">
        <v>33064</v>
      </c>
      <c r="C2734" s="4">
        <v>32815</v>
      </c>
      <c r="D2734" s="4">
        <v>33149</v>
      </c>
      <c r="E2734" s="4">
        <v>32426</v>
      </c>
      <c r="F2734" s="4" t="str">
        <v>13.61K</v>
      </c>
      <c r="G2734" s="4" t="str">
        <v>0.23%</v>
      </c>
      <c r="H2734" s="3">
        <v>41519</v>
      </c>
      <c r="I2734" s="4">
        <v>32787.5</v>
      </c>
    </row>
    <row r="2735" spans="1:9" x14ac:dyDescent="0.25">
      <c r="A2735" s="3">
        <v>41517</v>
      </c>
      <c r="B2735" s="4">
        <v>32989</v>
      </c>
      <c r="C2735" s="4">
        <v>32853</v>
      </c>
      <c r="D2735" s="4">
        <v>33015</v>
      </c>
      <c r="E2735" s="4">
        <v>32845</v>
      </c>
      <c r="F2735" s="4" t="str">
        <v>1.41K</v>
      </c>
      <c r="G2735" s="4" t="str">
        <v>-0.14%</v>
      </c>
      <c r="H2735" s="3">
        <v>41517</v>
      </c>
      <c r="I2735" s="4">
        <v>32930</v>
      </c>
    </row>
    <row r="2736" spans="1:9" x14ac:dyDescent="0.25">
      <c r="A2736" s="3">
        <v>41516</v>
      </c>
      <c r="B2736" s="4">
        <v>33034</v>
      </c>
      <c r="C2736" s="4">
        <v>33648</v>
      </c>
      <c r="D2736" s="4">
        <v>33648</v>
      </c>
      <c r="E2736" s="4">
        <v>32555</v>
      </c>
      <c r="F2736" s="4" t="str">
        <v>29.16K</v>
      </c>
      <c r="G2736" s="4" t="str">
        <v>-1.83%</v>
      </c>
      <c r="H2736" s="3">
        <v>41516</v>
      </c>
      <c r="I2736" s="4">
        <v>33101.5</v>
      </c>
    </row>
    <row r="2737" spans="1:9" x14ac:dyDescent="0.25">
      <c r="A2737" s="3">
        <v>41515</v>
      </c>
      <c r="B2737" s="4">
        <v>33650</v>
      </c>
      <c r="C2737" s="4">
        <v>33564</v>
      </c>
      <c r="D2737" s="4">
        <v>33862</v>
      </c>
      <c r="E2737" s="4">
        <v>33051</v>
      </c>
      <c r="F2737" s="4" t="str">
        <v>30.73K</v>
      </c>
      <c r="G2737" s="4" t="str">
        <v>0.73%</v>
      </c>
      <c r="H2737" s="3">
        <v>41515</v>
      </c>
      <c r="I2737" s="4">
        <v>33456.5</v>
      </c>
    </row>
    <row r="2738" spans="1:9" x14ac:dyDescent="0.25">
      <c r="A2738" s="3">
        <v>41514</v>
      </c>
      <c r="B2738" s="4">
        <v>33405</v>
      </c>
      <c r="C2738" s="4">
        <v>33920</v>
      </c>
      <c r="D2738" s="4">
        <v>35074</v>
      </c>
      <c r="E2738" s="4">
        <v>33181</v>
      </c>
      <c r="F2738" s="4" t="str">
        <v>41.99K</v>
      </c>
      <c r="G2738" s="4" t="str">
        <v>-0.92%</v>
      </c>
      <c r="H2738" s="3">
        <v>41514</v>
      </c>
      <c r="I2738" s="4">
        <v>34127.5</v>
      </c>
    </row>
    <row r="2739" spans="1:9" x14ac:dyDescent="0.25">
      <c r="A2739" s="3">
        <v>41513</v>
      </c>
      <c r="B2739" s="4">
        <v>33715</v>
      </c>
      <c r="C2739" s="4">
        <v>31974</v>
      </c>
      <c r="D2739" s="4">
        <v>33824</v>
      </c>
      <c r="E2739" s="4">
        <v>31974</v>
      </c>
      <c r="F2739" s="4" t="str">
        <v>32.39K</v>
      </c>
      <c r="G2739" s="4" t="str">
        <v>5.77%</v>
      </c>
      <c r="H2739" s="3">
        <v>41513</v>
      </c>
      <c r="I2739" s="4">
        <v>32899</v>
      </c>
    </row>
    <row r="2740" spans="1:9" x14ac:dyDescent="0.25">
      <c r="A2740" s="3">
        <v>41512</v>
      </c>
      <c r="B2740" s="4">
        <v>31876</v>
      </c>
      <c r="C2740" s="4">
        <v>31806</v>
      </c>
      <c r="D2740" s="4">
        <v>32050</v>
      </c>
      <c r="E2740" s="4">
        <v>31686</v>
      </c>
      <c r="F2740" s="4" t="str">
        <v>21.51K</v>
      </c>
      <c r="G2740" s="4" t="str">
        <v>0.38%</v>
      </c>
      <c r="H2740" s="3">
        <v>41512</v>
      </c>
      <c r="I2740" s="4">
        <v>31868</v>
      </c>
    </row>
    <row r="2741" spans="1:9" x14ac:dyDescent="0.25">
      <c r="A2741" s="3">
        <v>41510</v>
      </c>
      <c r="B2741" s="4">
        <v>31756</v>
      </c>
      <c r="C2741" s="4">
        <v>31900</v>
      </c>
      <c r="D2741" s="4">
        <v>31935</v>
      </c>
      <c r="E2741" s="4">
        <v>31725</v>
      </c>
      <c r="F2741" s="4" t="str">
        <v>1.88K</v>
      </c>
      <c r="G2741" s="4" t="str">
        <v>-0.47%</v>
      </c>
      <c r="H2741" s="3">
        <v>41510</v>
      </c>
      <c r="I2741" s="4">
        <v>31830</v>
      </c>
    </row>
    <row r="2742" spans="1:9" x14ac:dyDescent="0.25">
      <c r="A2742" s="3">
        <v>41509</v>
      </c>
      <c r="B2742" s="4">
        <v>31905</v>
      </c>
      <c r="C2742" s="4">
        <v>31288</v>
      </c>
      <c r="D2742" s="4">
        <v>31950</v>
      </c>
      <c r="E2742" s="4">
        <v>30980</v>
      </c>
      <c r="F2742" s="4" t="str">
        <v>28.04K</v>
      </c>
      <c r="G2742" s="4" t="str">
        <v>2.46%</v>
      </c>
      <c r="H2742" s="3">
        <v>41509</v>
      </c>
      <c r="I2742" s="4">
        <v>31465</v>
      </c>
    </row>
    <row r="2743" spans="1:9" x14ac:dyDescent="0.25">
      <c r="A2743" s="3">
        <v>41508</v>
      </c>
      <c r="B2743" s="4">
        <v>31140</v>
      </c>
      <c r="C2743" s="4">
        <v>31216</v>
      </c>
      <c r="D2743" s="4">
        <v>31688</v>
      </c>
      <c r="E2743" s="4">
        <v>31055</v>
      </c>
      <c r="F2743" s="4" t="str">
        <v>30.39K</v>
      </c>
      <c r="G2743" s="4" t="str">
        <v>-0.97%</v>
      </c>
      <c r="H2743" s="3">
        <v>41508</v>
      </c>
      <c r="I2743" s="4">
        <v>31371.5</v>
      </c>
    </row>
    <row r="2744" spans="1:9" x14ac:dyDescent="0.25">
      <c r="A2744" s="3">
        <v>41507</v>
      </c>
      <c r="B2744" s="4">
        <v>31444</v>
      </c>
      <c r="C2744" s="4">
        <v>30740</v>
      </c>
      <c r="D2744" s="4">
        <v>31544</v>
      </c>
      <c r="E2744" s="4">
        <v>30625</v>
      </c>
      <c r="F2744" s="4" t="str">
        <v>24.49K</v>
      </c>
      <c r="G2744" s="4" t="str">
        <v>2.05%</v>
      </c>
      <c r="H2744" s="3">
        <v>41507</v>
      </c>
      <c r="I2744" s="4">
        <v>31084.5</v>
      </c>
    </row>
    <row r="2745" spans="1:9" x14ac:dyDescent="0.25">
      <c r="A2745" s="3">
        <v>41506</v>
      </c>
      <c r="B2745" s="4">
        <v>30812</v>
      </c>
      <c r="C2745" s="4">
        <v>31175</v>
      </c>
      <c r="D2745" s="4">
        <v>31179</v>
      </c>
      <c r="E2745" s="4">
        <v>30240</v>
      </c>
      <c r="F2745" s="4" t="str">
        <v>27.72K</v>
      </c>
      <c r="G2745" s="4" t="str">
        <v>-1.13%</v>
      </c>
      <c r="H2745" s="3">
        <v>41506</v>
      </c>
      <c r="I2745" s="4">
        <v>30709.5</v>
      </c>
    </row>
    <row r="2746" spans="1:9" x14ac:dyDescent="0.25">
      <c r="A2746" s="3">
        <v>41505</v>
      </c>
      <c r="B2746" s="4">
        <v>31165</v>
      </c>
      <c r="C2746" s="4">
        <v>30807</v>
      </c>
      <c r="D2746" s="4">
        <v>31278</v>
      </c>
      <c r="E2746" s="4">
        <v>30680</v>
      </c>
      <c r="F2746" s="4" t="str">
        <v>19.89K</v>
      </c>
      <c r="G2746" s="4" t="str">
        <v>1.05%</v>
      </c>
      <c r="H2746" s="3">
        <v>41505</v>
      </c>
      <c r="I2746" s="4">
        <v>30979</v>
      </c>
    </row>
    <row r="2747" spans="1:9" x14ac:dyDescent="0.25">
      <c r="A2747" s="3">
        <v>41503</v>
      </c>
      <c r="B2747" s="4">
        <v>30840</v>
      </c>
      <c r="C2747" s="4">
        <v>30888</v>
      </c>
      <c r="D2747" s="4">
        <v>30969</v>
      </c>
      <c r="E2747" s="4">
        <v>30681</v>
      </c>
      <c r="F2747" s="4" t="str">
        <v>2.35K</v>
      </c>
      <c r="G2747" s="4" t="str">
        <v>0.28%</v>
      </c>
      <c r="H2747" s="3">
        <v>41503</v>
      </c>
      <c r="I2747" s="4">
        <v>30825</v>
      </c>
    </row>
    <row r="2748" spans="1:9" x14ac:dyDescent="0.25">
      <c r="A2748" s="3">
        <v>41502</v>
      </c>
      <c r="B2748" s="4">
        <v>30755</v>
      </c>
      <c r="C2748" s="4">
        <v>29290</v>
      </c>
      <c r="D2748" s="4">
        <v>30870</v>
      </c>
      <c r="E2748" s="4">
        <v>29290</v>
      </c>
      <c r="F2748" s="4" t="str">
        <v>28.41K</v>
      </c>
      <c r="G2748" s="4" t="str">
        <v>5.38%</v>
      </c>
      <c r="H2748" s="3">
        <v>41502</v>
      </c>
      <c r="I2748" s="4">
        <v>30080</v>
      </c>
    </row>
    <row r="2749" spans="1:9" x14ac:dyDescent="0.25">
      <c r="A2749" s="3">
        <v>41500</v>
      </c>
      <c r="B2749" s="4">
        <v>29186</v>
      </c>
      <c r="C2749" s="4">
        <v>28900</v>
      </c>
      <c r="D2749" s="4">
        <v>29240</v>
      </c>
      <c r="E2749" s="4">
        <v>28755</v>
      </c>
      <c r="F2749" s="4" t="str">
        <v>22.00K</v>
      </c>
      <c r="G2749" s="4" t="str">
        <v>1.05%</v>
      </c>
      <c r="H2749" s="3">
        <v>41500</v>
      </c>
      <c r="I2749" s="4">
        <v>28997.5</v>
      </c>
    </row>
    <row r="2750" spans="1:9" x14ac:dyDescent="0.25">
      <c r="A2750" s="3">
        <v>41499</v>
      </c>
      <c r="B2750" s="4">
        <v>28882</v>
      </c>
      <c r="C2750" s="4">
        <v>28985</v>
      </c>
      <c r="D2750" s="4">
        <v>29333</v>
      </c>
      <c r="E2750" s="4">
        <v>28720</v>
      </c>
      <c r="F2750" s="4" t="str">
        <v>37.40K</v>
      </c>
      <c r="G2750" s="4" t="str">
        <v>-0.14%</v>
      </c>
      <c r="H2750" s="3">
        <v>41499</v>
      </c>
      <c r="I2750" s="4">
        <v>29026.5</v>
      </c>
    </row>
    <row r="2751" spans="1:9" x14ac:dyDescent="0.25">
      <c r="A2751" s="3">
        <v>41498</v>
      </c>
      <c r="B2751" s="4">
        <v>28923</v>
      </c>
      <c r="C2751" s="4">
        <v>28029</v>
      </c>
      <c r="D2751" s="4">
        <v>29049</v>
      </c>
      <c r="E2751" s="4">
        <v>28029</v>
      </c>
      <c r="F2751" s="4" t="str">
        <v>28.02K</v>
      </c>
      <c r="G2751" s="4" t="str">
        <v>3.64%</v>
      </c>
      <c r="H2751" s="3">
        <v>41498</v>
      </c>
      <c r="I2751" s="4">
        <v>28539</v>
      </c>
    </row>
    <row r="2752" spans="1:9" x14ac:dyDescent="0.25">
      <c r="A2752" s="3">
        <v>41496</v>
      </c>
      <c r="B2752" s="4">
        <v>27906</v>
      </c>
      <c r="C2752" s="4">
        <v>27924</v>
      </c>
      <c r="D2752" s="4">
        <v>27939</v>
      </c>
      <c r="E2752" s="4">
        <v>27875</v>
      </c>
      <c r="F2752" s="4" t="str">
        <v>0.87K</v>
      </c>
      <c r="G2752" s="4" t="str">
        <v>0.02%</v>
      </c>
      <c r="H2752" s="3">
        <v>41496</v>
      </c>
      <c r="I2752" s="4">
        <v>27907</v>
      </c>
    </row>
    <row r="2753" spans="1:9" x14ac:dyDescent="0.25">
      <c r="A2753" s="3">
        <v>41495</v>
      </c>
      <c r="B2753" s="4">
        <v>27900</v>
      </c>
      <c r="C2753" s="4">
        <v>27945</v>
      </c>
      <c r="D2753" s="4">
        <v>28028</v>
      </c>
      <c r="E2753" s="4">
        <v>27770</v>
      </c>
      <c r="F2753" s="4" t="str">
        <v>9.19K</v>
      </c>
      <c r="G2753" s="4" t="str">
        <v>-0.05%</v>
      </c>
      <c r="H2753" s="3">
        <v>41495</v>
      </c>
      <c r="I2753" s="4">
        <v>27899</v>
      </c>
    </row>
    <row r="2754" spans="1:9" x14ac:dyDescent="0.25">
      <c r="A2754" s="3">
        <v>41494</v>
      </c>
      <c r="B2754" s="4">
        <v>27913</v>
      </c>
      <c r="C2754" s="4">
        <v>27755</v>
      </c>
      <c r="D2754" s="4">
        <v>27960</v>
      </c>
      <c r="E2754" s="4">
        <v>27532</v>
      </c>
      <c r="F2754" s="4" t="str">
        <v>23.21K</v>
      </c>
      <c r="G2754" s="4" t="str">
        <v>0.85%</v>
      </c>
      <c r="H2754" s="3">
        <v>41494</v>
      </c>
      <c r="I2754" s="4">
        <v>27746</v>
      </c>
    </row>
    <row r="2755" spans="1:9" x14ac:dyDescent="0.25">
      <c r="A2755" s="3">
        <v>41493</v>
      </c>
      <c r="B2755" s="4">
        <v>27677</v>
      </c>
      <c r="C2755" s="4">
        <v>27619</v>
      </c>
      <c r="D2755" s="4">
        <v>27718</v>
      </c>
      <c r="E2755" s="4">
        <v>27342</v>
      </c>
      <c r="F2755" s="4" t="str">
        <v>25.84K</v>
      </c>
      <c r="G2755" s="4" t="str">
        <v>0.23%</v>
      </c>
      <c r="H2755" s="3">
        <v>41493</v>
      </c>
      <c r="I2755" s="4">
        <v>27530</v>
      </c>
    </row>
    <row r="2756" spans="1:9" x14ac:dyDescent="0.25">
      <c r="A2756" s="3">
        <v>41492</v>
      </c>
      <c r="B2756" s="4">
        <v>27614</v>
      </c>
      <c r="C2756" s="4">
        <v>27870</v>
      </c>
      <c r="D2756" s="4">
        <v>27966</v>
      </c>
      <c r="E2756" s="4">
        <v>27562</v>
      </c>
      <c r="F2756" s="4" t="str">
        <v>23.40K</v>
      </c>
      <c r="G2756" s="4" t="str">
        <v>-3.24%</v>
      </c>
      <c r="H2756" s="3">
        <v>41492</v>
      </c>
      <c r="I2756" s="4">
        <v>27764</v>
      </c>
    </row>
    <row r="2757" spans="1:9" x14ac:dyDescent="0.25">
      <c r="A2757" s="3">
        <v>41491</v>
      </c>
      <c r="B2757" s="4">
        <v>28540</v>
      </c>
      <c r="C2757" s="4">
        <v>28598</v>
      </c>
      <c r="D2757" s="4">
        <v>28630</v>
      </c>
      <c r="E2757" s="4">
        <v>27700</v>
      </c>
      <c r="F2757" s="4" t="str">
        <v>0.42K</v>
      </c>
      <c r="G2757" s="4" t="str">
        <v>0.22%</v>
      </c>
      <c r="H2757" s="3">
        <v>41491</v>
      </c>
      <c r="I2757" s="4">
        <v>28165</v>
      </c>
    </row>
    <row r="2758" spans="1:9" x14ac:dyDescent="0.25">
      <c r="A2758" s="3">
        <v>41489</v>
      </c>
      <c r="B2758" s="4">
        <v>28477</v>
      </c>
      <c r="C2758" s="4">
        <v>28568</v>
      </c>
      <c r="D2758" s="4">
        <v>28576</v>
      </c>
      <c r="E2758" s="4">
        <v>28422</v>
      </c>
      <c r="F2758" s="4" t="str">
        <v>0.10K</v>
      </c>
      <c r="G2758" s="4" t="str">
        <v>-0.03%</v>
      </c>
      <c r="H2758" s="3">
        <v>41489</v>
      </c>
      <c r="I2758" s="4">
        <v>28499</v>
      </c>
    </row>
    <row r="2759" spans="1:9" x14ac:dyDescent="0.25">
      <c r="A2759" s="3">
        <v>41488</v>
      </c>
      <c r="B2759" s="4">
        <v>28486</v>
      </c>
      <c r="C2759" s="4">
        <v>28130</v>
      </c>
      <c r="D2759" s="4">
        <v>28739</v>
      </c>
      <c r="E2759" s="4">
        <v>27825</v>
      </c>
      <c r="F2759" s="4" t="str">
        <v>0.66K</v>
      </c>
      <c r="G2759" s="4" t="str">
        <v>0.94%</v>
      </c>
      <c r="H2759" s="3">
        <v>41488</v>
      </c>
      <c r="I2759" s="4">
        <v>28282</v>
      </c>
    </row>
    <row r="2760" spans="1:9" x14ac:dyDescent="0.25">
      <c r="A2760" s="3">
        <v>41487</v>
      </c>
      <c r="B2760" s="4">
        <v>28220</v>
      </c>
      <c r="C2760" s="4">
        <v>28300</v>
      </c>
      <c r="D2760" s="4">
        <v>28499</v>
      </c>
      <c r="E2760" s="4">
        <v>28055</v>
      </c>
      <c r="F2760" s="4" t="str">
        <v>3.02K</v>
      </c>
      <c r="G2760" s="4" t="str">
        <v>0.05%</v>
      </c>
      <c r="H2760" s="3">
        <v>41487</v>
      </c>
      <c r="I2760" s="4">
        <v>28277</v>
      </c>
    </row>
    <row r="2761" spans="1:9" x14ac:dyDescent="0.25">
      <c r="A2761" s="3">
        <v>41486</v>
      </c>
      <c r="B2761" s="4">
        <v>28207</v>
      </c>
      <c r="C2761" s="4">
        <v>28790</v>
      </c>
      <c r="D2761" s="4">
        <v>29010</v>
      </c>
      <c r="E2761" s="4">
        <v>27926</v>
      </c>
      <c r="F2761" s="4" t="str">
        <v>21.20K</v>
      </c>
      <c r="G2761" s="4" t="str">
        <v>-1.73%</v>
      </c>
      <c r="H2761" s="3">
        <v>41486</v>
      </c>
      <c r="I2761" s="4">
        <v>28468</v>
      </c>
    </row>
    <row r="2762" spans="1:9" x14ac:dyDescent="0.25">
      <c r="A2762" s="3">
        <v>41485</v>
      </c>
      <c r="B2762" s="4">
        <v>28705</v>
      </c>
      <c r="C2762" s="4">
        <v>28300</v>
      </c>
      <c r="D2762" s="4">
        <v>28770</v>
      </c>
      <c r="E2762" s="4">
        <v>28075</v>
      </c>
      <c r="F2762" s="4" t="str">
        <v>24.80K</v>
      </c>
      <c r="G2762" s="4" t="str">
        <v>1.51%</v>
      </c>
      <c r="H2762" s="3">
        <v>41485</v>
      </c>
      <c r="I2762" s="4">
        <v>28422.5</v>
      </c>
    </row>
    <row r="2763" spans="1:9" x14ac:dyDescent="0.25">
      <c r="A2763" s="3">
        <v>41484</v>
      </c>
      <c r="B2763" s="4">
        <v>28277</v>
      </c>
      <c r="C2763" s="4">
        <v>27566</v>
      </c>
      <c r="D2763" s="4">
        <v>28444</v>
      </c>
      <c r="E2763" s="4">
        <v>27552</v>
      </c>
      <c r="F2763" s="4" t="str">
        <v>29.36K</v>
      </c>
      <c r="G2763" s="4" t="str">
        <v>2.34%</v>
      </c>
      <c r="H2763" s="3">
        <v>41484</v>
      </c>
      <c r="I2763" s="4">
        <v>27998</v>
      </c>
    </row>
    <row r="2764" spans="1:9" x14ac:dyDescent="0.25">
      <c r="A2764" s="3">
        <v>41482</v>
      </c>
      <c r="B2764" s="4">
        <v>27631</v>
      </c>
      <c r="C2764" s="4">
        <v>27470</v>
      </c>
      <c r="D2764" s="4">
        <v>27644</v>
      </c>
      <c r="E2764" s="4">
        <v>27470</v>
      </c>
      <c r="F2764" s="4" t="str">
        <v>3.58K</v>
      </c>
      <c r="G2764" s="4" t="str">
        <v>0.82%</v>
      </c>
      <c r="H2764" s="3">
        <v>41482</v>
      </c>
      <c r="I2764" s="4">
        <v>27557</v>
      </c>
    </row>
    <row r="2765" spans="1:9" x14ac:dyDescent="0.25">
      <c r="A2765" s="3">
        <v>41481</v>
      </c>
      <c r="B2765" s="4">
        <v>27405</v>
      </c>
      <c r="C2765" s="4">
        <v>27442</v>
      </c>
      <c r="D2765" s="4">
        <v>27543</v>
      </c>
      <c r="E2765" s="4">
        <v>27185</v>
      </c>
      <c r="F2765" s="4" t="str">
        <v>27.57K</v>
      </c>
      <c r="G2765" s="4" t="str">
        <v>0.00%</v>
      </c>
      <c r="H2765" s="3">
        <v>41481</v>
      </c>
      <c r="I2765" s="4">
        <v>27364</v>
      </c>
    </row>
    <row r="2766" spans="1:9" x14ac:dyDescent="0.25">
      <c r="A2766" s="3">
        <v>41480</v>
      </c>
      <c r="B2766" s="4">
        <v>27404</v>
      </c>
      <c r="C2766" s="4">
        <v>27255</v>
      </c>
      <c r="D2766" s="4">
        <v>27448</v>
      </c>
      <c r="E2766" s="4">
        <v>27012</v>
      </c>
      <c r="F2766" s="4" t="str">
        <v>30.16K</v>
      </c>
      <c r="G2766" s="4" t="str">
        <v>0.60%</v>
      </c>
      <c r="H2766" s="3">
        <v>41480</v>
      </c>
      <c r="I2766" s="4">
        <v>27230</v>
      </c>
    </row>
    <row r="2767" spans="1:9" x14ac:dyDescent="0.25">
      <c r="A2767" s="3">
        <v>41479</v>
      </c>
      <c r="B2767" s="4">
        <v>27240</v>
      </c>
      <c r="C2767" s="4">
        <v>27600</v>
      </c>
      <c r="D2767" s="4">
        <v>27716</v>
      </c>
      <c r="E2767" s="4">
        <v>27213</v>
      </c>
      <c r="F2767" s="4" t="str">
        <v>28.59K</v>
      </c>
      <c r="G2767" s="4" t="str">
        <v>-1.21%</v>
      </c>
      <c r="H2767" s="3">
        <v>41479</v>
      </c>
      <c r="I2767" s="4">
        <v>27464.5</v>
      </c>
    </row>
    <row r="2768" spans="1:9" x14ac:dyDescent="0.25">
      <c r="A2768" s="3">
        <v>41478</v>
      </c>
      <c r="B2768" s="4">
        <v>27574</v>
      </c>
      <c r="C2768" s="4">
        <v>27601</v>
      </c>
      <c r="D2768" s="4">
        <v>27668</v>
      </c>
      <c r="E2768" s="4">
        <v>27453</v>
      </c>
      <c r="F2768" s="4" t="str">
        <v>21.56K</v>
      </c>
      <c r="G2768" s="4" t="str">
        <v>0.05%</v>
      </c>
      <c r="H2768" s="3">
        <v>41478</v>
      </c>
      <c r="I2768" s="4">
        <v>27560.5</v>
      </c>
    </row>
    <row r="2769" spans="1:9" x14ac:dyDescent="0.25">
      <c r="A2769" s="3">
        <v>41477</v>
      </c>
      <c r="B2769" s="4">
        <v>27560</v>
      </c>
      <c r="C2769" s="4">
        <v>26786</v>
      </c>
      <c r="D2769" s="4">
        <v>27620</v>
      </c>
      <c r="E2769" s="4">
        <v>26786</v>
      </c>
      <c r="F2769" s="4" t="str">
        <v>29.86K</v>
      </c>
      <c r="G2769" s="4" t="str">
        <v>3.20%</v>
      </c>
      <c r="H2769" s="3">
        <v>41477</v>
      </c>
      <c r="I2769" s="4">
        <v>27203</v>
      </c>
    </row>
    <row r="2770" spans="1:9" x14ac:dyDescent="0.25">
      <c r="A2770" s="3">
        <v>41475</v>
      </c>
      <c r="B2770" s="4">
        <v>26705</v>
      </c>
      <c r="C2770" s="4">
        <v>26739</v>
      </c>
      <c r="D2770" s="4">
        <v>26745</v>
      </c>
      <c r="E2770" s="4">
        <v>26690</v>
      </c>
      <c r="F2770" s="4" t="str">
        <v>1.17K</v>
      </c>
      <c r="G2770" s="4" t="str">
        <v>0.04%</v>
      </c>
      <c r="H2770" s="3">
        <v>41475</v>
      </c>
      <c r="I2770" s="4">
        <v>26717.5</v>
      </c>
    </row>
    <row r="2771" spans="1:9" x14ac:dyDescent="0.25">
      <c r="A2771" s="3">
        <v>41474</v>
      </c>
      <c r="B2771" s="4">
        <v>26695</v>
      </c>
      <c r="C2771" s="4">
        <v>26700</v>
      </c>
      <c r="D2771" s="4">
        <v>26814</v>
      </c>
      <c r="E2771" s="4">
        <v>26611</v>
      </c>
      <c r="F2771" s="4" t="str">
        <v>19.41K</v>
      </c>
      <c r="G2771" s="4" t="str">
        <v>0.14%</v>
      </c>
      <c r="H2771" s="3">
        <v>41474</v>
      </c>
      <c r="I2771" s="4">
        <v>26712.5</v>
      </c>
    </row>
    <row r="2772" spans="1:9" x14ac:dyDescent="0.25">
      <c r="A2772" s="3">
        <v>41473</v>
      </c>
      <c r="B2772" s="4">
        <v>26658</v>
      </c>
      <c r="C2772" s="4">
        <v>26414</v>
      </c>
      <c r="D2772" s="4">
        <v>26688</v>
      </c>
      <c r="E2772" s="4">
        <v>26414</v>
      </c>
      <c r="F2772" s="4" t="str">
        <v>24.60K</v>
      </c>
      <c r="G2772" s="4" t="str">
        <v>1.18%</v>
      </c>
      <c r="H2772" s="3">
        <v>41473</v>
      </c>
      <c r="I2772" s="4">
        <v>26551</v>
      </c>
    </row>
    <row r="2773" spans="1:9" x14ac:dyDescent="0.25">
      <c r="A2773" s="3">
        <v>41472</v>
      </c>
      <c r="B2773" s="4">
        <v>26347</v>
      </c>
      <c r="C2773" s="4">
        <v>26400</v>
      </c>
      <c r="D2773" s="4">
        <v>26798</v>
      </c>
      <c r="E2773" s="4">
        <v>26240</v>
      </c>
      <c r="F2773" s="4" t="str">
        <v>33.76K</v>
      </c>
      <c r="G2773" s="4" t="str">
        <v>-0.46%</v>
      </c>
      <c r="H2773" s="3">
        <v>41472</v>
      </c>
      <c r="I2773" s="4">
        <v>26519</v>
      </c>
    </row>
    <row r="2774" spans="1:9" x14ac:dyDescent="0.25">
      <c r="A2774" s="3">
        <v>41471</v>
      </c>
      <c r="B2774" s="4">
        <v>26469</v>
      </c>
      <c r="C2774" s="4">
        <v>26380</v>
      </c>
      <c r="D2774" s="4">
        <v>26620</v>
      </c>
      <c r="E2774" s="4">
        <v>26340</v>
      </c>
      <c r="F2774" s="4" t="str">
        <v>24.95K</v>
      </c>
      <c r="G2774" s="4" t="str">
        <v>0.12%</v>
      </c>
      <c r="H2774" s="3">
        <v>41471</v>
      </c>
      <c r="I2774" s="4">
        <v>26480</v>
      </c>
    </row>
    <row r="2775" spans="1:9" x14ac:dyDescent="0.25">
      <c r="A2775" s="3">
        <v>41470</v>
      </c>
      <c r="B2775" s="4">
        <v>26438</v>
      </c>
      <c r="C2775" s="4">
        <v>26794</v>
      </c>
      <c r="D2775" s="4">
        <v>26925</v>
      </c>
      <c r="E2775" s="4">
        <v>26388</v>
      </c>
      <c r="F2775" s="4" t="str">
        <v>24.49K</v>
      </c>
      <c r="G2775" s="4" t="str">
        <v>-1.14%</v>
      </c>
      <c r="H2775" s="3">
        <v>41470</v>
      </c>
      <c r="I2775" s="4">
        <v>26656.5</v>
      </c>
    </row>
    <row r="2776" spans="1:9" x14ac:dyDescent="0.25">
      <c r="A2776" s="3">
        <v>41468</v>
      </c>
      <c r="B2776" s="4">
        <v>26743</v>
      </c>
      <c r="C2776" s="4">
        <v>26640</v>
      </c>
      <c r="D2776" s="4">
        <v>26777</v>
      </c>
      <c r="E2776" s="4">
        <v>26640</v>
      </c>
      <c r="F2776" s="4" t="str">
        <v>1.65K</v>
      </c>
      <c r="G2776" s="4" t="str">
        <v>0.53%</v>
      </c>
      <c r="H2776" s="3">
        <v>41468</v>
      </c>
      <c r="I2776" s="4">
        <v>26708.5</v>
      </c>
    </row>
    <row r="2777" spans="1:9" x14ac:dyDescent="0.25">
      <c r="A2777" s="3">
        <v>41467</v>
      </c>
      <c r="B2777" s="4">
        <v>26601</v>
      </c>
      <c r="C2777" s="4">
        <v>26693</v>
      </c>
      <c r="D2777" s="4">
        <v>26693</v>
      </c>
      <c r="E2777" s="4">
        <v>26444</v>
      </c>
      <c r="F2777" s="4" t="str">
        <v>24.49K</v>
      </c>
      <c r="G2777" s="4" t="str">
        <v>-0.28%</v>
      </c>
      <c r="H2777" s="3">
        <v>41467</v>
      </c>
      <c r="I2777" s="4">
        <v>26568.5</v>
      </c>
    </row>
    <row r="2778" spans="1:9" x14ac:dyDescent="0.25">
      <c r="A2778" s="3">
        <v>41466</v>
      </c>
      <c r="B2778" s="4">
        <v>26677</v>
      </c>
      <c r="C2778" s="4">
        <v>26185</v>
      </c>
      <c r="D2778" s="4">
        <v>26858</v>
      </c>
      <c r="E2778" s="4">
        <v>26185</v>
      </c>
      <c r="F2778" s="4" t="str">
        <v>31.65K</v>
      </c>
      <c r="G2778" s="4" t="str">
        <v>2.20%</v>
      </c>
      <c r="H2778" s="3">
        <v>41466</v>
      </c>
      <c r="I2778" s="4">
        <v>26521.5</v>
      </c>
    </row>
    <row r="2779" spans="1:9" x14ac:dyDescent="0.25">
      <c r="A2779" s="3">
        <v>41465</v>
      </c>
      <c r="B2779" s="4">
        <v>26103</v>
      </c>
      <c r="C2779" s="4">
        <v>26009</v>
      </c>
      <c r="D2779" s="4">
        <v>26251</v>
      </c>
      <c r="E2779" s="4">
        <v>25976</v>
      </c>
      <c r="F2779" s="4" t="str">
        <v>24.90K</v>
      </c>
      <c r="G2779" s="4" t="str">
        <v>0.36%</v>
      </c>
      <c r="H2779" s="3">
        <v>41465</v>
      </c>
      <c r="I2779" s="4">
        <v>26113.5</v>
      </c>
    </row>
    <row r="2780" spans="1:9" x14ac:dyDescent="0.25">
      <c r="A2780" s="3">
        <v>41464</v>
      </c>
      <c r="B2780" s="4">
        <v>26010</v>
      </c>
      <c r="C2780" s="4">
        <v>26147</v>
      </c>
      <c r="D2780" s="4">
        <v>26296</v>
      </c>
      <c r="E2780" s="4">
        <v>25976</v>
      </c>
      <c r="F2780" s="4" t="str">
        <v>25.10K</v>
      </c>
      <c r="G2780" s="4" t="str">
        <v>-0.37%</v>
      </c>
      <c r="H2780" s="3">
        <v>41464</v>
      </c>
      <c r="I2780" s="4">
        <v>26136</v>
      </c>
    </row>
    <row r="2781" spans="1:9" x14ac:dyDescent="0.25">
      <c r="A2781" s="3">
        <v>41463</v>
      </c>
      <c r="B2781" s="4">
        <v>26107</v>
      </c>
      <c r="C2781" s="4">
        <v>25988</v>
      </c>
      <c r="D2781" s="4">
        <v>26192</v>
      </c>
      <c r="E2781" s="4">
        <v>25887</v>
      </c>
      <c r="F2781" s="4" t="str">
        <v>23.57K</v>
      </c>
      <c r="G2781" s="4" t="str">
        <v>0.28%</v>
      </c>
      <c r="H2781" s="3">
        <v>41463</v>
      </c>
      <c r="I2781" s="4">
        <v>26039.5</v>
      </c>
    </row>
    <row r="2782" spans="1:9" x14ac:dyDescent="0.25">
      <c r="A2782" s="3">
        <v>41461</v>
      </c>
      <c r="B2782" s="4">
        <v>26034</v>
      </c>
      <c r="C2782" s="4">
        <v>25850</v>
      </c>
      <c r="D2782" s="4">
        <v>26046</v>
      </c>
      <c r="E2782" s="4">
        <v>25850</v>
      </c>
      <c r="F2782" s="4" t="str">
        <v>2.12K</v>
      </c>
      <c r="G2782" s="4" t="str">
        <v>0.76%</v>
      </c>
      <c r="H2782" s="3">
        <v>41461</v>
      </c>
      <c r="I2782" s="4">
        <v>25948</v>
      </c>
    </row>
    <row r="2783" spans="1:9" x14ac:dyDescent="0.25">
      <c r="A2783" s="3">
        <v>41460</v>
      </c>
      <c r="B2783" s="4">
        <v>25838</v>
      </c>
      <c r="C2783" s="4">
        <v>26175</v>
      </c>
      <c r="D2783" s="4">
        <v>26175</v>
      </c>
      <c r="E2783" s="4">
        <v>25710</v>
      </c>
      <c r="F2783" s="4" t="str">
        <v>36.00K</v>
      </c>
      <c r="G2783" s="4" t="str">
        <v>-1.17%</v>
      </c>
      <c r="H2783" s="3">
        <v>41460</v>
      </c>
      <c r="I2783" s="4">
        <v>25942.5</v>
      </c>
    </row>
    <row r="2784" spans="1:9" x14ac:dyDescent="0.25">
      <c r="A2784" s="3">
        <v>41459</v>
      </c>
      <c r="B2784" s="4">
        <v>26143</v>
      </c>
      <c r="C2784" s="4">
        <v>26202</v>
      </c>
      <c r="D2784" s="4">
        <v>26269</v>
      </c>
      <c r="E2784" s="4">
        <v>26109</v>
      </c>
      <c r="F2784" s="4" t="str">
        <v>15.86K</v>
      </c>
      <c r="G2784" s="4" t="str">
        <v>-0.58%</v>
      </c>
      <c r="H2784" s="3">
        <v>41459</v>
      </c>
      <c r="I2784" s="4">
        <v>26189</v>
      </c>
    </row>
    <row r="2785" spans="1:9" x14ac:dyDescent="0.25">
      <c r="A2785" s="3">
        <v>41458</v>
      </c>
      <c r="B2785" s="4">
        <v>26296</v>
      </c>
      <c r="C2785" s="4">
        <v>26052</v>
      </c>
      <c r="D2785" s="4">
        <v>26430</v>
      </c>
      <c r="E2785" s="4">
        <v>26020</v>
      </c>
      <c r="F2785" s="4" t="str">
        <v>34.57K</v>
      </c>
      <c r="G2785" s="4" t="str">
        <v>1.50%</v>
      </c>
      <c r="H2785" s="3">
        <v>41458</v>
      </c>
      <c r="I2785" s="4">
        <v>26225</v>
      </c>
    </row>
    <row r="2786" spans="1:9" x14ac:dyDescent="0.25">
      <c r="A2786" s="3">
        <v>41457</v>
      </c>
      <c r="B2786" s="4">
        <v>25907</v>
      </c>
      <c r="C2786" s="4">
        <v>26005</v>
      </c>
      <c r="D2786" s="4">
        <v>26240</v>
      </c>
      <c r="E2786" s="4">
        <v>25821</v>
      </c>
      <c r="F2786" s="4" t="str">
        <v>29.95K</v>
      </c>
      <c r="G2786" s="4" t="str">
        <v>-0.28%</v>
      </c>
      <c r="H2786" s="3">
        <v>41457</v>
      </c>
      <c r="I2786" s="4">
        <v>26030.5</v>
      </c>
    </row>
    <row r="2787" spans="1:9" x14ac:dyDescent="0.25">
      <c r="A2787" s="3">
        <v>41456</v>
      </c>
      <c r="B2787" s="4">
        <v>25981</v>
      </c>
      <c r="C2787" s="4">
        <v>25769</v>
      </c>
      <c r="D2787" s="4">
        <v>26075</v>
      </c>
      <c r="E2787" s="4">
        <v>25574</v>
      </c>
      <c r="F2787" s="4" t="str">
        <v>33.69K</v>
      </c>
      <c r="G2787" s="4" t="str">
        <v>1.22%</v>
      </c>
      <c r="H2787" s="3">
        <v>41456</v>
      </c>
      <c r="I2787" s="4">
        <v>25824.5</v>
      </c>
    </row>
    <row r="2788" spans="1:9" x14ac:dyDescent="0.25">
      <c r="A2788" s="3">
        <v>41454</v>
      </c>
      <c r="B2788" s="4">
        <v>25669</v>
      </c>
      <c r="C2788" s="4">
        <v>25650</v>
      </c>
      <c r="D2788" s="4">
        <v>25735</v>
      </c>
      <c r="E2788" s="4">
        <v>25635</v>
      </c>
      <c r="F2788" s="4" t="str">
        <v>3.08K</v>
      </c>
      <c r="G2788" s="4" t="str">
        <v>0.28%</v>
      </c>
      <c r="H2788" s="3">
        <v>41454</v>
      </c>
      <c r="I2788" s="4">
        <v>25685</v>
      </c>
    </row>
    <row r="2789" spans="1:9" x14ac:dyDescent="0.25">
      <c r="A2789" s="3">
        <v>41453</v>
      </c>
      <c r="B2789" s="4">
        <v>25598</v>
      </c>
      <c r="C2789" s="4">
        <v>25247</v>
      </c>
      <c r="D2789" s="4">
        <v>25655</v>
      </c>
      <c r="E2789" s="4">
        <v>24830</v>
      </c>
      <c r="F2789" s="4" t="str">
        <v>88.23K</v>
      </c>
      <c r="G2789" s="4" t="str">
        <v>0.88%</v>
      </c>
      <c r="H2789" s="3">
        <v>41453</v>
      </c>
      <c r="I2789" s="4">
        <v>25242.5</v>
      </c>
    </row>
    <row r="2790" spans="1:9" x14ac:dyDescent="0.25">
      <c r="A2790" s="3">
        <v>41452</v>
      </c>
      <c r="B2790" s="4">
        <v>25375</v>
      </c>
      <c r="C2790" s="4">
        <v>26151</v>
      </c>
      <c r="D2790" s="4">
        <v>26279</v>
      </c>
      <c r="E2790" s="4">
        <v>25265</v>
      </c>
      <c r="F2790" s="4" t="str">
        <v>65.52K</v>
      </c>
      <c r="G2790" s="4" t="str">
        <v>-2.91%</v>
      </c>
      <c r="H2790" s="3">
        <v>41452</v>
      </c>
      <c r="I2790" s="4">
        <v>25772</v>
      </c>
    </row>
    <row r="2791" spans="1:9" x14ac:dyDescent="0.25">
      <c r="A2791" s="3">
        <v>41451</v>
      </c>
      <c r="B2791" s="4">
        <v>26136</v>
      </c>
      <c r="C2791" s="4">
        <v>26535</v>
      </c>
      <c r="D2791" s="4">
        <v>26535</v>
      </c>
      <c r="E2791" s="4">
        <v>25758</v>
      </c>
      <c r="F2791" s="4" t="str">
        <v>80.55K</v>
      </c>
      <c r="G2791" s="4" t="str">
        <v>-1.59%</v>
      </c>
      <c r="H2791" s="3">
        <v>41451</v>
      </c>
      <c r="I2791" s="4">
        <v>26146.5</v>
      </c>
    </row>
    <row r="2792" spans="1:9" x14ac:dyDescent="0.25">
      <c r="A2792" s="3">
        <v>41450</v>
      </c>
      <c r="B2792" s="4">
        <v>26559</v>
      </c>
      <c r="C2792" s="4">
        <v>26666</v>
      </c>
      <c r="D2792" s="4">
        <v>26775</v>
      </c>
      <c r="E2792" s="4">
        <v>26512</v>
      </c>
      <c r="F2792" s="4" t="str">
        <v>45.62K</v>
      </c>
      <c r="G2792" s="4" t="str">
        <v>-0.62%</v>
      </c>
      <c r="H2792" s="3">
        <v>41450</v>
      </c>
      <c r="I2792" s="4">
        <v>26643.5</v>
      </c>
    </row>
    <row r="2793" spans="1:9" x14ac:dyDescent="0.25">
      <c r="A2793" s="3">
        <v>41449</v>
      </c>
      <c r="B2793" s="4">
        <v>26725</v>
      </c>
      <c r="C2793" s="4">
        <v>27000</v>
      </c>
      <c r="D2793" s="4">
        <v>27000</v>
      </c>
      <c r="E2793" s="4">
        <v>26650</v>
      </c>
      <c r="F2793" s="4" t="str">
        <v>47.08K</v>
      </c>
      <c r="G2793" s="4" t="str">
        <v>-1.09%</v>
      </c>
      <c r="H2793" s="3">
        <v>41449</v>
      </c>
      <c r="I2793" s="4">
        <v>26825</v>
      </c>
    </row>
    <row r="2794" spans="1:9" x14ac:dyDescent="0.25">
      <c r="A2794" s="3">
        <v>41447</v>
      </c>
      <c r="B2794" s="4">
        <v>27020</v>
      </c>
      <c r="C2794" s="4">
        <v>26980</v>
      </c>
      <c r="D2794" s="4">
        <v>27043</v>
      </c>
      <c r="E2794" s="4">
        <v>26975</v>
      </c>
      <c r="F2794" s="4" t="str">
        <v>1.88K</v>
      </c>
      <c r="G2794" s="4" t="str">
        <v>0.29%</v>
      </c>
      <c r="H2794" s="3">
        <v>41447</v>
      </c>
      <c r="I2794" s="4">
        <v>27009</v>
      </c>
    </row>
    <row r="2795" spans="1:9" x14ac:dyDescent="0.25">
      <c r="A2795" s="3">
        <v>41446</v>
      </c>
      <c r="B2795" s="4">
        <v>26943</v>
      </c>
      <c r="C2795" s="4">
        <v>26886</v>
      </c>
      <c r="D2795" s="4">
        <v>27000</v>
      </c>
      <c r="E2795" s="4">
        <v>26706</v>
      </c>
      <c r="F2795" s="4" t="str">
        <v>52.90K</v>
      </c>
      <c r="G2795" s="4" t="str">
        <v>0.28%</v>
      </c>
      <c r="H2795" s="3">
        <v>41446</v>
      </c>
      <c r="I2795" s="4">
        <v>26853</v>
      </c>
    </row>
    <row r="2796" spans="1:9" x14ac:dyDescent="0.25">
      <c r="A2796" s="3">
        <v>41445</v>
      </c>
      <c r="B2796" s="4">
        <v>26869</v>
      </c>
      <c r="C2796" s="4">
        <v>28000</v>
      </c>
      <c r="D2796" s="4">
        <v>28000</v>
      </c>
      <c r="E2796" s="4">
        <v>26829</v>
      </c>
      <c r="F2796" s="4" t="str">
        <v>102.18K</v>
      </c>
      <c r="G2796" s="4" t="str">
        <v>-4.08%</v>
      </c>
      <c r="H2796" s="3">
        <v>41445</v>
      </c>
      <c r="I2796" s="4">
        <v>27414.5</v>
      </c>
    </row>
    <row r="2797" spans="1:9" x14ac:dyDescent="0.25">
      <c r="A2797" s="3">
        <v>41444</v>
      </c>
      <c r="B2797" s="4">
        <v>28011</v>
      </c>
      <c r="C2797" s="4">
        <v>27914</v>
      </c>
      <c r="D2797" s="4">
        <v>28066</v>
      </c>
      <c r="E2797" s="4">
        <v>27851</v>
      </c>
      <c r="F2797" s="4" t="str">
        <v>29.67K</v>
      </c>
      <c r="G2797" s="4" t="str">
        <v>0.16%</v>
      </c>
      <c r="H2797" s="3">
        <v>41444</v>
      </c>
      <c r="I2797" s="4">
        <v>27958.5</v>
      </c>
    </row>
    <row r="2798" spans="1:9" x14ac:dyDescent="0.25">
      <c r="A2798" s="3">
        <v>41443</v>
      </c>
      <c r="B2798" s="4">
        <v>27967</v>
      </c>
      <c r="C2798" s="4">
        <v>27941</v>
      </c>
      <c r="D2798" s="4">
        <v>28119</v>
      </c>
      <c r="E2798" s="4">
        <v>27840</v>
      </c>
      <c r="F2798" s="4" t="str">
        <v>41.56K</v>
      </c>
      <c r="G2798" s="4" t="str">
        <v>0.35%</v>
      </c>
      <c r="H2798" s="3">
        <v>41443</v>
      </c>
      <c r="I2798" s="4">
        <v>27979.5</v>
      </c>
    </row>
    <row r="2799" spans="1:9" x14ac:dyDescent="0.25">
      <c r="A2799" s="3">
        <v>41442</v>
      </c>
      <c r="B2799" s="4">
        <v>27869</v>
      </c>
      <c r="C2799" s="4">
        <v>27899</v>
      </c>
      <c r="D2799" s="4">
        <v>27947</v>
      </c>
      <c r="E2799" s="4">
        <v>27751</v>
      </c>
      <c r="F2799" s="4" t="str">
        <v>25.18K</v>
      </c>
      <c r="G2799" s="4" t="str">
        <v>-0.04%</v>
      </c>
      <c r="H2799" s="3">
        <v>41442</v>
      </c>
      <c r="I2799" s="4">
        <v>27849</v>
      </c>
    </row>
    <row r="2800" spans="1:9" x14ac:dyDescent="0.25">
      <c r="A2800" s="3">
        <v>41440</v>
      </c>
      <c r="B2800" s="4">
        <v>27879</v>
      </c>
      <c r="C2800" s="4">
        <v>27826</v>
      </c>
      <c r="D2800" s="4">
        <v>27898</v>
      </c>
      <c r="E2800" s="4">
        <v>27822</v>
      </c>
      <c r="F2800" s="4" t="str">
        <v>1.79K</v>
      </c>
      <c r="G2800" s="4" t="str">
        <v>0.24%</v>
      </c>
      <c r="H2800" s="3">
        <v>41440</v>
      </c>
      <c r="I2800" s="4">
        <v>27860</v>
      </c>
    </row>
    <row r="2801" spans="1:9" x14ac:dyDescent="0.25">
      <c r="A2801" s="3">
        <v>41439</v>
      </c>
      <c r="B2801" s="4">
        <v>27811</v>
      </c>
      <c r="C2801" s="4">
        <v>27785</v>
      </c>
      <c r="D2801" s="4">
        <v>27843</v>
      </c>
      <c r="E2801" s="4">
        <v>27565</v>
      </c>
      <c r="F2801" s="4" t="str">
        <v>36.63K</v>
      </c>
      <c r="G2801" s="4" t="str">
        <v>0.16%</v>
      </c>
      <c r="H2801" s="3">
        <v>41439</v>
      </c>
      <c r="I2801" s="4">
        <v>27704</v>
      </c>
    </row>
    <row r="2802" spans="1:9" x14ac:dyDescent="0.25">
      <c r="A2802" s="3">
        <v>41438</v>
      </c>
      <c r="B2802" s="4">
        <v>27766</v>
      </c>
      <c r="C2802" s="4">
        <v>28000</v>
      </c>
      <c r="D2802" s="4">
        <v>28186</v>
      </c>
      <c r="E2802" s="4">
        <v>27711</v>
      </c>
      <c r="F2802" s="4" t="str">
        <v>45.54K</v>
      </c>
      <c r="G2802" s="4" t="str">
        <v>-0.67%</v>
      </c>
      <c r="H2802" s="3">
        <v>41438</v>
      </c>
      <c r="I2802" s="4">
        <v>27948.5</v>
      </c>
    </row>
    <row r="2803" spans="1:9" x14ac:dyDescent="0.25">
      <c r="A2803" s="3">
        <v>41437</v>
      </c>
      <c r="B2803" s="4">
        <v>27952</v>
      </c>
      <c r="C2803" s="4">
        <v>27863</v>
      </c>
      <c r="D2803" s="4">
        <v>27997</v>
      </c>
      <c r="E2803" s="4">
        <v>27601</v>
      </c>
      <c r="F2803" s="4" t="str">
        <v>41.20K</v>
      </c>
      <c r="G2803" s="4" t="str">
        <v>0.22%</v>
      </c>
      <c r="H2803" s="3">
        <v>41437</v>
      </c>
      <c r="I2803" s="4">
        <v>27799</v>
      </c>
    </row>
    <row r="2804" spans="1:9" x14ac:dyDescent="0.25">
      <c r="A2804" s="3">
        <v>41436</v>
      </c>
      <c r="B2804" s="4">
        <v>27892</v>
      </c>
      <c r="C2804" s="4">
        <v>28041</v>
      </c>
      <c r="D2804" s="4">
        <v>28288</v>
      </c>
      <c r="E2804" s="4">
        <v>27678</v>
      </c>
      <c r="F2804" s="4" t="str">
        <v>49.81K</v>
      </c>
      <c r="G2804" s="4" t="str">
        <v>-0.42%</v>
      </c>
      <c r="H2804" s="3">
        <v>41436</v>
      </c>
      <c r="I2804" s="4">
        <v>27983</v>
      </c>
    </row>
    <row r="2805" spans="1:9" x14ac:dyDescent="0.25">
      <c r="A2805" s="3">
        <v>41435</v>
      </c>
      <c r="B2805" s="4">
        <v>28011</v>
      </c>
      <c r="C2805" s="4">
        <v>27617</v>
      </c>
      <c r="D2805" s="4">
        <v>28034</v>
      </c>
      <c r="E2805" s="4">
        <v>27586</v>
      </c>
      <c r="F2805" s="4" t="str">
        <v>38.93K</v>
      </c>
      <c r="G2805" s="4" t="str">
        <v>1.56%</v>
      </c>
      <c r="H2805" s="3">
        <v>41435</v>
      </c>
      <c r="I2805" s="4">
        <v>27810</v>
      </c>
    </row>
    <row r="2806" spans="1:9" x14ac:dyDescent="0.25">
      <c r="A2806" s="3">
        <v>41433</v>
      </c>
      <c r="B2806" s="4">
        <v>27580</v>
      </c>
      <c r="C2806" s="4">
        <v>27532</v>
      </c>
      <c r="D2806" s="4">
        <v>27593</v>
      </c>
      <c r="E2806" s="4">
        <v>27532</v>
      </c>
      <c r="F2806" s="4" t="str">
        <v>1.34K</v>
      </c>
      <c r="G2806" s="4" t="str">
        <v>0.17%</v>
      </c>
      <c r="H2806" s="3">
        <v>41433</v>
      </c>
      <c r="I2806" s="4">
        <v>27562.5</v>
      </c>
    </row>
    <row r="2807" spans="1:9" x14ac:dyDescent="0.25">
      <c r="A2807" s="3">
        <v>41432</v>
      </c>
      <c r="B2807" s="4">
        <v>27532</v>
      </c>
      <c r="C2807" s="4">
        <v>27851</v>
      </c>
      <c r="D2807" s="4">
        <v>28099</v>
      </c>
      <c r="E2807" s="4">
        <v>27420</v>
      </c>
      <c r="F2807" s="4" t="str">
        <v>54.53K</v>
      </c>
      <c r="G2807" s="4" t="str">
        <v>-1.34%</v>
      </c>
      <c r="H2807" s="3">
        <v>41432</v>
      </c>
      <c r="I2807" s="4">
        <v>27759.5</v>
      </c>
    </row>
    <row r="2808" spans="1:9" x14ac:dyDescent="0.25">
      <c r="A2808" s="3">
        <v>41431</v>
      </c>
      <c r="B2808" s="4">
        <v>27905</v>
      </c>
      <c r="C2808" s="4">
        <v>27621</v>
      </c>
      <c r="D2808" s="4">
        <v>28038</v>
      </c>
      <c r="E2808" s="4">
        <v>27490</v>
      </c>
      <c r="F2808" s="4" t="str">
        <v>52.24K</v>
      </c>
      <c r="G2808" s="4" t="str">
        <v>1.82%</v>
      </c>
      <c r="H2808" s="3">
        <v>41431</v>
      </c>
      <c r="I2808" s="4">
        <v>27764</v>
      </c>
    </row>
    <row r="2809" spans="1:9" x14ac:dyDescent="0.25">
      <c r="A2809" s="3">
        <v>41430</v>
      </c>
      <c r="B2809" s="4">
        <v>27406</v>
      </c>
      <c r="C2809" s="4">
        <v>27080</v>
      </c>
      <c r="D2809" s="4">
        <v>27733</v>
      </c>
      <c r="E2809" s="4">
        <v>27003</v>
      </c>
      <c r="F2809" s="4" t="str">
        <v>0.50K</v>
      </c>
      <c r="G2809" s="4" t="str">
        <v>1.48%</v>
      </c>
      <c r="H2809" s="3">
        <v>41430</v>
      </c>
      <c r="I2809" s="4">
        <v>27368</v>
      </c>
    </row>
    <row r="2810" spans="1:9" x14ac:dyDescent="0.25">
      <c r="A2810" s="3">
        <v>41429</v>
      </c>
      <c r="B2810" s="4">
        <v>27007</v>
      </c>
      <c r="C2810" s="4">
        <v>27160</v>
      </c>
      <c r="D2810" s="4">
        <v>27272</v>
      </c>
      <c r="E2810" s="4">
        <v>26900</v>
      </c>
      <c r="F2810" s="4" t="str">
        <v>1.00K</v>
      </c>
      <c r="G2810" s="4" t="str">
        <v>-0.63%</v>
      </c>
      <c r="H2810" s="3">
        <v>41429</v>
      </c>
      <c r="I2810" s="4">
        <v>27086</v>
      </c>
    </row>
    <row r="2811" spans="1:9" x14ac:dyDescent="0.25">
      <c r="A2811" s="3">
        <v>41428</v>
      </c>
      <c r="B2811" s="4">
        <v>27179</v>
      </c>
      <c r="C2811" s="4">
        <v>26895</v>
      </c>
      <c r="D2811" s="4">
        <v>27221</v>
      </c>
      <c r="E2811" s="4">
        <v>26780</v>
      </c>
      <c r="F2811" s="4" t="str">
        <v>1.51K</v>
      </c>
      <c r="G2811" s="4" t="str">
        <v>1.37%</v>
      </c>
      <c r="H2811" s="3">
        <v>41428</v>
      </c>
      <c r="I2811" s="4">
        <v>27000.5</v>
      </c>
    </row>
    <row r="2812" spans="1:9" x14ac:dyDescent="0.25">
      <c r="A2812" s="3">
        <v>41426</v>
      </c>
      <c r="B2812" s="4">
        <v>26811</v>
      </c>
      <c r="C2812" s="4">
        <v>26869</v>
      </c>
      <c r="D2812" s="4">
        <v>26895</v>
      </c>
      <c r="E2812" s="4">
        <v>26776</v>
      </c>
      <c r="F2812" s="4" t="str">
        <v>1.47K</v>
      </c>
      <c r="G2812" s="4" t="str">
        <v>-0.23%</v>
      </c>
      <c r="H2812" s="3">
        <v>41426</v>
      </c>
      <c r="I2812" s="4">
        <v>26835.5</v>
      </c>
    </row>
    <row r="2813" spans="1:9" x14ac:dyDescent="0.25">
      <c r="A2813" s="3">
        <v>41425</v>
      </c>
      <c r="B2813" s="4">
        <v>26874</v>
      </c>
      <c r="C2813" s="4">
        <v>27176</v>
      </c>
      <c r="D2813" s="4">
        <v>27308</v>
      </c>
      <c r="E2813" s="4">
        <v>26851</v>
      </c>
      <c r="F2813" s="4" t="str">
        <v>35.84K</v>
      </c>
      <c r="G2813" s="4" t="str">
        <v>-1.05%</v>
      </c>
      <c r="H2813" s="3">
        <v>41425</v>
      </c>
      <c r="I2813" s="4">
        <v>27079.5</v>
      </c>
    </row>
    <row r="2814" spans="1:9" x14ac:dyDescent="0.25">
      <c r="A2814" s="3">
        <v>41424</v>
      </c>
      <c r="B2814" s="4">
        <v>27158</v>
      </c>
      <c r="C2814" s="4">
        <v>26636</v>
      </c>
      <c r="D2814" s="4">
        <v>27198</v>
      </c>
      <c r="E2814" s="4">
        <v>26555</v>
      </c>
      <c r="F2814" s="4" t="str">
        <v>44.47K</v>
      </c>
      <c r="G2814" s="4" t="str">
        <v>1.98%</v>
      </c>
      <c r="H2814" s="3">
        <v>41424</v>
      </c>
      <c r="I2814" s="4">
        <v>26876.5</v>
      </c>
    </row>
    <row r="2815" spans="1:9" x14ac:dyDescent="0.25">
      <c r="A2815" s="3">
        <v>41423</v>
      </c>
      <c r="B2815" s="4">
        <v>26630</v>
      </c>
      <c r="C2815" s="4">
        <v>26481</v>
      </c>
      <c r="D2815" s="4">
        <v>26659</v>
      </c>
      <c r="E2815" s="4">
        <v>26382</v>
      </c>
      <c r="F2815" s="4" t="str">
        <v>32.27K</v>
      </c>
      <c r="G2815" s="4" t="str">
        <v>0.83%</v>
      </c>
      <c r="H2815" s="3">
        <v>41423</v>
      </c>
      <c r="I2815" s="4">
        <v>26520.5</v>
      </c>
    </row>
    <row r="2816" spans="1:9" x14ac:dyDescent="0.25">
      <c r="A2816" s="3">
        <v>41422</v>
      </c>
      <c r="B2816" s="4">
        <v>26411</v>
      </c>
      <c r="C2816" s="4">
        <v>26426</v>
      </c>
      <c r="D2816" s="4">
        <v>26826</v>
      </c>
      <c r="E2816" s="4">
        <v>26202</v>
      </c>
      <c r="F2816" s="4" t="str">
        <v>52.19K</v>
      </c>
      <c r="G2816" s="4" t="str">
        <v>-0.13%</v>
      </c>
      <c r="H2816" s="3">
        <v>41422</v>
      </c>
      <c r="I2816" s="4">
        <v>26514</v>
      </c>
    </row>
    <row r="2817" spans="1:9" x14ac:dyDescent="0.25">
      <c r="A2817" s="3">
        <v>41421</v>
      </c>
      <c r="B2817" s="4">
        <v>26446</v>
      </c>
      <c r="C2817" s="4">
        <v>26439</v>
      </c>
      <c r="D2817" s="4">
        <v>26489</v>
      </c>
      <c r="E2817" s="4">
        <v>26364</v>
      </c>
      <c r="F2817" s="4" t="str">
        <v>13.69K</v>
      </c>
      <c r="G2817" s="4" t="str">
        <v>0.15%</v>
      </c>
      <c r="H2817" s="3">
        <v>41421</v>
      </c>
      <c r="I2817" s="4">
        <v>26426.5</v>
      </c>
    </row>
    <row r="2818" spans="1:9" x14ac:dyDescent="0.25">
      <c r="A2818" s="3">
        <v>41418</v>
      </c>
      <c r="B2818" s="4">
        <v>26406</v>
      </c>
      <c r="C2818" s="4">
        <v>26463</v>
      </c>
      <c r="D2818" s="4">
        <v>26537</v>
      </c>
      <c r="E2818" s="4">
        <v>26250</v>
      </c>
      <c r="F2818" s="4" t="str">
        <v>35.32K</v>
      </c>
      <c r="G2818" s="4" t="str">
        <v>-0.13%</v>
      </c>
      <c r="H2818" s="3">
        <v>41418</v>
      </c>
      <c r="I2818" s="4">
        <v>26393.5</v>
      </c>
    </row>
    <row r="2819" spans="1:9" x14ac:dyDescent="0.25">
      <c r="A2819" s="3">
        <v>41417</v>
      </c>
      <c r="B2819" s="4">
        <v>26440</v>
      </c>
      <c r="C2819" s="4">
        <v>26020</v>
      </c>
      <c r="D2819" s="4">
        <v>26480</v>
      </c>
      <c r="E2819" s="4">
        <v>26020</v>
      </c>
      <c r="F2819" s="4" t="str">
        <v>54.08K</v>
      </c>
      <c r="G2819" s="4" t="str">
        <v>1.84%</v>
      </c>
      <c r="H2819" s="3">
        <v>41417</v>
      </c>
      <c r="I2819" s="4">
        <v>26250</v>
      </c>
    </row>
    <row r="2820" spans="1:9" x14ac:dyDescent="0.25">
      <c r="A2820" s="3">
        <v>41416</v>
      </c>
      <c r="B2820" s="4">
        <v>25963</v>
      </c>
      <c r="C2820" s="4">
        <v>26174</v>
      </c>
      <c r="D2820" s="4">
        <v>26677</v>
      </c>
      <c r="E2820" s="4">
        <v>25902</v>
      </c>
      <c r="F2820" s="4" t="str">
        <v>70.33K</v>
      </c>
      <c r="G2820" s="4" t="str">
        <v>-0.56%</v>
      </c>
      <c r="H2820" s="3">
        <v>41416</v>
      </c>
      <c r="I2820" s="4">
        <v>26289.5</v>
      </c>
    </row>
    <row r="2821" spans="1:9" x14ac:dyDescent="0.25">
      <c r="A2821" s="3">
        <v>41415</v>
      </c>
      <c r="B2821" s="4">
        <v>26110</v>
      </c>
      <c r="C2821" s="4">
        <v>26140</v>
      </c>
      <c r="D2821" s="4">
        <v>26362</v>
      </c>
      <c r="E2821" s="4">
        <v>25843</v>
      </c>
      <c r="F2821" s="4" t="str">
        <v>53.16K</v>
      </c>
      <c r="G2821" s="4" t="str">
        <v>0.08%</v>
      </c>
      <c r="H2821" s="3">
        <v>41415</v>
      </c>
      <c r="I2821" s="4">
        <v>26102.5</v>
      </c>
    </row>
    <row r="2822" spans="1:9" x14ac:dyDescent="0.25">
      <c r="A2822" s="3">
        <v>41414</v>
      </c>
      <c r="B2822" s="4">
        <v>26088</v>
      </c>
      <c r="C2822" s="4">
        <v>25790</v>
      </c>
      <c r="D2822" s="4">
        <v>26339</v>
      </c>
      <c r="E2822" s="4">
        <v>25373</v>
      </c>
      <c r="F2822" s="4" t="str">
        <v>58.81K</v>
      </c>
      <c r="G2822" s="4" t="str">
        <v>0.98%</v>
      </c>
      <c r="H2822" s="3">
        <v>41414</v>
      </c>
      <c r="I2822" s="4">
        <v>25856</v>
      </c>
    </row>
    <row r="2823" spans="1:9" x14ac:dyDescent="0.25">
      <c r="A2823" s="3">
        <v>41412</v>
      </c>
      <c r="B2823" s="4">
        <v>25835</v>
      </c>
      <c r="C2823" s="4">
        <v>25854</v>
      </c>
      <c r="D2823" s="4">
        <v>25854</v>
      </c>
      <c r="E2823" s="4">
        <v>25785</v>
      </c>
      <c r="F2823" s="4" t="str">
        <v>2.88K</v>
      </c>
      <c r="G2823" s="4" t="str">
        <v>-0.19%</v>
      </c>
      <c r="H2823" s="3">
        <v>41412</v>
      </c>
      <c r="I2823" s="4">
        <v>25819.5</v>
      </c>
    </row>
    <row r="2824" spans="1:9" x14ac:dyDescent="0.25">
      <c r="A2824" s="3">
        <v>41411</v>
      </c>
      <c r="B2824" s="4">
        <v>25884</v>
      </c>
      <c r="C2824" s="4">
        <v>26044</v>
      </c>
      <c r="D2824" s="4">
        <v>26142</v>
      </c>
      <c r="E2824" s="4">
        <v>25776</v>
      </c>
      <c r="F2824" s="4" t="str">
        <v>55.01K</v>
      </c>
      <c r="G2824" s="4" t="str">
        <v>-0.95%</v>
      </c>
      <c r="H2824" s="3">
        <v>41411</v>
      </c>
      <c r="I2824" s="4">
        <v>25959</v>
      </c>
    </row>
    <row r="2825" spans="1:9" x14ac:dyDescent="0.25">
      <c r="A2825" s="3">
        <v>41410</v>
      </c>
      <c r="B2825" s="4">
        <v>26131</v>
      </c>
      <c r="C2825" s="4">
        <v>26222</v>
      </c>
      <c r="D2825" s="4">
        <v>26222</v>
      </c>
      <c r="E2825" s="4">
        <v>25860</v>
      </c>
      <c r="F2825" s="4" t="str">
        <v>58.97K</v>
      </c>
      <c r="G2825" s="4" t="str">
        <v>-0.68%</v>
      </c>
      <c r="H2825" s="3">
        <v>41410</v>
      </c>
      <c r="I2825" s="4">
        <v>26041</v>
      </c>
    </row>
    <row r="2826" spans="1:9" x14ac:dyDescent="0.25">
      <c r="A2826" s="3">
        <v>41409</v>
      </c>
      <c r="B2826" s="4">
        <v>26310</v>
      </c>
      <c r="C2826" s="4">
        <v>26700</v>
      </c>
      <c r="D2826" s="4">
        <v>26704</v>
      </c>
      <c r="E2826" s="4">
        <v>26188</v>
      </c>
      <c r="F2826" s="4" t="str">
        <v>68.38K</v>
      </c>
      <c r="G2826" s="4" t="str">
        <v>-1.49%</v>
      </c>
      <c r="H2826" s="3">
        <v>41409</v>
      </c>
      <c r="I2826" s="4">
        <v>26446</v>
      </c>
    </row>
    <row r="2827" spans="1:9" x14ac:dyDescent="0.25">
      <c r="A2827" s="3">
        <v>41408</v>
      </c>
      <c r="B2827" s="4">
        <v>26707</v>
      </c>
      <c r="C2827" s="4">
        <v>26855</v>
      </c>
      <c r="D2827" s="4">
        <v>26918</v>
      </c>
      <c r="E2827" s="4">
        <v>26652</v>
      </c>
      <c r="F2827" s="4" t="str">
        <v>46.12K</v>
      </c>
      <c r="G2827" s="4" t="str">
        <v>-0.55%</v>
      </c>
      <c r="H2827" s="3">
        <v>41408</v>
      </c>
      <c r="I2827" s="4">
        <v>26785</v>
      </c>
    </row>
    <row r="2828" spans="1:9" x14ac:dyDescent="0.25">
      <c r="A2828" s="3">
        <v>41407</v>
      </c>
      <c r="B2828" s="4">
        <v>26854</v>
      </c>
      <c r="C2828" s="4">
        <v>26888</v>
      </c>
      <c r="D2828" s="4">
        <v>26888</v>
      </c>
      <c r="E2828" s="4">
        <v>26676</v>
      </c>
      <c r="F2828" s="4" t="str">
        <v>44.54K</v>
      </c>
      <c r="G2828" s="4" t="str">
        <v>-0.54%</v>
      </c>
      <c r="H2828" s="3">
        <v>41407</v>
      </c>
      <c r="I2828" s="4">
        <v>26782</v>
      </c>
    </row>
    <row r="2829" spans="1:9" x14ac:dyDescent="0.25">
      <c r="A2829" s="3">
        <v>41405</v>
      </c>
      <c r="B2829" s="4">
        <v>26999</v>
      </c>
      <c r="C2829" s="4">
        <v>26888</v>
      </c>
      <c r="D2829" s="4">
        <v>27015</v>
      </c>
      <c r="E2829" s="4">
        <v>26888</v>
      </c>
      <c r="F2829" s="4" t="str">
        <v>3.93K</v>
      </c>
      <c r="G2829" s="4" t="str">
        <v>0.58%</v>
      </c>
      <c r="H2829" s="3">
        <v>41405</v>
      </c>
      <c r="I2829" s="4">
        <v>26951.5</v>
      </c>
    </row>
    <row r="2830" spans="1:9" x14ac:dyDescent="0.25">
      <c r="A2830" s="3">
        <v>41404</v>
      </c>
      <c r="B2830" s="4">
        <v>26843</v>
      </c>
      <c r="C2830" s="4">
        <v>27100</v>
      </c>
      <c r="D2830" s="4">
        <v>27116</v>
      </c>
      <c r="E2830" s="4">
        <v>26586</v>
      </c>
      <c r="F2830" s="4" t="str">
        <v>58.87K</v>
      </c>
      <c r="G2830" s="4" t="str">
        <v>-1.19%</v>
      </c>
      <c r="H2830" s="3">
        <v>41404</v>
      </c>
      <c r="I2830" s="4">
        <v>26851</v>
      </c>
    </row>
    <row r="2831" spans="1:9" x14ac:dyDescent="0.25">
      <c r="A2831" s="3">
        <v>41403</v>
      </c>
      <c r="B2831" s="4">
        <v>27166</v>
      </c>
      <c r="C2831" s="4">
        <v>27167</v>
      </c>
      <c r="D2831" s="4">
        <v>27214</v>
      </c>
      <c r="E2831" s="4">
        <v>26951</v>
      </c>
      <c r="F2831" s="4" t="str">
        <v>36.16K</v>
      </c>
      <c r="G2831" s="4" t="str">
        <v>0.27%</v>
      </c>
      <c r="H2831" s="3">
        <v>41403</v>
      </c>
      <c r="I2831" s="4">
        <v>27082.5</v>
      </c>
    </row>
    <row r="2832" spans="1:9" x14ac:dyDescent="0.25">
      <c r="A2832" s="3">
        <v>41402</v>
      </c>
      <c r="B2832" s="4">
        <v>27093</v>
      </c>
      <c r="C2832" s="4">
        <v>26745</v>
      </c>
      <c r="D2832" s="4">
        <v>27150</v>
      </c>
      <c r="E2832" s="4">
        <v>26712</v>
      </c>
      <c r="F2832" s="4" t="str">
        <v>41.10K</v>
      </c>
      <c r="G2832" s="4" t="str">
        <v>1.39%</v>
      </c>
      <c r="H2832" s="3">
        <v>41402</v>
      </c>
      <c r="I2832" s="4">
        <v>26931</v>
      </c>
    </row>
    <row r="2833" spans="1:9" x14ac:dyDescent="0.25">
      <c r="A2833" s="3">
        <v>41401</v>
      </c>
      <c r="B2833" s="4">
        <v>26722</v>
      </c>
      <c r="C2833" s="4">
        <v>27040</v>
      </c>
      <c r="D2833" s="4">
        <v>27049</v>
      </c>
      <c r="E2833" s="4">
        <v>26594</v>
      </c>
      <c r="F2833" s="4" t="str">
        <v>46.68K</v>
      </c>
      <c r="G2833" s="4" t="str">
        <v>-1.38%</v>
      </c>
      <c r="H2833" s="3">
        <v>41401</v>
      </c>
      <c r="I2833" s="4">
        <v>26821.5</v>
      </c>
    </row>
    <row r="2834" spans="1:9" x14ac:dyDescent="0.25">
      <c r="A2834" s="3">
        <v>41400</v>
      </c>
      <c r="B2834" s="4">
        <v>27096</v>
      </c>
      <c r="C2834" s="4">
        <v>27006</v>
      </c>
      <c r="D2834" s="4">
        <v>27234</v>
      </c>
      <c r="E2834" s="4">
        <v>27005</v>
      </c>
      <c r="F2834" s="4" t="str">
        <v>27.08K</v>
      </c>
      <c r="G2834" s="4" t="str">
        <v>0.50%</v>
      </c>
      <c r="H2834" s="3">
        <v>41400</v>
      </c>
      <c r="I2834" s="4">
        <v>27119.5</v>
      </c>
    </row>
    <row r="2835" spans="1:9" x14ac:dyDescent="0.25">
      <c r="A2835" s="3">
        <v>41398</v>
      </c>
      <c r="B2835" s="4">
        <v>26962</v>
      </c>
      <c r="C2835" s="4">
        <v>26866</v>
      </c>
      <c r="D2835" s="4">
        <v>26970</v>
      </c>
      <c r="E2835" s="4">
        <v>26866</v>
      </c>
      <c r="F2835" s="4" t="str">
        <v>2.21K</v>
      </c>
      <c r="G2835" s="4" t="str">
        <v>0.51%</v>
      </c>
      <c r="H2835" s="3">
        <v>41398</v>
      </c>
      <c r="I2835" s="4">
        <v>26918</v>
      </c>
    </row>
    <row r="2836" spans="1:9" x14ac:dyDescent="0.25">
      <c r="A2836" s="3">
        <v>41397</v>
      </c>
      <c r="B2836" s="4">
        <v>26825</v>
      </c>
      <c r="C2836" s="4">
        <v>27020</v>
      </c>
      <c r="D2836" s="4">
        <v>27300</v>
      </c>
      <c r="E2836" s="4">
        <v>26767</v>
      </c>
      <c r="F2836" s="4" t="str">
        <v>49.92K</v>
      </c>
      <c r="G2836" s="4" t="str">
        <v>-0.33%</v>
      </c>
      <c r="H2836" s="3">
        <v>41397</v>
      </c>
      <c r="I2836" s="4">
        <v>27033.5</v>
      </c>
    </row>
    <row r="2837" spans="1:9" x14ac:dyDescent="0.25">
      <c r="A2837" s="3">
        <v>41396</v>
      </c>
      <c r="B2837" s="4">
        <v>26914</v>
      </c>
      <c r="C2837" s="4">
        <v>26606</v>
      </c>
      <c r="D2837" s="4">
        <v>27000</v>
      </c>
      <c r="E2837" s="4">
        <v>26543</v>
      </c>
      <c r="F2837" s="4" t="str">
        <v>42.33K</v>
      </c>
      <c r="G2837" s="4" t="str">
        <v>1.41%</v>
      </c>
      <c r="H2837" s="3">
        <v>41396</v>
      </c>
      <c r="I2837" s="4">
        <v>26771.5</v>
      </c>
    </row>
    <row r="2838" spans="1:9" x14ac:dyDescent="0.25">
      <c r="A2838" s="3">
        <v>41395</v>
      </c>
      <c r="B2838" s="4">
        <v>26540</v>
      </c>
      <c r="C2838" s="4">
        <v>26833</v>
      </c>
      <c r="D2838" s="4">
        <v>26859</v>
      </c>
      <c r="E2838" s="4">
        <v>26365</v>
      </c>
      <c r="F2838" s="4" t="str">
        <v>30.92K</v>
      </c>
      <c r="G2838" s="4" t="str">
        <v>-1.36%</v>
      </c>
      <c r="H2838" s="3">
        <v>41395</v>
      </c>
      <c r="I2838" s="4">
        <v>26612</v>
      </c>
    </row>
    <row r="2839" spans="1:9" x14ac:dyDescent="0.25">
      <c r="A2839" s="3">
        <v>41394</v>
      </c>
      <c r="B2839" s="4">
        <v>26905</v>
      </c>
      <c r="C2839" s="4">
        <v>27107</v>
      </c>
      <c r="D2839" s="4">
        <v>27200</v>
      </c>
      <c r="E2839" s="4">
        <v>26810</v>
      </c>
      <c r="F2839" s="4" t="str">
        <v>43.24K</v>
      </c>
      <c r="G2839" s="4" t="str">
        <v>-0.91%</v>
      </c>
      <c r="H2839" s="3">
        <v>41394</v>
      </c>
      <c r="I2839" s="4">
        <v>27005</v>
      </c>
    </row>
    <row r="2840" spans="1:9" x14ac:dyDescent="0.25">
      <c r="A2840" s="3">
        <v>41393</v>
      </c>
      <c r="B2840" s="4">
        <v>27151</v>
      </c>
      <c r="C2840" s="4">
        <v>27200</v>
      </c>
      <c r="D2840" s="4">
        <v>27329</v>
      </c>
      <c r="E2840" s="4">
        <v>27063</v>
      </c>
      <c r="F2840" s="4" t="str">
        <v>33.82K</v>
      </c>
      <c r="G2840" s="4" t="str">
        <v>-0.14%</v>
      </c>
      <c r="H2840" s="3">
        <v>41393</v>
      </c>
      <c r="I2840" s="4">
        <v>27196</v>
      </c>
    </row>
    <row r="2841" spans="1:9" x14ac:dyDescent="0.25">
      <c r="A2841" s="3">
        <v>41391</v>
      </c>
      <c r="B2841" s="4">
        <v>27189</v>
      </c>
      <c r="C2841" s="4">
        <v>27098</v>
      </c>
      <c r="D2841" s="4">
        <v>27198</v>
      </c>
      <c r="E2841" s="4">
        <v>27086</v>
      </c>
      <c r="F2841" s="4" t="str">
        <v>3.36K</v>
      </c>
      <c r="G2841" s="4" t="str">
        <v>0.50%</v>
      </c>
      <c r="H2841" s="3">
        <v>41391</v>
      </c>
      <c r="I2841" s="4">
        <v>27142</v>
      </c>
    </row>
    <row r="2842" spans="1:9" x14ac:dyDescent="0.25">
      <c r="A2842" s="3">
        <v>41390</v>
      </c>
      <c r="B2842" s="4">
        <v>27055</v>
      </c>
      <c r="C2842" s="4">
        <v>27135</v>
      </c>
      <c r="D2842" s="4">
        <v>27447</v>
      </c>
      <c r="E2842" s="4">
        <v>26886</v>
      </c>
      <c r="F2842" s="4" t="str">
        <v>67.09K</v>
      </c>
      <c r="G2842" s="4" t="str">
        <v>0.05%</v>
      </c>
      <c r="H2842" s="3">
        <v>41390</v>
      </c>
      <c r="I2842" s="4">
        <v>27166.5</v>
      </c>
    </row>
    <row r="2843" spans="1:9" x14ac:dyDescent="0.25">
      <c r="A2843" s="3">
        <v>41389</v>
      </c>
      <c r="B2843" s="4">
        <v>27041</v>
      </c>
      <c r="C2843" s="4">
        <v>26449</v>
      </c>
      <c r="D2843" s="4">
        <v>27097</v>
      </c>
      <c r="E2843" s="4">
        <v>26449</v>
      </c>
      <c r="F2843" s="4" t="str">
        <v>47.56K</v>
      </c>
      <c r="G2843" s="4" t="str">
        <v>2.47%</v>
      </c>
      <c r="H2843" s="3">
        <v>41389</v>
      </c>
      <c r="I2843" s="4">
        <v>26773</v>
      </c>
    </row>
    <row r="2844" spans="1:9" x14ac:dyDescent="0.25">
      <c r="A2844" s="3">
        <v>41388</v>
      </c>
      <c r="B2844" s="4">
        <v>26388</v>
      </c>
      <c r="C2844" s="4">
        <v>26290</v>
      </c>
      <c r="D2844" s="4">
        <v>26485</v>
      </c>
      <c r="E2844" s="4">
        <v>26238</v>
      </c>
      <c r="F2844" s="4" t="str">
        <v>23.90K</v>
      </c>
      <c r="G2844" s="4" t="str">
        <v>0.86%</v>
      </c>
      <c r="H2844" s="3">
        <v>41388</v>
      </c>
      <c r="I2844" s="4">
        <v>26361.5</v>
      </c>
    </row>
    <row r="2845" spans="1:9" x14ac:dyDescent="0.25">
      <c r="A2845" s="3">
        <v>41387</v>
      </c>
      <c r="B2845" s="4">
        <v>26164</v>
      </c>
      <c r="C2845" s="4">
        <v>26419</v>
      </c>
      <c r="D2845" s="4">
        <v>26448</v>
      </c>
      <c r="E2845" s="4">
        <v>26062</v>
      </c>
      <c r="F2845" s="4" t="str">
        <v>60.56K</v>
      </c>
      <c r="G2845" s="4" t="str">
        <v>-0.75%</v>
      </c>
      <c r="H2845" s="3">
        <v>41387</v>
      </c>
      <c r="I2845" s="4">
        <v>26255</v>
      </c>
    </row>
    <row r="2846" spans="1:9" x14ac:dyDescent="0.25">
      <c r="A2846" s="3">
        <v>41386</v>
      </c>
      <c r="B2846" s="4">
        <v>26363</v>
      </c>
      <c r="C2846" s="4">
        <v>26184</v>
      </c>
      <c r="D2846" s="4">
        <v>26542</v>
      </c>
      <c r="E2846" s="4">
        <v>26184</v>
      </c>
      <c r="F2846" s="4" t="str">
        <v>49.22K</v>
      </c>
      <c r="G2846" s="4" t="str">
        <v>1.21%</v>
      </c>
      <c r="H2846" s="3">
        <v>41386</v>
      </c>
      <c r="I2846" s="4">
        <v>26363</v>
      </c>
    </row>
    <row r="2847" spans="1:9" x14ac:dyDescent="0.25">
      <c r="A2847" s="3">
        <v>41384</v>
      </c>
      <c r="B2847" s="4">
        <v>26047</v>
      </c>
      <c r="C2847" s="4">
        <v>25867</v>
      </c>
      <c r="D2847" s="4">
        <v>26069</v>
      </c>
      <c r="E2847" s="4">
        <v>25867</v>
      </c>
      <c r="F2847" s="4" t="str">
        <v>5.51K</v>
      </c>
      <c r="G2847" s="4" t="str">
        <v>0.94%</v>
      </c>
      <c r="H2847" s="3">
        <v>41384</v>
      </c>
      <c r="I2847" s="4">
        <v>25968</v>
      </c>
    </row>
    <row r="2848" spans="1:9" x14ac:dyDescent="0.25">
      <c r="A2848" s="3">
        <v>41383</v>
      </c>
      <c r="B2848" s="4">
        <v>25804</v>
      </c>
      <c r="C2848" s="4">
        <v>25940</v>
      </c>
      <c r="D2848" s="4">
        <v>26043</v>
      </c>
      <c r="E2848" s="4">
        <v>25694</v>
      </c>
      <c r="F2848" s="4" t="str">
        <v>24.29K</v>
      </c>
      <c r="G2848" s="4" t="str">
        <v>0.40%</v>
      </c>
      <c r="H2848" s="3">
        <v>41383</v>
      </c>
      <c r="I2848" s="4">
        <v>25868.5</v>
      </c>
    </row>
    <row r="2849" spans="1:9" x14ac:dyDescent="0.25">
      <c r="A2849" s="3">
        <v>41382</v>
      </c>
      <c r="B2849" s="4">
        <v>25700</v>
      </c>
      <c r="C2849" s="4">
        <v>25562</v>
      </c>
      <c r="D2849" s="4">
        <v>25880</v>
      </c>
      <c r="E2849" s="4">
        <v>25333</v>
      </c>
      <c r="F2849" s="4" t="str">
        <v>57.46K</v>
      </c>
      <c r="G2849" s="4" t="str">
        <v>0.08%</v>
      </c>
      <c r="H2849" s="3">
        <v>41382</v>
      </c>
      <c r="I2849" s="4">
        <v>25606.5</v>
      </c>
    </row>
    <row r="2850" spans="1:9" x14ac:dyDescent="0.25">
      <c r="A2850" s="3">
        <v>41381</v>
      </c>
      <c r="B2850" s="4">
        <v>25679</v>
      </c>
      <c r="C2850" s="4">
        <v>25650</v>
      </c>
      <c r="D2850" s="4">
        <v>25900</v>
      </c>
      <c r="E2850" s="4">
        <v>25435</v>
      </c>
      <c r="F2850" s="4" t="str">
        <v>56.20K</v>
      </c>
      <c r="G2850" s="4" t="str">
        <v>-0.34%</v>
      </c>
      <c r="H2850" s="3">
        <v>41381</v>
      </c>
      <c r="I2850" s="4">
        <v>25667.5</v>
      </c>
    </row>
    <row r="2851" spans="1:9" x14ac:dyDescent="0.25">
      <c r="A2851" s="3">
        <v>41380</v>
      </c>
      <c r="B2851" s="4">
        <v>25766</v>
      </c>
      <c r="C2851" s="4">
        <v>25460</v>
      </c>
      <c r="D2851" s="4">
        <v>26131</v>
      </c>
      <c r="E2851" s="4">
        <v>25270</v>
      </c>
      <c r="F2851" s="4" t="str">
        <v>86.25K</v>
      </c>
      <c r="G2851" s="4" t="str">
        <v>0.51%</v>
      </c>
      <c r="H2851" s="3">
        <v>41380</v>
      </c>
      <c r="I2851" s="4">
        <v>25700.5</v>
      </c>
    </row>
    <row r="2852" spans="1:9" x14ac:dyDescent="0.25">
      <c r="A2852" s="3">
        <v>41379</v>
      </c>
      <c r="B2852" s="4">
        <v>25634</v>
      </c>
      <c r="C2852" s="4">
        <v>27450</v>
      </c>
      <c r="D2852" s="4">
        <v>27450</v>
      </c>
      <c r="E2852" s="4">
        <v>25450</v>
      </c>
      <c r="F2852" s="4" t="str">
        <v>146.08K</v>
      </c>
      <c r="G2852" s="4" t="str">
        <v>-8.20%</v>
      </c>
      <c r="H2852" s="3">
        <v>41379</v>
      </c>
      <c r="I2852" s="4">
        <v>26450</v>
      </c>
    </row>
    <row r="2853" spans="1:9" x14ac:dyDescent="0.25">
      <c r="A2853" s="3">
        <v>41377</v>
      </c>
      <c r="B2853" s="4">
        <v>27925</v>
      </c>
      <c r="C2853" s="4">
        <v>27895</v>
      </c>
      <c r="D2853" s="4">
        <v>27955</v>
      </c>
      <c r="E2853" s="4">
        <v>27680</v>
      </c>
      <c r="F2853" s="4" t="str">
        <v>9.04K</v>
      </c>
      <c r="G2853" s="4" t="str">
        <v>-0.90%</v>
      </c>
      <c r="H2853" s="3">
        <v>41377</v>
      </c>
      <c r="I2853" s="4">
        <v>27817.5</v>
      </c>
    </row>
    <row r="2854" spans="1:9" x14ac:dyDescent="0.25">
      <c r="A2854" s="3">
        <v>41376</v>
      </c>
      <c r="B2854" s="4">
        <v>28180</v>
      </c>
      <c r="C2854" s="4">
        <v>29208</v>
      </c>
      <c r="D2854" s="4">
        <v>29229</v>
      </c>
      <c r="E2854" s="4">
        <v>28100</v>
      </c>
      <c r="F2854" s="4" t="str">
        <v>76.48K</v>
      </c>
      <c r="G2854" s="4" t="str">
        <v>-3.44%</v>
      </c>
      <c r="H2854" s="3">
        <v>41376</v>
      </c>
      <c r="I2854" s="4">
        <v>28664.5</v>
      </c>
    </row>
    <row r="2855" spans="1:9" x14ac:dyDescent="0.25">
      <c r="A2855" s="3">
        <v>41375</v>
      </c>
      <c r="B2855" s="4">
        <v>29184</v>
      </c>
      <c r="C2855" s="4">
        <v>29216</v>
      </c>
      <c r="D2855" s="4">
        <v>29288</v>
      </c>
      <c r="E2855" s="4">
        <v>29055</v>
      </c>
      <c r="F2855" s="4" t="str">
        <v>38.93K</v>
      </c>
      <c r="G2855" s="4" t="str">
        <v>-0.16%</v>
      </c>
      <c r="H2855" s="3">
        <v>41375</v>
      </c>
      <c r="I2855" s="4">
        <v>29171.5</v>
      </c>
    </row>
    <row r="2856" spans="1:9" x14ac:dyDescent="0.25">
      <c r="A2856" s="3">
        <v>41374</v>
      </c>
      <c r="B2856" s="4">
        <v>29230</v>
      </c>
      <c r="C2856" s="4">
        <v>29699</v>
      </c>
      <c r="D2856" s="4">
        <v>29724</v>
      </c>
      <c r="E2856" s="4">
        <v>29182</v>
      </c>
      <c r="F2856" s="4" t="str">
        <v>46.03K</v>
      </c>
      <c r="G2856" s="4" t="str">
        <v>-1.41%</v>
      </c>
      <c r="H2856" s="3">
        <v>41374</v>
      </c>
      <c r="I2856" s="4">
        <v>29453</v>
      </c>
    </row>
    <row r="2857" spans="1:9" x14ac:dyDescent="0.25">
      <c r="A2857" s="3">
        <v>41373</v>
      </c>
      <c r="B2857" s="4">
        <v>29647</v>
      </c>
      <c r="C2857" s="4">
        <v>29525</v>
      </c>
      <c r="D2857" s="4">
        <v>29725</v>
      </c>
      <c r="E2857" s="4">
        <v>29430</v>
      </c>
      <c r="F2857" s="4" t="str">
        <v>31.13K</v>
      </c>
      <c r="G2857" s="4" t="str">
        <v>0.36%</v>
      </c>
      <c r="H2857" s="3">
        <v>41373</v>
      </c>
      <c r="I2857" s="4">
        <v>29577.5</v>
      </c>
    </row>
    <row r="2858" spans="1:9" x14ac:dyDescent="0.25">
      <c r="A2858" s="3">
        <v>41372</v>
      </c>
      <c r="B2858" s="4">
        <v>29540</v>
      </c>
      <c r="C2858" s="4">
        <v>29701</v>
      </c>
      <c r="D2858" s="4">
        <v>29751</v>
      </c>
      <c r="E2858" s="4">
        <v>29463</v>
      </c>
      <c r="F2858" s="4" t="str">
        <v>24.66K</v>
      </c>
      <c r="G2858" s="4" t="str">
        <v>-0.76%</v>
      </c>
      <c r="H2858" s="3">
        <v>41372</v>
      </c>
      <c r="I2858" s="4">
        <v>29607</v>
      </c>
    </row>
    <row r="2859" spans="1:9" x14ac:dyDescent="0.25">
      <c r="A2859" s="3">
        <v>41370</v>
      </c>
      <c r="B2859" s="4">
        <v>29767</v>
      </c>
      <c r="C2859" s="4">
        <v>29755</v>
      </c>
      <c r="D2859" s="4">
        <v>29816</v>
      </c>
      <c r="E2859" s="4">
        <v>29743</v>
      </c>
      <c r="F2859" s="4" t="str">
        <v>1.97K</v>
      </c>
      <c r="G2859" s="4" t="str">
        <v>1.64%</v>
      </c>
      <c r="H2859" s="3">
        <v>41370</v>
      </c>
      <c r="I2859" s="4">
        <v>29779.5</v>
      </c>
    </row>
    <row r="2860" spans="1:9" x14ac:dyDescent="0.25">
      <c r="A2860" s="3">
        <v>41369</v>
      </c>
      <c r="B2860" s="4">
        <v>29286</v>
      </c>
      <c r="C2860" s="4">
        <v>28970</v>
      </c>
      <c r="D2860" s="4">
        <v>29400</v>
      </c>
      <c r="E2860" s="4">
        <v>28930</v>
      </c>
      <c r="F2860" s="4" t="str">
        <v>0.15K</v>
      </c>
      <c r="G2860" s="4" t="str">
        <v>0.91%</v>
      </c>
      <c r="H2860" s="3">
        <v>41369</v>
      </c>
      <c r="I2860" s="4">
        <v>29165</v>
      </c>
    </row>
    <row r="2861" spans="1:9" x14ac:dyDescent="0.25">
      <c r="A2861" s="3">
        <v>41368</v>
      </c>
      <c r="B2861" s="4">
        <v>29022</v>
      </c>
      <c r="C2861" s="4">
        <v>28786</v>
      </c>
      <c r="D2861" s="4">
        <v>29095</v>
      </c>
      <c r="E2861" s="4">
        <v>28720</v>
      </c>
      <c r="F2861" s="4" t="str">
        <v>0.63K</v>
      </c>
      <c r="G2861" s="4" t="str">
        <v>0.68%</v>
      </c>
      <c r="H2861" s="3">
        <v>41368</v>
      </c>
      <c r="I2861" s="4">
        <v>28907.5</v>
      </c>
    </row>
    <row r="2862" spans="1:9" x14ac:dyDescent="0.25">
      <c r="A2862" s="3">
        <v>41367</v>
      </c>
      <c r="B2862" s="4">
        <v>28826</v>
      </c>
      <c r="C2862" s="4">
        <v>29032</v>
      </c>
      <c r="D2862" s="4">
        <v>29162</v>
      </c>
      <c r="E2862" s="4">
        <v>28790</v>
      </c>
      <c r="F2862" s="4" t="str">
        <v>0.82K</v>
      </c>
      <c r="G2862" s="4" t="str">
        <v>-1.11%</v>
      </c>
      <c r="H2862" s="3">
        <v>41367</v>
      </c>
      <c r="I2862" s="4">
        <v>28976</v>
      </c>
    </row>
    <row r="2863" spans="1:9" x14ac:dyDescent="0.25">
      <c r="A2863" s="3">
        <v>41366</v>
      </c>
      <c r="B2863" s="4">
        <v>29149</v>
      </c>
      <c r="C2863" s="4">
        <v>29505</v>
      </c>
      <c r="D2863" s="4">
        <v>29525</v>
      </c>
      <c r="E2863" s="4">
        <v>29120</v>
      </c>
      <c r="F2863" s="4" t="str">
        <v>1.56K</v>
      </c>
      <c r="G2863" s="4" t="str">
        <v>-1.14%</v>
      </c>
      <c r="H2863" s="3">
        <v>41366</v>
      </c>
      <c r="I2863" s="4">
        <v>29322.5</v>
      </c>
    </row>
    <row r="2864" spans="1:9" x14ac:dyDescent="0.25">
      <c r="A2864" s="3">
        <v>41365</v>
      </c>
      <c r="B2864" s="4">
        <v>29486</v>
      </c>
      <c r="C2864" s="4">
        <v>29452</v>
      </c>
      <c r="D2864" s="4">
        <v>29519</v>
      </c>
      <c r="E2864" s="4">
        <v>29362</v>
      </c>
      <c r="F2864" s="4" t="str">
        <v>8.29K</v>
      </c>
      <c r="G2864" s="4" t="str">
        <v>0.31%</v>
      </c>
      <c r="H2864" s="3">
        <v>41365</v>
      </c>
      <c r="I2864" s="4">
        <v>29440.5</v>
      </c>
    </row>
    <row r="2865" spans="1:9" x14ac:dyDescent="0.25">
      <c r="A2865" s="3">
        <v>41363</v>
      </c>
      <c r="B2865" s="4">
        <v>29394</v>
      </c>
      <c r="C2865" s="4">
        <v>29452</v>
      </c>
      <c r="D2865" s="4">
        <v>29470</v>
      </c>
      <c r="E2865" s="4">
        <v>29254</v>
      </c>
      <c r="F2865" s="4" t="str">
        <v>7.51K</v>
      </c>
      <c r="G2865" s="4" t="str">
        <v>-0.17%</v>
      </c>
      <c r="H2865" s="3">
        <v>41363</v>
      </c>
      <c r="I2865" s="4">
        <v>29362</v>
      </c>
    </row>
    <row r="2866" spans="1:9" x14ac:dyDescent="0.25">
      <c r="A2866" s="3">
        <v>41361</v>
      </c>
      <c r="B2866" s="4">
        <v>29443</v>
      </c>
      <c r="C2866" s="4">
        <v>29600</v>
      </c>
      <c r="D2866" s="4">
        <v>29604</v>
      </c>
      <c r="E2866" s="4">
        <v>29424</v>
      </c>
      <c r="F2866" s="4" t="str">
        <v>18.13K</v>
      </c>
      <c r="G2866" s="4" t="str">
        <v>-0.64%</v>
      </c>
      <c r="H2866" s="3">
        <v>41361</v>
      </c>
      <c r="I2866" s="4">
        <v>29514</v>
      </c>
    </row>
    <row r="2867" spans="1:9" x14ac:dyDescent="0.25">
      <c r="A2867" s="3">
        <v>41360</v>
      </c>
      <c r="B2867" s="4">
        <v>29632</v>
      </c>
      <c r="C2867" s="4">
        <v>29446</v>
      </c>
      <c r="D2867" s="4">
        <v>29647</v>
      </c>
      <c r="E2867" s="4">
        <v>29411</v>
      </c>
      <c r="F2867" s="4" t="str">
        <v>11.66K</v>
      </c>
      <c r="G2867" s="4" t="str">
        <v>0.46%</v>
      </c>
      <c r="H2867" s="3">
        <v>41360</v>
      </c>
      <c r="I2867" s="4">
        <v>29529</v>
      </c>
    </row>
    <row r="2868" spans="1:9" x14ac:dyDescent="0.25">
      <c r="A2868" s="3">
        <v>41359</v>
      </c>
      <c r="B2868" s="4">
        <v>29495</v>
      </c>
      <c r="C2868" s="4">
        <v>29555</v>
      </c>
      <c r="D2868" s="4">
        <v>29555</v>
      </c>
      <c r="E2868" s="4">
        <v>29435</v>
      </c>
      <c r="F2868" s="4" t="str">
        <v>20.40K</v>
      </c>
      <c r="G2868" s="4" t="str">
        <v>-0.31%</v>
      </c>
      <c r="H2868" s="3">
        <v>41359</v>
      </c>
      <c r="I2868" s="4">
        <v>29495</v>
      </c>
    </row>
    <row r="2869" spans="1:9" x14ac:dyDescent="0.25">
      <c r="A2869" s="3">
        <v>41358</v>
      </c>
      <c r="B2869" s="4">
        <v>29588</v>
      </c>
      <c r="C2869" s="4">
        <v>29680</v>
      </c>
      <c r="D2869" s="4">
        <v>29680</v>
      </c>
      <c r="E2869" s="4">
        <v>29342</v>
      </c>
      <c r="F2869" s="4" t="str">
        <v>39.25K</v>
      </c>
      <c r="G2869" s="4" t="str">
        <v>-0.35%</v>
      </c>
      <c r="H2869" s="3">
        <v>41358</v>
      </c>
      <c r="I2869" s="4">
        <v>29511</v>
      </c>
    </row>
    <row r="2870" spans="1:9" x14ac:dyDescent="0.25">
      <c r="A2870" s="3">
        <v>41356</v>
      </c>
      <c r="B2870" s="4">
        <v>29693</v>
      </c>
      <c r="C2870" s="4">
        <v>29689</v>
      </c>
      <c r="D2870" s="4">
        <v>29699</v>
      </c>
      <c r="E2870" s="4">
        <v>29678</v>
      </c>
      <c r="F2870" s="4" t="str">
        <v>1.02K</v>
      </c>
      <c r="G2870" s="4" t="str">
        <v>0.06%</v>
      </c>
      <c r="H2870" s="3">
        <v>41356</v>
      </c>
      <c r="I2870" s="4">
        <v>29688.5</v>
      </c>
    </row>
    <row r="2871" spans="1:9" x14ac:dyDescent="0.25">
      <c r="A2871" s="3">
        <v>41355</v>
      </c>
      <c r="B2871" s="4">
        <v>29676</v>
      </c>
      <c r="C2871" s="4">
        <v>29755</v>
      </c>
      <c r="D2871" s="4">
        <v>29807</v>
      </c>
      <c r="E2871" s="4">
        <v>29651</v>
      </c>
      <c r="F2871" s="4" t="str">
        <v>24.87K</v>
      </c>
      <c r="G2871" s="4" t="str">
        <v>-0.51%</v>
      </c>
      <c r="H2871" s="3">
        <v>41355</v>
      </c>
      <c r="I2871" s="4">
        <v>29729</v>
      </c>
    </row>
    <row r="2872" spans="1:9" x14ac:dyDescent="0.25">
      <c r="A2872" s="3">
        <v>41354</v>
      </c>
      <c r="B2872" s="4">
        <v>29827</v>
      </c>
      <c r="C2872" s="4">
        <v>29662</v>
      </c>
      <c r="D2872" s="4">
        <v>29847</v>
      </c>
      <c r="E2872" s="4">
        <v>29613</v>
      </c>
      <c r="F2872" s="4" t="str">
        <v>30.64K</v>
      </c>
      <c r="G2872" s="4" t="str">
        <v>0.49%</v>
      </c>
      <c r="H2872" s="3">
        <v>41354</v>
      </c>
      <c r="I2872" s="4">
        <v>29730</v>
      </c>
    </row>
    <row r="2873" spans="1:9" x14ac:dyDescent="0.25">
      <c r="A2873" s="3">
        <v>41353</v>
      </c>
      <c r="B2873" s="4">
        <v>29681</v>
      </c>
      <c r="C2873" s="4">
        <v>29840</v>
      </c>
      <c r="D2873" s="4">
        <v>29840</v>
      </c>
      <c r="E2873" s="4">
        <v>29661</v>
      </c>
      <c r="F2873" s="4" t="str">
        <v>27.38K</v>
      </c>
      <c r="G2873" s="4" t="str">
        <v>-0.64%</v>
      </c>
      <c r="H2873" s="3">
        <v>41353</v>
      </c>
      <c r="I2873" s="4">
        <v>29750.5</v>
      </c>
    </row>
    <row r="2874" spans="1:9" x14ac:dyDescent="0.25">
      <c r="A2874" s="3">
        <v>41352</v>
      </c>
      <c r="B2874" s="4">
        <v>29871</v>
      </c>
      <c r="C2874" s="4">
        <v>29511</v>
      </c>
      <c r="D2874" s="4">
        <v>29889</v>
      </c>
      <c r="E2874" s="4">
        <v>29481</v>
      </c>
      <c r="F2874" s="4" t="str">
        <v>40.21K</v>
      </c>
      <c r="G2874" s="4" t="str">
        <v>1.10%</v>
      </c>
      <c r="H2874" s="3">
        <v>41352</v>
      </c>
      <c r="I2874" s="4">
        <v>29685</v>
      </c>
    </row>
    <row r="2875" spans="1:9" x14ac:dyDescent="0.25">
      <c r="A2875" s="3">
        <v>41351</v>
      </c>
      <c r="B2875" s="4">
        <v>29547</v>
      </c>
      <c r="C2875" s="4">
        <v>29440</v>
      </c>
      <c r="D2875" s="4">
        <v>29644</v>
      </c>
      <c r="E2875" s="4">
        <v>29440</v>
      </c>
      <c r="F2875" s="4" t="str">
        <v>48.09K</v>
      </c>
      <c r="G2875" s="4" t="str">
        <v>0.59%</v>
      </c>
      <c r="H2875" s="3">
        <v>41351</v>
      </c>
      <c r="I2875" s="4">
        <v>29542</v>
      </c>
    </row>
    <row r="2876" spans="1:9" x14ac:dyDescent="0.25">
      <c r="A2876" s="3">
        <v>41349</v>
      </c>
      <c r="B2876" s="4">
        <v>29375</v>
      </c>
      <c r="C2876" s="4">
        <v>29395</v>
      </c>
      <c r="D2876" s="4">
        <v>29395</v>
      </c>
      <c r="E2876" s="4">
        <v>29353</v>
      </c>
      <c r="F2876" s="4" t="str">
        <v>1.15K</v>
      </c>
      <c r="G2876" s="4" t="str">
        <v>0.05%</v>
      </c>
      <c r="H2876" s="3">
        <v>41349</v>
      </c>
      <c r="I2876" s="4">
        <v>29374</v>
      </c>
    </row>
    <row r="2877" spans="1:9" x14ac:dyDescent="0.25">
      <c r="A2877" s="3">
        <v>41348</v>
      </c>
      <c r="B2877" s="4">
        <v>29359</v>
      </c>
      <c r="C2877" s="4">
        <v>29355</v>
      </c>
      <c r="D2877" s="4">
        <v>29440</v>
      </c>
      <c r="E2877" s="4">
        <v>29293</v>
      </c>
      <c r="F2877" s="4" t="str">
        <v>27.08K</v>
      </c>
      <c r="G2877" s="4" t="str">
        <v>-0.10%</v>
      </c>
      <c r="H2877" s="3">
        <v>41348</v>
      </c>
      <c r="I2877" s="4">
        <v>29366.5</v>
      </c>
    </row>
    <row r="2878" spans="1:9" x14ac:dyDescent="0.25">
      <c r="A2878" s="3">
        <v>41347</v>
      </c>
      <c r="B2878" s="4">
        <v>29389</v>
      </c>
      <c r="C2878" s="4">
        <v>29470</v>
      </c>
      <c r="D2878" s="4">
        <v>29505</v>
      </c>
      <c r="E2878" s="4">
        <v>29260</v>
      </c>
      <c r="F2878" s="4" t="str">
        <v>40.82K</v>
      </c>
      <c r="G2878" s="4" t="str">
        <v>-0.34%</v>
      </c>
      <c r="H2878" s="3">
        <v>41347</v>
      </c>
      <c r="I2878" s="4">
        <v>29382.5</v>
      </c>
    </row>
    <row r="2879" spans="1:9" x14ac:dyDescent="0.25">
      <c r="A2879" s="3">
        <v>41346</v>
      </c>
      <c r="B2879" s="4">
        <v>29489</v>
      </c>
      <c r="C2879" s="4">
        <v>29444</v>
      </c>
      <c r="D2879" s="4">
        <v>29594</v>
      </c>
      <c r="E2879" s="4">
        <v>29413</v>
      </c>
      <c r="F2879" s="4" t="str">
        <v>37.26K</v>
      </c>
      <c r="G2879" s="4" t="str">
        <v>0.15%</v>
      </c>
      <c r="H2879" s="3">
        <v>41346</v>
      </c>
      <c r="I2879" s="4">
        <v>29503.5</v>
      </c>
    </row>
    <row r="2880" spans="1:9" x14ac:dyDescent="0.25">
      <c r="A2880" s="3">
        <v>41345</v>
      </c>
      <c r="B2880" s="4">
        <v>29445</v>
      </c>
      <c r="C2880" s="4">
        <v>29336</v>
      </c>
      <c r="D2880" s="4">
        <v>29519</v>
      </c>
      <c r="E2880" s="4">
        <v>29322</v>
      </c>
      <c r="F2880" s="4" t="str">
        <v>35.27K</v>
      </c>
      <c r="G2880" s="4" t="str">
        <v>0.42%</v>
      </c>
      <c r="H2880" s="3">
        <v>41345</v>
      </c>
      <c r="I2880" s="4">
        <v>29420.5</v>
      </c>
    </row>
    <row r="2881" spans="1:9" x14ac:dyDescent="0.25">
      <c r="A2881" s="3">
        <v>41344</v>
      </c>
      <c r="B2881" s="4">
        <v>29321</v>
      </c>
      <c r="C2881" s="4">
        <v>29374</v>
      </c>
      <c r="D2881" s="4">
        <v>29450</v>
      </c>
      <c r="E2881" s="4">
        <v>29300</v>
      </c>
      <c r="F2881" s="4" t="str">
        <v>25.61K</v>
      </c>
      <c r="G2881" s="4" t="str">
        <v>-0.08%</v>
      </c>
      <c r="H2881" s="3">
        <v>41344</v>
      </c>
      <c r="I2881" s="4">
        <v>29375</v>
      </c>
    </row>
    <row r="2882" spans="1:9" x14ac:dyDescent="0.25">
      <c r="A2882" s="3">
        <v>41342</v>
      </c>
      <c r="B2882" s="4">
        <v>29345</v>
      </c>
      <c r="C2882" s="4">
        <v>29340</v>
      </c>
      <c r="D2882" s="4">
        <v>29355</v>
      </c>
      <c r="E2882" s="4">
        <v>29331</v>
      </c>
      <c r="F2882" s="4" t="str">
        <v>0.97K</v>
      </c>
      <c r="G2882" s="4" t="str">
        <v>0.03%</v>
      </c>
      <c r="H2882" s="3">
        <v>41342</v>
      </c>
      <c r="I2882" s="4">
        <v>29343</v>
      </c>
    </row>
    <row r="2883" spans="1:9" x14ac:dyDescent="0.25">
      <c r="A2883" s="3">
        <v>41341</v>
      </c>
      <c r="B2883" s="4">
        <v>29335</v>
      </c>
      <c r="C2883" s="4">
        <v>29390</v>
      </c>
      <c r="D2883" s="4">
        <v>29418</v>
      </c>
      <c r="E2883" s="4">
        <v>29111</v>
      </c>
      <c r="F2883" s="4" t="str">
        <v>49.83K</v>
      </c>
      <c r="G2883" s="4" t="str">
        <v>-0.18%</v>
      </c>
      <c r="H2883" s="3">
        <v>41341</v>
      </c>
      <c r="I2883" s="4">
        <v>29264.5</v>
      </c>
    </row>
    <row r="2884" spans="1:9" x14ac:dyDescent="0.25">
      <c r="A2884" s="3">
        <v>41340</v>
      </c>
      <c r="B2884" s="4">
        <v>29389</v>
      </c>
      <c r="C2884" s="4">
        <v>29644</v>
      </c>
      <c r="D2884" s="4">
        <v>29678</v>
      </c>
      <c r="E2884" s="4">
        <v>29358</v>
      </c>
      <c r="F2884" s="4" t="str">
        <v>42.01K</v>
      </c>
      <c r="G2884" s="4" t="str">
        <v>-0.69%</v>
      </c>
      <c r="H2884" s="3">
        <v>41340</v>
      </c>
      <c r="I2884" s="4">
        <v>29518</v>
      </c>
    </row>
    <row r="2885" spans="1:9" x14ac:dyDescent="0.25">
      <c r="A2885" s="3">
        <v>41339</v>
      </c>
      <c r="B2885" s="4">
        <v>29593</v>
      </c>
      <c r="C2885" s="4">
        <v>29565</v>
      </c>
      <c r="D2885" s="4">
        <v>29700</v>
      </c>
      <c r="E2885" s="4">
        <v>29427</v>
      </c>
      <c r="F2885" s="4" t="str">
        <v>42.67K</v>
      </c>
      <c r="G2885" s="4" t="str">
        <v>0.08%</v>
      </c>
      <c r="H2885" s="3">
        <v>41339</v>
      </c>
      <c r="I2885" s="4">
        <v>29563.5</v>
      </c>
    </row>
    <row r="2886" spans="1:9" x14ac:dyDescent="0.25">
      <c r="A2886" s="3">
        <v>41338</v>
      </c>
      <c r="B2886" s="4">
        <v>29569</v>
      </c>
      <c r="C2886" s="4">
        <v>29649</v>
      </c>
      <c r="D2886" s="4">
        <v>29753</v>
      </c>
      <c r="E2886" s="4">
        <v>29556</v>
      </c>
      <c r="F2886" s="4" t="str">
        <v>39.09K</v>
      </c>
      <c r="G2886" s="4" t="str">
        <v>-0.33%</v>
      </c>
      <c r="H2886" s="3">
        <v>41338</v>
      </c>
      <c r="I2886" s="4">
        <v>29654.5</v>
      </c>
    </row>
    <row r="2887" spans="1:9" x14ac:dyDescent="0.25">
      <c r="A2887" s="3">
        <v>41337</v>
      </c>
      <c r="B2887" s="4">
        <v>29668</v>
      </c>
      <c r="C2887" s="4">
        <v>29770</v>
      </c>
      <c r="D2887" s="4">
        <v>29770</v>
      </c>
      <c r="E2887" s="4">
        <v>29606</v>
      </c>
      <c r="F2887" s="4" t="str">
        <v>27.98K</v>
      </c>
      <c r="G2887" s="4" t="str">
        <v>-0.24%</v>
      </c>
      <c r="H2887" s="3">
        <v>41337</v>
      </c>
      <c r="I2887" s="4">
        <v>29688</v>
      </c>
    </row>
    <row r="2888" spans="1:9" x14ac:dyDescent="0.25">
      <c r="A2888" s="3">
        <v>41335</v>
      </c>
      <c r="B2888" s="4">
        <v>29740</v>
      </c>
      <c r="C2888" s="4">
        <v>29722</v>
      </c>
      <c r="D2888" s="4">
        <v>29767</v>
      </c>
      <c r="E2888" s="4">
        <v>29722</v>
      </c>
      <c r="F2888" s="4" t="str">
        <v>1.38K</v>
      </c>
      <c r="G2888" s="4" t="str">
        <v>0.08%</v>
      </c>
      <c r="H2888" s="3">
        <v>41335</v>
      </c>
      <c r="I2888" s="4">
        <v>29744.5</v>
      </c>
    </row>
    <row r="2889" spans="1:9" x14ac:dyDescent="0.25">
      <c r="A2889" s="3">
        <v>41334</v>
      </c>
      <c r="B2889" s="4">
        <v>29717</v>
      </c>
      <c r="C2889" s="4">
        <v>29607</v>
      </c>
      <c r="D2889" s="4">
        <v>29855</v>
      </c>
      <c r="E2889" s="4">
        <v>29455</v>
      </c>
      <c r="F2889" s="4" t="str">
        <v>52.97K</v>
      </c>
      <c r="G2889" s="4" t="str">
        <v>0.50%</v>
      </c>
      <c r="H2889" s="3">
        <v>41334</v>
      </c>
      <c r="I2889" s="4">
        <v>29655</v>
      </c>
    </row>
    <row r="2890" spans="1:9" x14ac:dyDescent="0.25">
      <c r="A2890" s="3">
        <v>41333</v>
      </c>
      <c r="B2890" s="4">
        <v>29570</v>
      </c>
      <c r="C2890" s="4">
        <v>29703</v>
      </c>
      <c r="D2890" s="4">
        <v>29934</v>
      </c>
      <c r="E2890" s="4">
        <v>29513</v>
      </c>
      <c r="F2890" s="4" t="str">
        <v>55.80K</v>
      </c>
      <c r="G2890" s="4" t="str">
        <v>-0.58%</v>
      </c>
      <c r="H2890" s="3">
        <v>41333</v>
      </c>
      <c r="I2890" s="4">
        <v>29723.5</v>
      </c>
    </row>
    <row r="2891" spans="1:9" x14ac:dyDescent="0.25">
      <c r="A2891" s="3">
        <v>41332</v>
      </c>
      <c r="B2891" s="4">
        <v>29743</v>
      </c>
      <c r="C2891" s="4">
        <v>30030</v>
      </c>
      <c r="D2891" s="4">
        <v>30030</v>
      </c>
      <c r="E2891" s="4">
        <v>29716</v>
      </c>
      <c r="F2891" s="4" t="str">
        <v>38.92K</v>
      </c>
      <c r="G2891" s="4" t="str">
        <v>-1.16%</v>
      </c>
      <c r="H2891" s="3">
        <v>41332</v>
      </c>
      <c r="I2891" s="4">
        <v>29873</v>
      </c>
    </row>
    <row r="2892" spans="1:9" x14ac:dyDescent="0.25">
      <c r="A2892" s="3">
        <v>41331</v>
      </c>
      <c r="B2892" s="4">
        <v>30092</v>
      </c>
      <c r="C2892" s="4">
        <v>29667</v>
      </c>
      <c r="D2892" s="4">
        <v>30139</v>
      </c>
      <c r="E2892" s="4">
        <v>29616</v>
      </c>
      <c r="F2892" s="4" t="str">
        <v>56.84K</v>
      </c>
      <c r="G2892" s="4" t="str">
        <v>1.60%</v>
      </c>
      <c r="H2892" s="3">
        <v>41331</v>
      </c>
      <c r="I2892" s="4">
        <v>29877.5</v>
      </c>
    </row>
    <row r="2893" spans="1:9" x14ac:dyDescent="0.25">
      <c r="A2893" s="3">
        <v>41330</v>
      </c>
      <c r="B2893" s="4">
        <v>29617</v>
      </c>
      <c r="C2893" s="4">
        <v>29579</v>
      </c>
      <c r="D2893" s="4">
        <v>29675</v>
      </c>
      <c r="E2893" s="4">
        <v>29491</v>
      </c>
      <c r="F2893" s="4" t="str">
        <v>29.36K</v>
      </c>
      <c r="G2893" s="4" t="str">
        <v>0.04%</v>
      </c>
      <c r="H2893" s="3">
        <v>41330</v>
      </c>
      <c r="I2893" s="4">
        <v>29583</v>
      </c>
    </row>
    <row r="2894" spans="1:9" x14ac:dyDescent="0.25">
      <c r="A2894" s="3">
        <v>41328</v>
      </c>
      <c r="B2894" s="4">
        <v>29605</v>
      </c>
      <c r="C2894" s="4">
        <v>29529</v>
      </c>
      <c r="D2894" s="4">
        <v>29624</v>
      </c>
      <c r="E2894" s="4">
        <v>29529</v>
      </c>
      <c r="F2894" s="4" t="str">
        <v>2.14K</v>
      </c>
      <c r="G2894" s="4" t="str">
        <v>0.40%</v>
      </c>
      <c r="H2894" s="3">
        <v>41328</v>
      </c>
      <c r="I2894" s="4">
        <v>29576.5</v>
      </c>
    </row>
    <row r="2895" spans="1:9" x14ac:dyDescent="0.25">
      <c r="A2895" s="3">
        <v>41327</v>
      </c>
      <c r="B2895" s="4">
        <v>29487</v>
      </c>
      <c r="C2895" s="4">
        <v>29716</v>
      </c>
      <c r="D2895" s="4">
        <v>29800</v>
      </c>
      <c r="E2895" s="4">
        <v>29433</v>
      </c>
      <c r="F2895" s="4" t="str">
        <v>36.66K</v>
      </c>
      <c r="G2895" s="4" t="str">
        <v>-0.86%</v>
      </c>
      <c r="H2895" s="3">
        <v>41327</v>
      </c>
      <c r="I2895" s="4">
        <v>29616.5</v>
      </c>
    </row>
    <row r="2896" spans="1:9" x14ac:dyDescent="0.25">
      <c r="A2896" s="3">
        <v>41326</v>
      </c>
      <c r="B2896" s="4">
        <v>29742</v>
      </c>
      <c r="C2896" s="4">
        <v>29551</v>
      </c>
      <c r="D2896" s="4">
        <v>29779</v>
      </c>
      <c r="E2896" s="4">
        <v>29263</v>
      </c>
      <c r="F2896" s="4" t="str">
        <v>60.26K</v>
      </c>
      <c r="G2896" s="4" t="str">
        <v>0.55%</v>
      </c>
      <c r="H2896" s="3">
        <v>41326</v>
      </c>
      <c r="I2896" s="4">
        <v>29521</v>
      </c>
    </row>
    <row r="2897" spans="1:9" x14ac:dyDescent="0.25">
      <c r="A2897" s="3">
        <v>41325</v>
      </c>
      <c r="B2897" s="4">
        <v>29579</v>
      </c>
      <c r="C2897" s="4">
        <v>30028</v>
      </c>
      <c r="D2897" s="4">
        <v>30040</v>
      </c>
      <c r="E2897" s="4">
        <v>29505</v>
      </c>
      <c r="F2897" s="4" t="str">
        <v>51.70K</v>
      </c>
      <c r="G2897" s="4" t="str">
        <v>-1.57%</v>
      </c>
      <c r="H2897" s="3">
        <v>41325</v>
      </c>
      <c r="I2897" s="4">
        <v>29772.5</v>
      </c>
    </row>
    <row r="2898" spans="1:9" x14ac:dyDescent="0.25">
      <c r="A2898" s="3">
        <v>41324</v>
      </c>
      <c r="B2898" s="4">
        <v>30052</v>
      </c>
      <c r="C2898" s="4">
        <v>30200</v>
      </c>
      <c r="D2898" s="4">
        <v>30220</v>
      </c>
      <c r="E2898" s="4">
        <v>29977</v>
      </c>
      <c r="F2898" s="4" t="str">
        <v>28.84K</v>
      </c>
      <c r="G2898" s="4" t="str">
        <v>-0.41%</v>
      </c>
      <c r="H2898" s="3">
        <v>41324</v>
      </c>
      <c r="I2898" s="4">
        <v>30098.5</v>
      </c>
    </row>
    <row r="2899" spans="1:9" x14ac:dyDescent="0.25">
      <c r="A2899" s="3">
        <v>41323</v>
      </c>
      <c r="B2899" s="4">
        <v>30176</v>
      </c>
      <c r="C2899" s="4">
        <v>30215</v>
      </c>
      <c r="D2899" s="4">
        <v>30275</v>
      </c>
      <c r="E2899" s="4">
        <v>30148</v>
      </c>
      <c r="F2899" s="4" t="str">
        <v>20.07K</v>
      </c>
      <c r="G2899" s="4" t="str">
        <v>-0.06%</v>
      </c>
      <c r="H2899" s="3">
        <v>41323</v>
      </c>
      <c r="I2899" s="4">
        <v>30211.5</v>
      </c>
    </row>
    <row r="2900" spans="1:9" x14ac:dyDescent="0.25">
      <c r="A2900" s="3">
        <v>41321</v>
      </c>
      <c r="B2900" s="4">
        <v>30194</v>
      </c>
      <c r="C2900" s="4">
        <v>30180</v>
      </c>
      <c r="D2900" s="4">
        <v>30199</v>
      </c>
      <c r="E2900" s="4">
        <v>30170</v>
      </c>
      <c r="F2900" s="4" t="str">
        <v>1.48K</v>
      </c>
      <c r="G2900" s="4" t="str">
        <v>0.11%</v>
      </c>
      <c r="H2900" s="3">
        <v>41321</v>
      </c>
      <c r="I2900" s="4">
        <v>30184.5</v>
      </c>
    </row>
    <row r="2901" spans="1:9" x14ac:dyDescent="0.25">
      <c r="A2901" s="3">
        <v>41320</v>
      </c>
      <c r="B2901" s="4">
        <v>30160</v>
      </c>
      <c r="C2901" s="4">
        <v>30442</v>
      </c>
      <c r="D2901" s="4">
        <v>30442</v>
      </c>
      <c r="E2901" s="4">
        <v>30006</v>
      </c>
      <c r="F2901" s="4" t="str">
        <v>48.67K</v>
      </c>
      <c r="G2901" s="4" t="str">
        <v>-0.99%</v>
      </c>
      <c r="H2901" s="3">
        <v>41320</v>
      </c>
      <c r="I2901" s="4">
        <v>30224</v>
      </c>
    </row>
    <row r="2902" spans="1:9" x14ac:dyDescent="0.25">
      <c r="A2902" s="3">
        <v>41319</v>
      </c>
      <c r="B2902" s="4">
        <v>30463</v>
      </c>
      <c r="C2902" s="4">
        <v>30573</v>
      </c>
      <c r="D2902" s="4">
        <v>30610</v>
      </c>
      <c r="E2902" s="4">
        <v>30452</v>
      </c>
      <c r="F2902" s="4" t="str">
        <v>34.76K</v>
      </c>
      <c r="G2902" s="4" t="str">
        <v>-0.30%</v>
      </c>
      <c r="H2902" s="3">
        <v>41319</v>
      </c>
      <c r="I2902" s="4">
        <v>30531</v>
      </c>
    </row>
    <row r="2903" spans="1:9" x14ac:dyDescent="0.25">
      <c r="A2903" s="3">
        <v>41318</v>
      </c>
      <c r="B2903" s="4">
        <v>30554</v>
      </c>
      <c r="C2903" s="4">
        <v>30602</v>
      </c>
      <c r="D2903" s="4">
        <v>30637</v>
      </c>
      <c r="E2903" s="4">
        <v>30510</v>
      </c>
      <c r="F2903" s="4" t="str">
        <v>26.46K</v>
      </c>
      <c r="G2903" s="4" t="str">
        <v>-0.06%</v>
      </c>
      <c r="H2903" s="3">
        <v>41318</v>
      </c>
      <c r="I2903" s="4">
        <v>30573.5</v>
      </c>
    </row>
    <row r="2904" spans="1:9" x14ac:dyDescent="0.25">
      <c r="A2904" s="3">
        <v>41317</v>
      </c>
      <c r="B2904" s="4">
        <v>30573</v>
      </c>
      <c r="C2904" s="4">
        <v>30581</v>
      </c>
      <c r="D2904" s="4">
        <v>30627</v>
      </c>
      <c r="E2904" s="4">
        <v>30516</v>
      </c>
      <c r="F2904" s="4" t="str">
        <v>33.98K</v>
      </c>
      <c r="G2904" s="4" t="str">
        <v>-0.22%</v>
      </c>
      <c r="H2904" s="3">
        <v>41317</v>
      </c>
      <c r="I2904" s="4">
        <v>30571.5</v>
      </c>
    </row>
    <row r="2905" spans="1:9" x14ac:dyDescent="0.25">
      <c r="A2905" s="3">
        <v>41316</v>
      </c>
      <c r="B2905" s="4">
        <v>30640</v>
      </c>
      <c r="C2905" s="4">
        <v>30829</v>
      </c>
      <c r="D2905" s="4">
        <v>30835</v>
      </c>
      <c r="E2905" s="4">
        <v>30583</v>
      </c>
      <c r="F2905" s="4" t="str">
        <v>35.68K</v>
      </c>
      <c r="G2905" s="4" t="str">
        <v>-0.57%</v>
      </c>
      <c r="H2905" s="3">
        <v>41316</v>
      </c>
      <c r="I2905" s="4">
        <v>30709</v>
      </c>
    </row>
    <row r="2906" spans="1:9" x14ac:dyDescent="0.25">
      <c r="A2906" s="3">
        <v>41314</v>
      </c>
      <c r="B2906" s="4">
        <v>30815</v>
      </c>
      <c r="C2906" s="4">
        <v>30804</v>
      </c>
      <c r="D2906" s="4">
        <v>30820</v>
      </c>
      <c r="E2906" s="4">
        <v>30795</v>
      </c>
      <c r="F2906" s="4" t="str">
        <v>0.94K</v>
      </c>
      <c r="G2906" s="4" t="str">
        <v>0.06%</v>
      </c>
      <c r="H2906" s="3">
        <v>41314</v>
      </c>
      <c r="I2906" s="4">
        <v>30807.5</v>
      </c>
    </row>
    <row r="2907" spans="1:9" x14ac:dyDescent="0.25">
      <c r="A2907" s="3">
        <v>41313</v>
      </c>
      <c r="B2907" s="4">
        <v>30795</v>
      </c>
      <c r="C2907" s="4">
        <v>30790</v>
      </c>
      <c r="D2907" s="4">
        <v>30841</v>
      </c>
      <c r="E2907" s="4">
        <v>30725</v>
      </c>
      <c r="F2907" s="4" t="str">
        <v>26.02K</v>
      </c>
      <c r="G2907" s="4" t="str">
        <v>-0.00%</v>
      </c>
      <c r="H2907" s="3">
        <v>41313</v>
      </c>
      <c r="I2907" s="4">
        <v>30783</v>
      </c>
    </row>
    <row r="2908" spans="1:9" x14ac:dyDescent="0.25">
      <c r="A2908" s="3">
        <v>41312</v>
      </c>
      <c r="B2908" s="4">
        <v>30796</v>
      </c>
      <c r="C2908" s="4">
        <v>30721</v>
      </c>
      <c r="D2908" s="4">
        <v>30890</v>
      </c>
      <c r="E2908" s="4">
        <v>30610</v>
      </c>
      <c r="F2908" s="4" t="str">
        <v>46.33K</v>
      </c>
      <c r="G2908" s="4" t="str">
        <v>0.28%</v>
      </c>
      <c r="H2908" s="3">
        <v>41312</v>
      </c>
      <c r="I2908" s="4">
        <v>30750</v>
      </c>
    </row>
    <row r="2909" spans="1:9" x14ac:dyDescent="0.25">
      <c r="A2909" s="3">
        <v>41311</v>
      </c>
      <c r="B2909" s="4">
        <v>30711</v>
      </c>
      <c r="C2909" s="4">
        <v>30598</v>
      </c>
      <c r="D2909" s="4">
        <v>30767</v>
      </c>
      <c r="E2909" s="4">
        <v>30565</v>
      </c>
      <c r="F2909" s="4" t="str">
        <v>30.90K</v>
      </c>
      <c r="G2909" s="4" t="str">
        <v>1.85%</v>
      </c>
      <c r="H2909" s="3">
        <v>41311</v>
      </c>
      <c r="I2909" s="4">
        <v>30666</v>
      </c>
    </row>
    <row r="2910" spans="1:9" x14ac:dyDescent="0.25">
      <c r="A2910" s="3">
        <v>41310</v>
      </c>
      <c r="B2910" s="4">
        <v>30153</v>
      </c>
      <c r="C2910" s="4">
        <v>30300</v>
      </c>
      <c r="D2910" s="4">
        <v>30376</v>
      </c>
      <c r="E2910" s="4">
        <v>30122</v>
      </c>
      <c r="F2910" s="4" t="str">
        <v>0.64K</v>
      </c>
      <c r="G2910" s="4" t="str">
        <v>-0.46%</v>
      </c>
      <c r="H2910" s="3">
        <v>41310</v>
      </c>
      <c r="I2910" s="4">
        <v>30249</v>
      </c>
    </row>
    <row r="2911" spans="1:9" x14ac:dyDescent="0.25">
      <c r="A2911" s="3">
        <v>41309</v>
      </c>
      <c r="B2911" s="4">
        <v>30293</v>
      </c>
      <c r="C2911" s="4">
        <v>30030</v>
      </c>
      <c r="D2911" s="4">
        <v>30340</v>
      </c>
      <c r="E2911" s="4">
        <v>30002</v>
      </c>
      <c r="F2911" s="4" t="str">
        <v>1.33K</v>
      </c>
      <c r="G2911" s="4" t="str">
        <v>0.86%</v>
      </c>
      <c r="H2911" s="3">
        <v>41309</v>
      </c>
      <c r="I2911" s="4">
        <v>30171</v>
      </c>
    </row>
    <row r="2912" spans="1:9" x14ac:dyDescent="0.25">
      <c r="A2912" s="3">
        <v>41307</v>
      </c>
      <c r="B2912" s="4">
        <v>30035</v>
      </c>
      <c r="C2912" s="4">
        <v>29915</v>
      </c>
      <c r="D2912" s="4">
        <v>30050</v>
      </c>
      <c r="E2912" s="4">
        <v>29910</v>
      </c>
      <c r="F2912" s="4" t="str">
        <v>0.71K</v>
      </c>
      <c r="G2912" s="4" t="str">
        <v>0.32%</v>
      </c>
      <c r="H2912" s="3">
        <v>41307</v>
      </c>
      <c r="I2912" s="4">
        <v>29980</v>
      </c>
    </row>
    <row r="2913" spans="1:9" x14ac:dyDescent="0.25">
      <c r="A2913" s="3">
        <v>41306</v>
      </c>
      <c r="B2913" s="4">
        <v>29938</v>
      </c>
      <c r="C2913" s="4">
        <v>29986</v>
      </c>
      <c r="D2913" s="4">
        <v>30130</v>
      </c>
      <c r="E2913" s="4">
        <v>29829</v>
      </c>
      <c r="F2913" s="4" t="str">
        <v>7.74K</v>
      </c>
      <c r="G2913" s="4" t="str">
        <v>0.22%</v>
      </c>
      <c r="H2913" s="3">
        <v>41306</v>
      </c>
      <c r="I2913" s="4">
        <v>29979.5</v>
      </c>
    </row>
    <row r="2914" spans="1:9" x14ac:dyDescent="0.25">
      <c r="A2914" s="3">
        <v>41305</v>
      </c>
      <c r="B2914" s="4">
        <v>29871</v>
      </c>
      <c r="C2914" s="4">
        <v>30200</v>
      </c>
      <c r="D2914" s="4">
        <v>30248</v>
      </c>
      <c r="E2914" s="4">
        <v>29794</v>
      </c>
      <c r="F2914" s="4" t="str">
        <v>33.12K</v>
      </c>
      <c r="G2914" s="4" t="str">
        <v>-1.15%</v>
      </c>
      <c r="H2914" s="3">
        <v>41305</v>
      </c>
      <c r="I2914" s="4">
        <v>30021</v>
      </c>
    </row>
    <row r="2915" spans="1:9" x14ac:dyDescent="0.25">
      <c r="A2915" s="3">
        <v>41304</v>
      </c>
      <c r="B2915" s="4">
        <v>30217</v>
      </c>
      <c r="C2915" s="4">
        <v>30275</v>
      </c>
      <c r="D2915" s="4">
        <v>30297</v>
      </c>
      <c r="E2915" s="4">
        <v>30006</v>
      </c>
      <c r="F2915" s="4" t="str">
        <v>38.77K</v>
      </c>
      <c r="G2915" s="4" t="str">
        <v>-0.06%</v>
      </c>
      <c r="H2915" s="3">
        <v>41304</v>
      </c>
      <c r="I2915" s="4">
        <v>30151.5</v>
      </c>
    </row>
    <row r="2916" spans="1:9" x14ac:dyDescent="0.25">
      <c r="A2916" s="3">
        <v>41303</v>
      </c>
      <c r="B2916" s="4">
        <v>30234</v>
      </c>
      <c r="C2916" s="4">
        <v>30349</v>
      </c>
      <c r="D2916" s="4">
        <v>30381</v>
      </c>
      <c r="E2916" s="4">
        <v>30215</v>
      </c>
      <c r="F2916" s="4" t="str">
        <v>29.05K</v>
      </c>
      <c r="G2916" s="4" t="str">
        <v>-0.34%</v>
      </c>
      <c r="H2916" s="3">
        <v>41303</v>
      </c>
      <c r="I2916" s="4">
        <v>30298</v>
      </c>
    </row>
    <row r="2917" spans="1:9" x14ac:dyDescent="0.25">
      <c r="A2917" s="3">
        <v>41302</v>
      </c>
      <c r="B2917" s="4">
        <v>30338</v>
      </c>
      <c r="C2917" s="4">
        <v>30337</v>
      </c>
      <c r="D2917" s="4">
        <v>30427</v>
      </c>
      <c r="E2917" s="4">
        <v>30278</v>
      </c>
      <c r="F2917" s="4" t="str">
        <v>30.71K</v>
      </c>
      <c r="G2917" s="4" t="str">
        <v>0.02%</v>
      </c>
      <c r="H2917" s="3">
        <v>41302</v>
      </c>
      <c r="I2917" s="4">
        <v>30352.5</v>
      </c>
    </row>
    <row r="2918" spans="1:9" x14ac:dyDescent="0.25">
      <c r="A2918" s="3">
        <v>41299</v>
      </c>
      <c r="B2918" s="4">
        <v>30331</v>
      </c>
      <c r="C2918" s="4">
        <v>30458</v>
      </c>
      <c r="D2918" s="4">
        <v>30488</v>
      </c>
      <c r="E2918" s="4">
        <v>30258</v>
      </c>
      <c r="F2918" s="4" t="str">
        <v>26.57K</v>
      </c>
      <c r="G2918" s="4" t="str">
        <v>-0.38%</v>
      </c>
      <c r="H2918" s="3">
        <v>41299</v>
      </c>
      <c r="I2918" s="4">
        <v>30373</v>
      </c>
    </row>
    <row r="2919" spans="1:9" x14ac:dyDescent="0.25">
      <c r="A2919" s="3">
        <v>41298</v>
      </c>
      <c r="B2919" s="4">
        <v>30448</v>
      </c>
      <c r="C2919" s="4">
        <v>30673</v>
      </c>
      <c r="D2919" s="4">
        <v>30698</v>
      </c>
      <c r="E2919" s="4">
        <v>30425</v>
      </c>
      <c r="F2919" s="4" t="str">
        <v>34.45K</v>
      </c>
      <c r="G2919" s="4" t="str">
        <v>-0.79%</v>
      </c>
      <c r="H2919" s="3">
        <v>41298</v>
      </c>
      <c r="I2919" s="4">
        <v>30561.5</v>
      </c>
    </row>
    <row r="2920" spans="1:9" x14ac:dyDescent="0.25">
      <c r="A2920" s="3">
        <v>41297</v>
      </c>
      <c r="B2920" s="4">
        <v>30691</v>
      </c>
      <c r="C2920" s="4">
        <v>30815</v>
      </c>
      <c r="D2920" s="4">
        <v>30847</v>
      </c>
      <c r="E2920" s="4">
        <v>30653</v>
      </c>
      <c r="F2920" s="4" t="str">
        <v>28.57K</v>
      </c>
      <c r="G2920" s="4" t="str">
        <v>-0.26%</v>
      </c>
      <c r="H2920" s="3">
        <v>41297</v>
      </c>
      <c r="I2920" s="4">
        <v>30750</v>
      </c>
    </row>
    <row r="2921" spans="1:9" x14ac:dyDescent="0.25">
      <c r="A2921" s="3">
        <v>41296</v>
      </c>
      <c r="B2921" s="4">
        <v>30772</v>
      </c>
      <c r="C2921" s="4">
        <v>30720</v>
      </c>
      <c r="D2921" s="4">
        <v>30818</v>
      </c>
      <c r="E2921" s="4">
        <v>30715</v>
      </c>
      <c r="F2921" s="4" t="str">
        <v>29.52K</v>
      </c>
      <c r="G2921" s="4" t="str">
        <v>0.05%</v>
      </c>
      <c r="H2921" s="3">
        <v>41296</v>
      </c>
      <c r="I2921" s="4">
        <v>30766.5</v>
      </c>
    </row>
    <row r="2922" spans="1:9" x14ac:dyDescent="0.25">
      <c r="A2922" s="3">
        <v>41295</v>
      </c>
      <c r="B2922" s="4">
        <v>30757</v>
      </c>
      <c r="C2922" s="4">
        <v>30599</v>
      </c>
      <c r="D2922" s="4">
        <v>30847</v>
      </c>
      <c r="E2922" s="4">
        <v>30570</v>
      </c>
      <c r="F2922" s="4" t="str">
        <v>40.69K</v>
      </c>
      <c r="G2922" s="4" t="str">
        <v>0.58%</v>
      </c>
      <c r="H2922" s="3">
        <v>41295</v>
      </c>
      <c r="I2922" s="4">
        <v>30708.5</v>
      </c>
    </row>
    <row r="2923" spans="1:9" x14ac:dyDescent="0.25">
      <c r="A2923" s="3">
        <v>41293</v>
      </c>
      <c r="B2923" s="4">
        <v>30581</v>
      </c>
      <c r="C2923" s="4">
        <v>30570</v>
      </c>
      <c r="D2923" s="4">
        <v>30589</v>
      </c>
      <c r="E2923" s="4">
        <v>30545</v>
      </c>
      <c r="F2923" s="4" t="str">
        <v>2.11K</v>
      </c>
      <c r="G2923" s="4" t="str">
        <v>-0.04%</v>
      </c>
      <c r="H2923" s="3">
        <v>41293</v>
      </c>
      <c r="I2923" s="4">
        <v>30567</v>
      </c>
    </row>
    <row r="2924" spans="1:9" x14ac:dyDescent="0.25">
      <c r="A2924" s="3">
        <v>41292</v>
      </c>
      <c r="B2924" s="4">
        <v>30594</v>
      </c>
      <c r="C2924" s="4">
        <v>30670</v>
      </c>
      <c r="D2924" s="4">
        <v>30712</v>
      </c>
      <c r="E2924" s="4">
        <v>30570</v>
      </c>
      <c r="F2924" s="4" t="str">
        <v>30.86K</v>
      </c>
      <c r="G2924" s="4" t="str">
        <v>-0.53%</v>
      </c>
      <c r="H2924" s="3">
        <v>41292</v>
      </c>
      <c r="I2924" s="4">
        <v>30641</v>
      </c>
    </row>
    <row r="2925" spans="1:9" x14ac:dyDescent="0.25">
      <c r="A2925" s="3">
        <v>41291</v>
      </c>
      <c r="B2925" s="4">
        <v>30758</v>
      </c>
      <c r="C2925" s="4">
        <v>30850</v>
      </c>
      <c r="D2925" s="4">
        <v>30870</v>
      </c>
      <c r="E2925" s="4">
        <v>30530</v>
      </c>
      <c r="F2925" s="4" t="str">
        <v>49.95K</v>
      </c>
      <c r="G2925" s="4" t="str">
        <v>-0.43%</v>
      </c>
      <c r="H2925" s="3">
        <v>41291</v>
      </c>
      <c r="I2925" s="4">
        <v>30700</v>
      </c>
    </row>
    <row r="2926" spans="1:9" x14ac:dyDescent="0.25">
      <c r="A2926" s="3">
        <v>41290</v>
      </c>
      <c r="B2926" s="4">
        <v>30892</v>
      </c>
      <c r="C2926" s="4">
        <v>30897</v>
      </c>
      <c r="D2926" s="4">
        <v>30934</v>
      </c>
      <c r="E2926" s="4">
        <v>30821</v>
      </c>
      <c r="F2926" s="4" t="str">
        <v>24.22K</v>
      </c>
      <c r="G2926" s="4" t="str">
        <v>0.07%</v>
      </c>
      <c r="H2926" s="3">
        <v>41290</v>
      </c>
      <c r="I2926" s="4">
        <v>30877.5</v>
      </c>
    </row>
    <row r="2927" spans="1:9" x14ac:dyDescent="0.25">
      <c r="A2927" s="3">
        <v>41289</v>
      </c>
      <c r="B2927" s="4">
        <v>30869</v>
      </c>
      <c r="C2927" s="4">
        <v>30769</v>
      </c>
      <c r="D2927" s="4">
        <v>30887</v>
      </c>
      <c r="E2927" s="4">
        <v>30737</v>
      </c>
      <c r="F2927" s="4" t="str">
        <v>30.46K</v>
      </c>
      <c r="G2927" s="4" t="str">
        <v>0.42%</v>
      </c>
      <c r="H2927" s="3">
        <v>41289</v>
      </c>
      <c r="I2927" s="4">
        <v>30812</v>
      </c>
    </row>
    <row r="2928" spans="1:9" x14ac:dyDescent="0.25">
      <c r="A2928" s="3">
        <v>41288</v>
      </c>
      <c r="B2928" s="4">
        <v>30740</v>
      </c>
      <c r="C2928" s="4">
        <v>30800</v>
      </c>
      <c r="D2928" s="4">
        <v>30840</v>
      </c>
      <c r="E2928" s="4">
        <v>30716</v>
      </c>
      <c r="F2928" s="4" t="str">
        <v>24.43K</v>
      </c>
      <c r="G2928" s="4" t="str">
        <v>-0.16%</v>
      </c>
      <c r="H2928" s="3">
        <v>41288</v>
      </c>
      <c r="I2928" s="4">
        <v>30778</v>
      </c>
    </row>
    <row r="2929" spans="1:9" x14ac:dyDescent="0.25">
      <c r="A2929" s="3">
        <v>41286</v>
      </c>
      <c r="B2929" s="4">
        <v>30790</v>
      </c>
      <c r="C2929" s="4">
        <v>30790</v>
      </c>
      <c r="D2929" s="4">
        <v>30795</v>
      </c>
      <c r="E2929" s="4">
        <v>30782</v>
      </c>
      <c r="F2929" s="4" t="str">
        <v>1.47K</v>
      </c>
      <c r="G2929" s="4" t="str">
        <v>0.11%</v>
      </c>
      <c r="H2929" s="3">
        <v>41286</v>
      </c>
      <c r="I2929" s="4">
        <v>30788.5</v>
      </c>
    </row>
    <row r="2930" spans="1:9" x14ac:dyDescent="0.25">
      <c r="A2930" s="3">
        <v>41285</v>
      </c>
      <c r="B2930" s="4">
        <v>30757</v>
      </c>
      <c r="C2930" s="4">
        <v>30901</v>
      </c>
      <c r="D2930" s="4">
        <v>30940</v>
      </c>
      <c r="E2930" s="4">
        <v>30700</v>
      </c>
      <c r="F2930" s="4" t="str">
        <v>35.97K</v>
      </c>
      <c r="G2930" s="4" t="str">
        <v>-0.58%</v>
      </c>
      <c r="H2930" s="3">
        <v>41285</v>
      </c>
      <c r="I2930" s="4">
        <v>30820</v>
      </c>
    </row>
    <row r="2931" spans="1:9" x14ac:dyDescent="0.25">
      <c r="A2931" s="3">
        <v>41284</v>
      </c>
      <c r="B2931" s="4">
        <v>30936</v>
      </c>
      <c r="C2931" s="4">
        <v>30765</v>
      </c>
      <c r="D2931" s="4">
        <v>30950</v>
      </c>
      <c r="E2931" s="4">
        <v>30721</v>
      </c>
      <c r="F2931" s="4" t="str">
        <v>33.72K</v>
      </c>
      <c r="G2931" s="4" t="str">
        <v>0.46%</v>
      </c>
      <c r="H2931" s="3">
        <v>41284</v>
      </c>
      <c r="I2931" s="4">
        <v>30835.5</v>
      </c>
    </row>
    <row r="2932" spans="1:9" x14ac:dyDescent="0.25">
      <c r="A2932" s="3">
        <v>41283</v>
      </c>
      <c r="B2932" s="4">
        <v>30794</v>
      </c>
      <c r="C2932" s="4">
        <v>30940</v>
      </c>
      <c r="D2932" s="4">
        <v>31004</v>
      </c>
      <c r="E2932" s="4">
        <v>30772</v>
      </c>
      <c r="F2932" s="4" t="str">
        <v>32.20K</v>
      </c>
      <c r="G2932" s="4" t="str">
        <v>-0.58%</v>
      </c>
      <c r="H2932" s="3">
        <v>41283</v>
      </c>
      <c r="I2932" s="4">
        <v>30888</v>
      </c>
    </row>
    <row r="2933" spans="1:9" x14ac:dyDescent="0.25">
      <c r="A2933" s="3">
        <v>41282</v>
      </c>
      <c r="B2933" s="4">
        <v>30974</v>
      </c>
      <c r="C2933" s="4">
        <v>30910</v>
      </c>
      <c r="D2933" s="4">
        <v>30995</v>
      </c>
      <c r="E2933" s="4">
        <v>30865</v>
      </c>
      <c r="F2933" s="4" t="str">
        <v>30.11K</v>
      </c>
      <c r="G2933" s="4" t="str">
        <v>0.36%</v>
      </c>
      <c r="H2933" s="3">
        <v>41282</v>
      </c>
      <c r="I2933" s="4">
        <v>30930</v>
      </c>
    </row>
    <row r="2934" spans="1:9" x14ac:dyDescent="0.25">
      <c r="A2934" s="3">
        <v>41281</v>
      </c>
      <c r="B2934" s="4">
        <v>30863</v>
      </c>
      <c r="C2934" s="4">
        <v>30964</v>
      </c>
      <c r="D2934" s="4">
        <v>31058</v>
      </c>
      <c r="E2934" s="4">
        <v>30835</v>
      </c>
      <c r="F2934" s="4" t="str">
        <v>35.43K</v>
      </c>
      <c r="G2934" s="4" t="str">
        <v>-0.14%</v>
      </c>
      <c r="H2934" s="3">
        <v>41281</v>
      </c>
      <c r="I2934" s="4">
        <v>30946.5</v>
      </c>
    </row>
    <row r="2935" spans="1:9" x14ac:dyDescent="0.25">
      <c r="A2935" s="3">
        <v>41279</v>
      </c>
      <c r="B2935" s="4">
        <v>30907</v>
      </c>
      <c r="C2935" s="4">
        <v>30821</v>
      </c>
      <c r="D2935" s="4">
        <v>30940</v>
      </c>
      <c r="E2935" s="4">
        <v>30821</v>
      </c>
      <c r="F2935" s="4" t="str">
        <v>2.61K</v>
      </c>
      <c r="G2935" s="4" t="str">
        <v>0.35%</v>
      </c>
      <c r="H2935" s="3">
        <v>41279</v>
      </c>
      <c r="I2935" s="4">
        <v>30880.5</v>
      </c>
    </row>
    <row r="2936" spans="1:9" x14ac:dyDescent="0.25">
      <c r="A2936" s="3">
        <v>41278</v>
      </c>
      <c r="B2936" s="4">
        <v>30800</v>
      </c>
      <c r="C2936" s="4">
        <v>30925</v>
      </c>
      <c r="D2936" s="4">
        <v>30925</v>
      </c>
      <c r="E2936" s="4">
        <v>30625</v>
      </c>
      <c r="F2936" s="4" t="str">
        <v>45.95K</v>
      </c>
      <c r="G2936" s="4" t="str">
        <v>-0.47%</v>
      </c>
      <c r="H2936" s="3">
        <v>41278</v>
      </c>
      <c r="I2936" s="4">
        <v>30775</v>
      </c>
    </row>
    <row r="2937" spans="1:9" x14ac:dyDescent="0.25">
      <c r="A2937" s="3">
        <v>41277</v>
      </c>
      <c r="B2937" s="4">
        <v>30945</v>
      </c>
      <c r="C2937" s="4">
        <v>31078</v>
      </c>
      <c r="D2937" s="4">
        <v>31165</v>
      </c>
      <c r="E2937" s="4">
        <v>30931</v>
      </c>
      <c r="F2937" s="4" t="str">
        <v>30.64K</v>
      </c>
      <c r="G2937" s="4" t="str">
        <v>-0.31%</v>
      </c>
      <c r="H2937" s="3">
        <v>41277</v>
      </c>
      <c r="I2937" s="4">
        <v>31048</v>
      </c>
    </row>
    <row r="2938" spans="1:9" x14ac:dyDescent="0.25">
      <c r="A2938" s="3">
        <v>41276</v>
      </c>
      <c r="B2938" s="4">
        <v>31042</v>
      </c>
      <c r="C2938" s="4">
        <v>30870</v>
      </c>
      <c r="D2938" s="4">
        <v>31191</v>
      </c>
      <c r="E2938" s="4">
        <v>30760</v>
      </c>
      <c r="F2938" s="4" t="str">
        <v>48.73K</v>
      </c>
      <c r="G2938" s="4" t="str">
        <v>0.50%</v>
      </c>
      <c r="H2938" s="3">
        <v>41276</v>
      </c>
      <c r="I2938" s="4">
        <v>30975.5</v>
      </c>
    </row>
    <row r="2939" spans="1:9" x14ac:dyDescent="0.25">
      <c r="A2939" s="3">
        <v>41275</v>
      </c>
      <c r="B2939" s="4">
        <v>30888</v>
      </c>
      <c r="C2939" s="4">
        <v>30818</v>
      </c>
      <c r="D2939" s="4">
        <v>30925</v>
      </c>
      <c r="E2939" s="4">
        <v>30811</v>
      </c>
      <c r="F2939" s="4" t="str">
        <v>6.86K</v>
      </c>
      <c r="G2939" s="4" t="str">
        <v>0.09%</v>
      </c>
      <c r="H2939" s="3">
        <v>41275</v>
      </c>
      <c r="I2939" s="4">
        <v>30868</v>
      </c>
    </row>
    <row r="2940" spans="1:9" x14ac:dyDescent="0.25">
      <c r="A2940" s="3">
        <v>41274</v>
      </c>
      <c r="B2940" s="4">
        <v>30859</v>
      </c>
      <c r="C2940" s="4">
        <v>30707</v>
      </c>
      <c r="D2940" s="4">
        <v>30888</v>
      </c>
      <c r="E2940" s="4">
        <v>30673</v>
      </c>
      <c r="F2940" s="4" t="str">
        <v>27.02K</v>
      </c>
      <c r="G2940" s="4" t="str">
        <v>0.53%</v>
      </c>
      <c r="H2940" s="3">
        <v>41274</v>
      </c>
      <c r="I2940" s="4">
        <v>30780.5</v>
      </c>
    </row>
    <row r="2941" spans="1:9" x14ac:dyDescent="0.25">
      <c r="A2941" s="3">
        <v>41272</v>
      </c>
      <c r="B2941" s="4">
        <v>30697</v>
      </c>
      <c r="C2941" s="4">
        <v>30667</v>
      </c>
      <c r="D2941" s="4">
        <v>30704</v>
      </c>
      <c r="E2941" s="4">
        <v>30663</v>
      </c>
      <c r="F2941" s="4" t="str">
        <v>1.54K</v>
      </c>
      <c r="G2941" s="4" t="str">
        <v>0.11%</v>
      </c>
      <c r="H2941" s="3">
        <v>41272</v>
      </c>
      <c r="I2941" s="4">
        <v>30683.5</v>
      </c>
    </row>
    <row r="2942" spans="1:9" x14ac:dyDescent="0.25">
      <c r="A2942" s="3">
        <v>41271</v>
      </c>
      <c r="B2942" s="4">
        <v>30663</v>
      </c>
      <c r="C2942" s="4">
        <v>30772</v>
      </c>
      <c r="D2942" s="4">
        <v>30788</v>
      </c>
      <c r="E2942" s="4">
        <v>30621</v>
      </c>
      <c r="F2942" s="4" t="str">
        <v>23.25K</v>
      </c>
      <c r="G2942" s="4" t="str">
        <v>-0.52%</v>
      </c>
      <c r="H2942" s="3">
        <v>41271</v>
      </c>
      <c r="I2942" s="4">
        <v>30704.5</v>
      </c>
    </row>
    <row r="2943" spans="1:9" x14ac:dyDescent="0.25">
      <c r="A2943" s="3">
        <v>41270</v>
      </c>
      <c r="B2943" s="4">
        <v>30823</v>
      </c>
      <c r="C2943" s="4">
        <v>30650</v>
      </c>
      <c r="D2943" s="4">
        <v>30849</v>
      </c>
      <c r="E2943" s="4">
        <v>30618</v>
      </c>
      <c r="F2943" s="4" t="str">
        <v>28.14K</v>
      </c>
      <c r="G2943" s="4" t="str">
        <v>0.41%</v>
      </c>
      <c r="H2943" s="3">
        <v>41270</v>
      </c>
      <c r="I2943" s="4">
        <v>30733.5</v>
      </c>
    </row>
    <row r="2944" spans="1:9" x14ac:dyDescent="0.25">
      <c r="A2944" s="3">
        <v>41269</v>
      </c>
      <c r="B2944" s="4">
        <v>30698</v>
      </c>
      <c r="C2944" s="4">
        <v>30785</v>
      </c>
      <c r="D2944" s="4">
        <v>30807</v>
      </c>
      <c r="E2944" s="4">
        <v>30661</v>
      </c>
      <c r="F2944" s="4" t="str">
        <v>24.25K</v>
      </c>
      <c r="G2944" s="4" t="str">
        <v>-0.51%</v>
      </c>
      <c r="H2944" s="3">
        <v>41269</v>
      </c>
      <c r="I2944" s="4">
        <v>30734</v>
      </c>
    </row>
    <row r="2945" spans="1:9" x14ac:dyDescent="0.25">
      <c r="A2945" s="3">
        <v>41267</v>
      </c>
      <c r="B2945" s="4">
        <v>30854</v>
      </c>
      <c r="C2945" s="4">
        <v>30865</v>
      </c>
      <c r="D2945" s="4">
        <v>30925</v>
      </c>
      <c r="E2945" s="4">
        <v>30810</v>
      </c>
      <c r="F2945" s="4" t="str">
        <v>18.52K</v>
      </c>
      <c r="G2945" s="4" t="str">
        <v>-0.19%</v>
      </c>
      <c r="H2945" s="3">
        <v>41267</v>
      </c>
      <c r="I2945" s="4">
        <v>30867.5</v>
      </c>
    </row>
    <row r="2946" spans="1:9" x14ac:dyDescent="0.25">
      <c r="A2946" s="3">
        <v>41265</v>
      </c>
      <c r="B2946" s="4">
        <v>30913</v>
      </c>
      <c r="C2946" s="4">
        <v>30879</v>
      </c>
      <c r="D2946" s="4">
        <v>30934</v>
      </c>
      <c r="E2946" s="4">
        <v>30851</v>
      </c>
      <c r="F2946" s="4" t="str">
        <v>1.63K</v>
      </c>
      <c r="G2946" s="4" t="str">
        <v>0.08%</v>
      </c>
      <c r="H2946" s="3">
        <v>41265</v>
      </c>
      <c r="I2946" s="4">
        <v>30892.5</v>
      </c>
    </row>
    <row r="2947" spans="1:9" x14ac:dyDescent="0.25">
      <c r="A2947" s="3">
        <v>41264</v>
      </c>
      <c r="B2947" s="4">
        <v>30888</v>
      </c>
      <c r="C2947" s="4">
        <v>30599</v>
      </c>
      <c r="D2947" s="4">
        <v>30909</v>
      </c>
      <c r="E2947" s="4">
        <v>30546</v>
      </c>
      <c r="F2947" s="4" t="str">
        <v>47.83K</v>
      </c>
      <c r="G2947" s="4" t="str">
        <v>1.33%</v>
      </c>
      <c r="H2947" s="3">
        <v>41264</v>
      </c>
      <c r="I2947" s="4">
        <v>30727.5</v>
      </c>
    </row>
    <row r="2948" spans="1:9" x14ac:dyDescent="0.25">
      <c r="A2948" s="3">
        <v>41263</v>
      </c>
      <c r="B2948" s="4">
        <v>30482</v>
      </c>
      <c r="C2948" s="4">
        <v>30844</v>
      </c>
      <c r="D2948" s="4">
        <v>30969</v>
      </c>
      <c r="E2948" s="4">
        <v>30370</v>
      </c>
      <c r="F2948" s="4" t="str">
        <v>52.56K</v>
      </c>
      <c r="G2948" s="4" t="str">
        <v>-1.09%</v>
      </c>
      <c r="H2948" s="3">
        <v>41263</v>
      </c>
      <c r="I2948" s="4">
        <v>30669.5</v>
      </c>
    </row>
    <row r="2949" spans="1:9" x14ac:dyDescent="0.25">
      <c r="A2949" s="3">
        <v>41262</v>
      </c>
      <c r="B2949" s="4">
        <v>30819</v>
      </c>
      <c r="C2949" s="4">
        <v>31022</v>
      </c>
      <c r="D2949" s="4">
        <v>31022</v>
      </c>
      <c r="E2949" s="4">
        <v>30760</v>
      </c>
      <c r="F2949" s="4" t="str">
        <v>52.42K</v>
      </c>
      <c r="G2949" s="4" t="str">
        <v>-0.76%</v>
      </c>
      <c r="H2949" s="3">
        <v>41262</v>
      </c>
      <c r="I2949" s="4">
        <v>30891</v>
      </c>
    </row>
    <row r="2950" spans="1:9" x14ac:dyDescent="0.25">
      <c r="A2950" s="3">
        <v>41261</v>
      </c>
      <c r="B2950" s="4">
        <v>31056</v>
      </c>
      <c r="C2950" s="4">
        <v>31379</v>
      </c>
      <c r="D2950" s="4">
        <v>31535</v>
      </c>
      <c r="E2950" s="4">
        <v>31023</v>
      </c>
      <c r="F2950" s="4" t="str">
        <v>50.38K</v>
      </c>
      <c r="G2950" s="4" t="str">
        <v>-0.88%</v>
      </c>
      <c r="H2950" s="3">
        <v>41261</v>
      </c>
      <c r="I2950" s="4">
        <v>31279</v>
      </c>
    </row>
    <row r="2951" spans="1:9" x14ac:dyDescent="0.25">
      <c r="A2951" s="3">
        <v>41260</v>
      </c>
      <c r="B2951" s="4">
        <v>31332</v>
      </c>
      <c r="C2951" s="4">
        <v>31162</v>
      </c>
      <c r="D2951" s="4">
        <v>31378</v>
      </c>
      <c r="E2951" s="4">
        <v>31123</v>
      </c>
      <c r="F2951" s="4" t="str">
        <v>33.51K</v>
      </c>
      <c r="G2951" s="4" t="str">
        <v>0.40%</v>
      </c>
      <c r="H2951" s="3">
        <v>41260</v>
      </c>
      <c r="I2951" s="4">
        <v>31250.5</v>
      </c>
    </row>
    <row r="2952" spans="1:9" x14ac:dyDescent="0.25">
      <c r="A2952" s="3">
        <v>41258</v>
      </c>
      <c r="B2952" s="4">
        <v>31208</v>
      </c>
      <c r="C2952" s="4">
        <v>31192</v>
      </c>
      <c r="D2952" s="4">
        <v>31218</v>
      </c>
      <c r="E2952" s="4">
        <v>31176</v>
      </c>
      <c r="F2952" s="4" t="str">
        <v>1.38K</v>
      </c>
      <c r="G2952" s="4" t="str">
        <v>0.06%</v>
      </c>
      <c r="H2952" s="3">
        <v>41258</v>
      </c>
      <c r="I2952" s="4">
        <v>31197</v>
      </c>
    </row>
    <row r="2953" spans="1:9" x14ac:dyDescent="0.25">
      <c r="A2953" s="3">
        <v>41257</v>
      </c>
      <c r="B2953" s="4">
        <v>31188</v>
      </c>
      <c r="C2953" s="4">
        <v>31261</v>
      </c>
      <c r="D2953" s="4">
        <v>31283</v>
      </c>
      <c r="E2953" s="4">
        <v>31155</v>
      </c>
      <c r="F2953" s="4" t="str">
        <v>26.54K</v>
      </c>
      <c r="G2953" s="4" t="str">
        <v>-0.12%</v>
      </c>
      <c r="H2953" s="3">
        <v>41257</v>
      </c>
      <c r="I2953" s="4">
        <v>31219</v>
      </c>
    </row>
    <row r="2954" spans="1:9" x14ac:dyDescent="0.25">
      <c r="A2954" s="3">
        <v>41256</v>
      </c>
      <c r="B2954" s="4">
        <v>31227</v>
      </c>
      <c r="C2954" s="4">
        <v>31380</v>
      </c>
      <c r="D2954" s="4">
        <v>31386</v>
      </c>
      <c r="E2954" s="4">
        <v>31091</v>
      </c>
      <c r="F2954" s="4" t="str">
        <v>39.83K</v>
      </c>
      <c r="G2954" s="4" t="str">
        <v>-0.54%</v>
      </c>
      <c r="H2954" s="3">
        <v>41256</v>
      </c>
      <c r="I2954" s="4">
        <v>31238.5</v>
      </c>
    </row>
    <row r="2955" spans="1:9" x14ac:dyDescent="0.25">
      <c r="A2955" s="3">
        <v>41255</v>
      </c>
      <c r="B2955" s="4">
        <v>31397</v>
      </c>
      <c r="C2955" s="4">
        <v>31387</v>
      </c>
      <c r="D2955" s="4">
        <v>31490</v>
      </c>
      <c r="E2955" s="4">
        <v>31300</v>
      </c>
      <c r="F2955" s="4" t="str">
        <v>39.37K</v>
      </c>
      <c r="G2955" s="4" t="str">
        <v>0.07%</v>
      </c>
      <c r="H2955" s="3">
        <v>41255</v>
      </c>
      <c r="I2955" s="4">
        <v>31395</v>
      </c>
    </row>
    <row r="2956" spans="1:9" x14ac:dyDescent="0.25">
      <c r="A2956" s="3">
        <v>41254</v>
      </c>
      <c r="B2956" s="4">
        <v>31376</v>
      </c>
      <c r="C2956" s="4">
        <v>31456</v>
      </c>
      <c r="D2956" s="4">
        <v>31456</v>
      </c>
      <c r="E2956" s="4">
        <v>31320</v>
      </c>
      <c r="F2956" s="4" t="str">
        <v>26.27K</v>
      </c>
      <c r="G2956" s="4" t="str">
        <v>-0.37%</v>
      </c>
      <c r="H2956" s="3">
        <v>41254</v>
      </c>
      <c r="I2956" s="4">
        <v>31388</v>
      </c>
    </row>
    <row r="2957" spans="1:9" x14ac:dyDescent="0.25">
      <c r="A2957" s="3">
        <v>41253</v>
      </c>
      <c r="B2957" s="4">
        <v>31493</v>
      </c>
      <c r="C2957" s="4">
        <v>31348</v>
      </c>
      <c r="D2957" s="4">
        <v>31559</v>
      </c>
      <c r="E2957" s="4">
        <v>31331</v>
      </c>
      <c r="F2957" s="4" t="str">
        <v>26.30K</v>
      </c>
      <c r="G2957" s="4" t="str">
        <v>0.53%</v>
      </c>
      <c r="H2957" s="3">
        <v>41253</v>
      </c>
      <c r="I2957" s="4">
        <v>31445</v>
      </c>
    </row>
    <row r="2958" spans="1:9" x14ac:dyDescent="0.25">
      <c r="A2958" s="3">
        <v>41251</v>
      </c>
      <c r="B2958" s="4">
        <v>31326</v>
      </c>
      <c r="C2958" s="4">
        <v>31290</v>
      </c>
      <c r="D2958" s="4">
        <v>31337</v>
      </c>
      <c r="E2958" s="4">
        <v>31290</v>
      </c>
      <c r="F2958" s="4" t="str">
        <v>1.74K</v>
      </c>
      <c r="G2958" s="4" t="str">
        <v>0.16%</v>
      </c>
      <c r="H2958" s="3">
        <v>41251</v>
      </c>
      <c r="I2958" s="4">
        <v>31313.5</v>
      </c>
    </row>
    <row r="2959" spans="1:9" x14ac:dyDescent="0.25">
      <c r="A2959" s="3">
        <v>41250</v>
      </c>
      <c r="B2959" s="4">
        <v>31276</v>
      </c>
      <c r="C2959" s="4">
        <v>31211</v>
      </c>
      <c r="D2959" s="4">
        <v>31340</v>
      </c>
      <c r="E2959" s="4">
        <v>31021</v>
      </c>
      <c r="F2959" s="4" t="str">
        <v>45.46K</v>
      </c>
      <c r="G2959" s="4" t="str">
        <v>0.16%</v>
      </c>
      <c r="H2959" s="3">
        <v>41250</v>
      </c>
      <c r="I2959" s="4">
        <v>31180.5</v>
      </c>
    </row>
    <row r="2960" spans="1:9" x14ac:dyDescent="0.25">
      <c r="A2960" s="3">
        <v>41249</v>
      </c>
      <c r="B2960" s="4">
        <v>31225</v>
      </c>
      <c r="C2960" s="4">
        <v>31211</v>
      </c>
      <c r="D2960" s="4">
        <v>31284</v>
      </c>
      <c r="E2960" s="4">
        <v>30916</v>
      </c>
      <c r="F2960" s="4" t="str">
        <v>55.55K</v>
      </c>
      <c r="G2960" s="4" t="str">
        <v>1.45%</v>
      </c>
      <c r="H2960" s="3">
        <v>41249</v>
      </c>
      <c r="I2960" s="4">
        <v>31100</v>
      </c>
    </row>
    <row r="2961" spans="1:9" x14ac:dyDescent="0.25">
      <c r="A2961" s="3">
        <v>41248</v>
      </c>
      <c r="B2961" s="4">
        <v>30778</v>
      </c>
      <c r="C2961" s="4">
        <v>31078</v>
      </c>
      <c r="D2961" s="4">
        <v>31078</v>
      </c>
      <c r="E2961" s="4">
        <v>30710</v>
      </c>
      <c r="F2961" s="4" t="str">
        <v>0.05K</v>
      </c>
      <c r="G2961" s="4" t="str">
        <v>-0.58%</v>
      </c>
      <c r="H2961" s="3">
        <v>41248</v>
      </c>
      <c r="I2961" s="4">
        <v>30894</v>
      </c>
    </row>
    <row r="2962" spans="1:9" x14ac:dyDescent="0.25">
      <c r="A2962" s="3">
        <v>41247</v>
      </c>
      <c r="B2962" s="4">
        <v>30958</v>
      </c>
      <c r="C2962" s="4">
        <v>31319</v>
      </c>
      <c r="D2962" s="4">
        <v>31319</v>
      </c>
      <c r="E2962" s="4">
        <v>30945</v>
      </c>
      <c r="F2962" s="4" t="str">
        <v>0.20K</v>
      </c>
      <c r="G2962" s="4" t="str">
        <v>-0.97%</v>
      </c>
      <c r="H2962" s="3">
        <v>41247</v>
      </c>
      <c r="I2962" s="4">
        <v>31132</v>
      </c>
    </row>
    <row r="2963" spans="1:9" x14ac:dyDescent="0.25">
      <c r="A2963" s="3">
        <v>41246</v>
      </c>
      <c r="B2963" s="4">
        <v>31262</v>
      </c>
      <c r="C2963" s="4">
        <v>31250</v>
      </c>
      <c r="D2963" s="4">
        <v>31337</v>
      </c>
      <c r="E2963" s="4">
        <v>31149</v>
      </c>
      <c r="F2963" s="4" t="str">
        <v>1.57K</v>
      </c>
      <c r="G2963" s="4" t="str">
        <v>0.52%</v>
      </c>
      <c r="H2963" s="3">
        <v>41246</v>
      </c>
      <c r="I2963" s="4">
        <v>31243</v>
      </c>
    </row>
    <row r="2964" spans="1:9" x14ac:dyDescent="0.25">
      <c r="A2964" s="3">
        <v>41244</v>
      </c>
      <c r="B2964" s="4">
        <v>31101</v>
      </c>
      <c r="C2964" s="4">
        <v>31125</v>
      </c>
      <c r="D2964" s="4">
        <v>31139</v>
      </c>
      <c r="E2964" s="4">
        <v>31047</v>
      </c>
      <c r="F2964" s="4" t="str">
        <v>2.00K</v>
      </c>
      <c r="G2964" s="4" t="str">
        <v>0.08%</v>
      </c>
      <c r="H2964" s="3">
        <v>41244</v>
      </c>
      <c r="I2964" s="4">
        <v>31093</v>
      </c>
    </row>
    <row r="2965" spans="1:9" x14ac:dyDescent="0.25">
      <c r="A2965" s="3">
        <v>41243</v>
      </c>
      <c r="B2965" s="4">
        <v>31076</v>
      </c>
      <c r="C2965" s="4">
        <v>31500</v>
      </c>
      <c r="D2965" s="4">
        <v>31572</v>
      </c>
      <c r="E2965" s="4">
        <v>31040</v>
      </c>
      <c r="F2965" s="4" t="str">
        <v>21.60K</v>
      </c>
      <c r="G2965" s="4" t="str">
        <v>-1.59%</v>
      </c>
      <c r="H2965" s="3">
        <v>41243</v>
      </c>
      <c r="I2965" s="4">
        <v>31306</v>
      </c>
    </row>
    <row r="2966" spans="1:9" x14ac:dyDescent="0.25">
      <c r="A2966" s="3">
        <v>41242</v>
      </c>
      <c r="B2966" s="4">
        <v>31579</v>
      </c>
      <c r="C2966" s="4">
        <v>31878</v>
      </c>
      <c r="D2966" s="4">
        <v>31878</v>
      </c>
      <c r="E2966" s="4">
        <v>31510</v>
      </c>
      <c r="F2966" s="4" t="str">
        <v>37.24K</v>
      </c>
      <c r="G2966" s="4" t="str">
        <v>-1.02%</v>
      </c>
      <c r="H2966" s="3">
        <v>41242</v>
      </c>
      <c r="I2966" s="4">
        <v>31694</v>
      </c>
    </row>
    <row r="2967" spans="1:9" x14ac:dyDescent="0.25">
      <c r="A2967" s="3">
        <v>41241</v>
      </c>
      <c r="B2967" s="4">
        <v>31903</v>
      </c>
      <c r="C2967" s="4">
        <v>32227</v>
      </c>
      <c r="D2967" s="4">
        <v>32270</v>
      </c>
      <c r="E2967" s="4">
        <v>31768</v>
      </c>
      <c r="F2967" s="4" t="str">
        <v>28.54K</v>
      </c>
      <c r="G2967" s="4" t="str">
        <v>-1.01%</v>
      </c>
      <c r="H2967" s="3">
        <v>41241</v>
      </c>
      <c r="I2967" s="4">
        <v>32019</v>
      </c>
    </row>
    <row r="2968" spans="1:9" x14ac:dyDescent="0.25">
      <c r="A2968" s="3">
        <v>41240</v>
      </c>
      <c r="B2968" s="4">
        <v>32229</v>
      </c>
      <c r="C2968" s="4">
        <v>32372</v>
      </c>
      <c r="D2968" s="4">
        <v>32453</v>
      </c>
      <c r="E2968" s="4">
        <v>32171</v>
      </c>
      <c r="F2968" s="4" t="str">
        <v>31.00K</v>
      </c>
      <c r="G2968" s="4" t="str">
        <v>-0.40%</v>
      </c>
      <c r="H2968" s="3">
        <v>41240</v>
      </c>
      <c r="I2968" s="4">
        <v>32312</v>
      </c>
    </row>
    <row r="2969" spans="1:9" x14ac:dyDescent="0.25">
      <c r="A2969" s="3">
        <v>41239</v>
      </c>
      <c r="B2969" s="4">
        <v>32359</v>
      </c>
      <c r="C2969" s="4">
        <v>32247</v>
      </c>
      <c r="D2969" s="4">
        <v>32464</v>
      </c>
      <c r="E2969" s="4">
        <v>32219</v>
      </c>
      <c r="F2969" s="4" t="str">
        <v>32.98K</v>
      </c>
      <c r="G2969" s="4" t="str">
        <v>0.34%</v>
      </c>
      <c r="H2969" s="3">
        <v>41239</v>
      </c>
      <c r="I2969" s="4">
        <v>32341.5</v>
      </c>
    </row>
    <row r="2970" spans="1:9" x14ac:dyDescent="0.25">
      <c r="A2970" s="3">
        <v>41237</v>
      </c>
      <c r="B2970" s="4">
        <v>32248</v>
      </c>
      <c r="C2970" s="4">
        <v>32299</v>
      </c>
      <c r="D2970" s="4">
        <v>32321</v>
      </c>
      <c r="E2970" s="4">
        <v>32235</v>
      </c>
      <c r="F2970" s="4" t="str">
        <v>2.06K</v>
      </c>
      <c r="G2970" s="4" t="str">
        <v>-0.10%</v>
      </c>
      <c r="H2970" s="3">
        <v>41237</v>
      </c>
      <c r="I2970" s="4">
        <v>32278</v>
      </c>
    </row>
    <row r="2971" spans="1:9" x14ac:dyDescent="0.25">
      <c r="A2971" s="3">
        <v>41236</v>
      </c>
      <c r="B2971" s="4">
        <v>32281</v>
      </c>
      <c r="C2971" s="4">
        <v>31868</v>
      </c>
      <c r="D2971" s="4">
        <v>32309</v>
      </c>
      <c r="E2971" s="4">
        <v>31866</v>
      </c>
      <c r="F2971" s="4" t="str">
        <v>40.46K</v>
      </c>
      <c r="G2971" s="4" t="str">
        <v>1.36%</v>
      </c>
      <c r="H2971" s="3">
        <v>41236</v>
      </c>
      <c r="I2971" s="4">
        <v>32087.5</v>
      </c>
    </row>
    <row r="2972" spans="1:9" x14ac:dyDescent="0.25">
      <c r="A2972" s="3">
        <v>41235</v>
      </c>
      <c r="B2972" s="4">
        <v>31849</v>
      </c>
      <c r="C2972" s="4">
        <v>31817</v>
      </c>
      <c r="D2972" s="4">
        <v>31868</v>
      </c>
      <c r="E2972" s="4">
        <v>31794</v>
      </c>
      <c r="F2972" s="4" t="str">
        <v>13.52K</v>
      </c>
      <c r="G2972" s="4" t="str">
        <v>0.11%</v>
      </c>
      <c r="H2972" s="3">
        <v>41235</v>
      </c>
      <c r="I2972" s="4">
        <v>31831</v>
      </c>
    </row>
    <row r="2973" spans="1:9" x14ac:dyDescent="0.25">
      <c r="A2973" s="3">
        <v>41234</v>
      </c>
      <c r="B2973" s="4">
        <v>31813</v>
      </c>
      <c r="C2973" s="4">
        <v>31755</v>
      </c>
      <c r="D2973" s="4">
        <v>31840</v>
      </c>
      <c r="E2973" s="4">
        <v>31705</v>
      </c>
      <c r="F2973" s="4" t="str">
        <v>24.07K</v>
      </c>
      <c r="G2973" s="4" t="str">
        <v>0.22%</v>
      </c>
      <c r="H2973" s="3">
        <v>41234</v>
      </c>
      <c r="I2973" s="4">
        <v>31772.5</v>
      </c>
    </row>
    <row r="2974" spans="1:9" x14ac:dyDescent="0.25">
      <c r="A2974" s="3">
        <v>41233</v>
      </c>
      <c r="B2974" s="4">
        <v>31744</v>
      </c>
      <c r="C2974" s="4">
        <v>31714</v>
      </c>
      <c r="D2974" s="4">
        <v>31869</v>
      </c>
      <c r="E2974" s="4">
        <v>31692</v>
      </c>
      <c r="F2974" s="4" t="str">
        <v>31.31K</v>
      </c>
      <c r="G2974" s="4" t="str">
        <v>0.15%</v>
      </c>
      <c r="H2974" s="3">
        <v>41233</v>
      </c>
      <c r="I2974" s="4">
        <v>31780.5</v>
      </c>
    </row>
    <row r="2975" spans="1:9" x14ac:dyDescent="0.25">
      <c r="A2975" s="3">
        <v>41232</v>
      </c>
      <c r="B2975" s="4">
        <v>31695</v>
      </c>
      <c r="C2975" s="4">
        <v>31666</v>
      </c>
      <c r="D2975" s="4">
        <v>31750</v>
      </c>
      <c r="E2975" s="4">
        <v>31615</v>
      </c>
      <c r="F2975" s="4" t="str">
        <v>24.72K</v>
      </c>
      <c r="G2975" s="4" t="str">
        <v>0.17%</v>
      </c>
      <c r="H2975" s="3">
        <v>41232</v>
      </c>
      <c r="I2975" s="4">
        <v>31682.5</v>
      </c>
    </row>
    <row r="2976" spans="1:9" x14ac:dyDescent="0.25">
      <c r="A2976" s="3">
        <v>41230</v>
      </c>
      <c r="B2976" s="4">
        <v>31640</v>
      </c>
      <c r="C2976" s="4">
        <v>31629</v>
      </c>
      <c r="D2976" s="4">
        <v>31649</v>
      </c>
      <c r="E2976" s="4">
        <v>31626</v>
      </c>
      <c r="F2976" s="4" t="str">
        <v>1.23K</v>
      </c>
      <c r="G2976" s="4" t="str">
        <v>-0.03%</v>
      </c>
      <c r="H2976" s="3">
        <v>41230</v>
      </c>
      <c r="I2976" s="4">
        <v>31637.5</v>
      </c>
    </row>
    <row r="2977" spans="1:9" x14ac:dyDescent="0.25">
      <c r="A2977" s="3">
        <v>41229</v>
      </c>
      <c r="B2977" s="4">
        <v>31651</v>
      </c>
      <c r="C2977" s="4">
        <v>31460</v>
      </c>
      <c r="D2977" s="4">
        <v>31670</v>
      </c>
      <c r="E2977" s="4">
        <v>31435</v>
      </c>
      <c r="F2977" s="4" t="str">
        <v>34.16K</v>
      </c>
      <c r="G2977" s="4" t="str">
        <v>0.62%</v>
      </c>
      <c r="H2977" s="3">
        <v>41229</v>
      </c>
      <c r="I2977" s="4">
        <v>31552.5</v>
      </c>
    </row>
    <row r="2978" spans="1:9" x14ac:dyDescent="0.25">
      <c r="A2978" s="3">
        <v>41228</v>
      </c>
      <c r="B2978" s="4">
        <v>31456</v>
      </c>
      <c r="C2978" s="4">
        <v>31722</v>
      </c>
      <c r="D2978" s="4">
        <v>31742</v>
      </c>
      <c r="E2978" s="4">
        <v>31297</v>
      </c>
      <c r="F2978" s="4" t="str">
        <v>35.31K</v>
      </c>
      <c r="G2978" s="4" t="str">
        <v>-0.91%</v>
      </c>
      <c r="H2978" s="3">
        <v>41228</v>
      </c>
      <c r="I2978" s="4">
        <v>31519.5</v>
      </c>
    </row>
    <row r="2979" spans="1:9" x14ac:dyDescent="0.25">
      <c r="A2979" s="3">
        <v>41227</v>
      </c>
      <c r="B2979" s="4">
        <v>31746</v>
      </c>
      <c r="C2979" s="4">
        <v>31748</v>
      </c>
      <c r="D2979" s="4">
        <v>31775</v>
      </c>
      <c r="E2979" s="4">
        <v>31568</v>
      </c>
      <c r="F2979" s="4" t="str">
        <v>20.84K</v>
      </c>
      <c r="G2979" s="4" t="str">
        <v>0.09%</v>
      </c>
      <c r="H2979" s="3">
        <v>41227</v>
      </c>
      <c r="I2979" s="4">
        <v>31671.5</v>
      </c>
    </row>
    <row r="2980" spans="1:9" x14ac:dyDescent="0.25">
      <c r="A2980" s="3">
        <v>41226</v>
      </c>
      <c r="B2980" s="4">
        <v>31719</v>
      </c>
      <c r="C2980" s="4">
        <v>31820</v>
      </c>
      <c r="D2980" s="4">
        <v>31850</v>
      </c>
      <c r="E2980" s="4">
        <v>31670</v>
      </c>
      <c r="F2980" s="4" t="str">
        <v>8.52K</v>
      </c>
      <c r="G2980" s="4" t="str">
        <v>-0.19%</v>
      </c>
      <c r="H2980" s="3">
        <v>41226</v>
      </c>
      <c r="I2980" s="4">
        <v>31760</v>
      </c>
    </row>
    <row r="2981" spans="1:9" x14ac:dyDescent="0.25">
      <c r="A2981" s="3">
        <v>41225</v>
      </c>
      <c r="B2981" s="4">
        <v>31778</v>
      </c>
      <c r="C2981" s="4">
        <v>31652</v>
      </c>
      <c r="D2981" s="4">
        <v>31937</v>
      </c>
      <c r="E2981" s="4">
        <v>31651</v>
      </c>
      <c r="F2981" s="4" t="str">
        <v>34.17K</v>
      </c>
      <c r="G2981" s="4" t="str">
        <v>0.43%</v>
      </c>
      <c r="H2981" s="3">
        <v>41225</v>
      </c>
      <c r="I2981" s="4">
        <v>31794</v>
      </c>
    </row>
    <row r="2982" spans="1:9" x14ac:dyDescent="0.25">
      <c r="A2982" s="3">
        <v>41223</v>
      </c>
      <c r="B2982" s="4">
        <v>31643</v>
      </c>
      <c r="C2982" s="4">
        <v>31601</v>
      </c>
      <c r="D2982" s="4">
        <v>31654</v>
      </c>
      <c r="E2982" s="4">
        <v>31501</v>
      </c>
      <c r="F2982" s="4" t="str">
        <v>2.07K</v>
      </c>
      <c r="G2982" s="4" t="str">
        <v>0.06%</v>
      </c>
      <c r="H2982" s="3">
        <v>41223</v>
      </c>
      <c r="I2982" s="4">
        <v>31577.5</v>
      </c>
    </row>
    <row r="2983" spans="1:9" x14ac:dyDescent="0.25">
      <c r="A2983" s="3">
        <v>41222</v>
      </c>
      <c r="B2983" s="4">
        <v>31624</v>
      </c>
      <c r="C2983" s="4">
        <v>31388</v>
      </c>
      <c r="D2983" s="4">
        <v>31737</v>
      </c>
      <c r="E2983" s="4">
        <v>31388</v>
      </c>
      <c r="F2983" s="4" t="str">
        <v>41.65K</v>
      </c>
      <c r="G2983" s="4" t="str">
        <v>0.91%</v>
      </c>
      <c r="H2983" s="3">
        <v>41222</v>
      </c>
      <c r="I2983" s="4">
        <v>31562.5</v>
      </c>
    </row>
    <row r="2984" spans="1:9" x14ac:dyDescent="0.25">
      <c r="A2984" s="3">
        <v>41221</v>
      </c>
      <c r="B2984" s="4">
        <v>31340</v>
      </c>
      <c r="C2984" s="4">
        <v>31263</v>
      </c>
      <c r="D2984" s="4">
        <v>31375</v>
      </c>
      <c r="E2984" s="4">
        <v>31201</v>
      </c>
      <c r="F2984" s="4" t="str">
        <v>33.98K</v>
      </c>
      <c r="G2984" s="4" t="str">
        <v>0.43%</v>
      </c>
      <c r="H2984" s="3">
        <v>41221</v>
      </c>
      <c r="I2984" s="4">
        <v>31288</v>
      </c>
    </row>
    <row r="2985" spans="1:9" x14ac:dyDescent="0.25">
      <c r="A2985" s="3">
        <v>41220</v>
      </c>
      <c r="B2985" s="4">
        <v>31206</v>
      </c>
      <c r="C2985" s="4">
        <v>31274</v>
      </c>
      <c r="D2985" s="4">
        <v>31444</v>
      </c>
      <c r="E2985" s="4">
        <v>31022</v>
      </c>
      <c r="F2985" s="4" t="str">
        <v>59.99K</v>
      </c>
      <c r="G2985" s="4" t="str">
        <v>-0.21%</v>
      </c>
      <c r="H2985" s="3">
        <v>41220</v>
      </c>
      <c r="I2985" s="4">
        <v>31233</v>
      </c>
    </row>
    <row r="2986" spans="1:9" x14ac:dyDescent="0.25">
      <c r="A2986" s="3">
        <v>41219</v>
      </c>
      <c r="B2986" s="4">
        <v>31273</v>
      </c>
      <c r="C2986" s="4">
        <v>30879</v>
      </c>
      <c r="D2986" s="4">
        <v>31367</v>
      </c>
      <c r="E2986" s="4">
        <v>30855</v>
      </c>
      <c r="F2986" s="4" t="str">
        <v>42.73K</v>
      </c>
      <c r="G2986" s="4" t="str">
        <v>1.23%</v>
      </c>
      <c r="H2986" s="3">
        <v>41219</v>
      </c>
      <c r="I2986" s="4">
        <v>31111</v>
      </c>
    </row>
    <row r="2987" spans="1:9" x14ac:dyDescent="0.25">
      <c r="A2987" s="3">
        <v>41218</v>
      </c>
      <c r="B2987" s="4">
        <v>30894</v>
      </c>
      <c r="C2987" s="4">
        <v>30518</v>
      </c>
      <c r="D2987" s="4">
        <v>30935</v>
      </c>
      <c r="E2987" s="4">
        <v>30491</v>
      </c>
      <c r="F2987" s="4" t="str">
        <v>40.11K</v>
      </c>
      <c r="G2987" s="4" t="str">
        <v>1.30%</v>
      </c>
      <c r="H2987" s="3">
        <v>41218</v>
      </c>
      <c r="I2987" s="4">
        <v>30713</v>
      </c>
    </row>
    <row r="2988" spans="1:9" x14ac:dyDescent="0.25">
      <c r="A2988" s="3">
        <v>41216</v>
      </c>
      <c r="B2988" s="4">
        <v>30498</v>
      </c>
      <c r="C2988" s="4">
        <v>30422</v>
      </c>
      <c r="D2988" s="4">
        <v>30516</v>
      </c>
      <c r="E2988" s="4">
        <v>30417</v>
      </c>
      <c r="F2988" s="4" t="str">
        <v>3.35K</v>
      </c>
      <c r="G2988" s="4" t="str">
        <v>0.24%</v>
      </c>
      <c r="H2988" s="3">
        <v>41216</v>
      </c>
      <c r="I2988" s="4">
        <v>30466.5</v>
      </c>
    </row>
    <row r="2989" spans="1:9" x14ac:dyDescent="0.25">
      <c r="A2989" s="3">
        <v>41215</v>
      </c>
      <c r="B2989" s="4">
        <v>30424</v>
      </c>
      <c r="C2989" s="4">
        <v>30933</v>
      </c>
      <c r="D2989" s="4">
        <v>30933</v>
      </c>
      <c r="E2989" s="4">
        <v>30366</v>
      </c>
      <c r="F2989" s="4" t="str">
        <v>53.48K</v>
      </c>
      <c r="G2989" s="4" t="str">
        <v>-1.71%</v>
      </c>
      <c r="H2989" s="3">
        <v>41215</v>
      </c>
      <c r="I2989" s="4">
        <v>30649.5</v>
      </c>
    </row>
    <row r="2990" spans="1:9" x14ac:dyDescent="0.25">
      <c r="A2990" s="3">
        <v>41214</v>
      </c>
      <c r="B2990" s="4">
        <v>30952</v>
      </c>
      <c r="C2990" s="4">
        <v>31090</v>
      </c>
      <c r="D2990" s="4">
        <v>31139</v>
      </c>
      <c r="E2990" s="4">
        <v>30936</v>
      </c>
      <c r="F2990" s="4" t="str">
        <v>33.86K</v>
      </c>
      <c r="G2990" s="4" t="str">
        <v>-0.49%</v>
      </c>
      <c r="H2990" s="3">
        <v>41214</v>
      </c>
      <c r="I2990" s="4">
        <v>31037.5</v>
      </c>
    </row>
    <row r="2991" spans="1:9" x14ac:dyDescent="0.25">
      <c r="A2991" s="3">
        <v>41213</v>
      </c>
      <c r="B2991" s="4">
        <v>31105</v>
      </c>
      <c r="C2991" s="4">
        <v>31090</v>
      </c>
      <c r="D2991" s="4">
        <v>31159</v>
      </c>
      <c r="E2991" s="4">
        <v>31062</v>
      </c>
      <c r="F2991" s="4" t="str">
        <v>30.13K</v>
      </c>
      <c r="G2991" s="4" t="str">
        <v>0.05%</v>
      </c>
      <c r="H2991" s="3">
        <v>41213</v>
      </c>
      <c r="I2991" s="4">
        <v>31110.5</v>
      </c>
    </row>
    <row r="2992" spans="1:9" x14ac:dyDescent="0.25">
      <c r="A2992" s="3">
        <v>41212</v>
      </c>
      <c r="B2992" s="4">
        <v>31089</v>
      </c>
      <c r="C2992" s="4">
        <v>31055</v>
      </c>
      <c r="D2992" s="4">
        <v>31155</v>
      </c>
      <c r="E2992" s="4">
        <v>30968</v>
      </c>
      <c r="F2992" s="4" t="str">
        <v>27.33K</v>
      </c>
      <c r="G2992" s="4" t="str">
        <v>-0.02%</v>
      </c>
      <c r="H2992" s="3">
        <v>41212</v>
      </c>
      <c r="I2992" s="4">
        <v>31061.5</v>
      </c>
    </row>
    <row r="2993" spans="1:9" x14ac:dyDescent="0.25">
      <c r="A2993" s="3">
        <v>41211</v>
      </c>
      <c r="B2993" s="4">
        <v>31094</v>
      </c>
      <c r="C2993" s="4">
        <v>31024</v>
      </c>
      <c r="D2993" s="4">
        <v>31143</v>
      </c>
      <c r="E2993" s="4">
        <v>31016</v>
      </c>
      <c r="F2993" s="4" t="str">
        <v>22.16K</v>
      </c>
      <c r="G2993" s="4" t="str">
        <v>0.23%</v>
      </c>
      <c r="H2993" s="3">
        <v>41211</v>
      </c>
      <c r="I2993" s="4">
        <v>31079.5</v>
      </c>
    </row>
    <row r="2994" spans="1:9" x14ac:dyDescent="0.25">
      <c r="A2994" s="3">
        <v>41209</v>
      </c>
      <c r="B2994" s="4">
        <v>31022</v>
      </c>
      <c r="C2994" s="4">
        <v>31005</v>
      </c>
      <c r="D2994" s="4">
        <v>31035</v>
      </c>
      <c r="E2994" s="4">
        <v>30990</v>
      </c>
      <c r="F2994" s="4" t="str">
        <v>1.46K</v>
      </c>
      <c r="G2994" s="4" t="str">
        <v>-0.01%</v>
      </c>
      <c r="H2994" s="3">
        <v>41209</v>
      </c>
      <c r="I2994" s="4">
        <v>31012.5</v>
      </c>
    </row>
    <row r="2995" spans="1:9" x14ac:dyDescent="0.25">
      <c r="A2995" s="3">
        <v>41208</v>
      </c>
      <c r="B2995" s="4">
        <v>31024</v>
      </c>
      <c r="C2995" s="4">
        <v>30885</v>
      </c>
      <c r="D2995" s="4">
        <v>31096</v>
      </c>
      <c r="E2995" s="4">
        <v>30853</v>
      </c>
      <c r="F2995" s="4" t="str">
        <v>20.15K</v>
      </c>
      <c r="G2995" s="4" t="str">
        <v>0.32%</v>
      </c>
      <c r="H2995" s="3">
        <v>41208</v>
      </c>
      <c r="I2995" s="4">
        <v>30974.5</v>
      </c>
    </row>
    <row r="2996" spans="1:9" x14ac:dyDescent="0.25">
      <c r="A2996" s="3">
        <v>41207</v>
      </c>
      <c r="B2996" s="4">
        <v>30926</v>
      </c>
      <c r="C2996" s="4">
        <v>30875</v>
      </c>
      <c r="D2996" s="4">
        <v>30972</v>
      </c>
      <c r="E2996" s="4">
        <v>30851</v>
      </c>
      <c r="F2996" s="4" t="str">
        <v>23.44K</v>
      </c>
      <c r="G2996" s="4" t="str">
        <v>0.26%</v>
      </c>
      <c r="H2996" s="3">
        <v>41207</v>
      </c>
      <c r="I2996" s="4">
        <v>30911.5</v>
      </c>
    </row>
    <row r="2997" spans="1:9" x14ac:dyDescent="0.25">
      <c r="A2997" s="3">
        <v>41206</v>
      </c>
      <c r="B2997" s="4">
        <v>30845</v>
      </c>
      <c r="C2997" s="4">
        <v>30963</v>
      </c>
      <c r="D2997" s="4">
        <v>31023</v>
      </c>
      <c r="E2997" s="4">
        <v>30827</v>
      </c>
      <c r="F2997" s="4" t="str">
        <v>14.09K</v>
      </c>
      <c r="G2997" s="4" t="str">
        <v>-0.43%</v>
      </c>
      <c r="H2997" s="3">
        <v>41206</v>
      </c>
      <c r="I2997" s="4">
        <v>30925</v>
      </c>
    </row>
    <row r="2998" spans="1:9" x14ac:dyDescent="0.25">
      <c r="A2998" s="3">
        <v>41205</v>
      </c>
      <c r="B2998" s="4">
        <v>30978</v>
      </c>
      <c r="C2998" s="4">
        <v>31045</v>
      </c>
      <c r="D2998" s="4">
        <v>31066</v>
      </c>
      <c r="E2998" s="4">
        <v>30882</v>
      </c>
      <c r="F2998" s="4" t="str">
        <v>30.36K</v>
      </c>
      <c r="G2998" s="4" t="str">
        <v>-0.29%</v>
      </c>
      <c r="H2998" s="3">
        <v>41205</v>
      </c>
      <c r="I2998" s="4">
        <v>30974</v>
      </c>
    </row>
    <row r="2999" spans="1:9" x14ac:dyDescent="0.25">
      <c r="A2999" s="3">
        <v>41204</v>
      </c>
      <c r="B2999" s="4">
        <v>31068</v>
      </c>
      <c r="C2999" s="4">
        <v>31252</v>
      </c>
      <c r="D2999" s="4">
        <v>31252</v>
      </c>
      <c r="E2999" s="4">
        <v>30982</v>
      </c>
      <c r="F2999" s="4" t="str">
        <v>31.95K</v>
      </c>
      <c r="G2999" s="4" t="str">
        <v>-0.70%</v>
      </c>
      <c r="H2999" s="3">
        <v>41204</v>
      </c>
      <c r="I2999" s="4">
        <v>31117</v>
      </c>
    </row>
    <row r="3000" spans="1:9" x14ac:dyDescent="0.25">
      <c r="A3000" s="3">
        <v>41202</v>
      </c>
      <c r="B3000" s="4">
        <v>31287</v>
      </c>
      <c r="C3000" s="4">
        <v>31262</v>
      </c>
      <c r="D3000" s="4">
        <v>31291</v>
      </c>
      <c r="E3000" s="4">
        <v>31250</v>
      </c>
      <c r="F3000" s="4" t="str">
        <v>1.18K</v>
      </c>
      <c r="G3000" s="4" t="str">
        <v>0.09%</v>
      </c>
      <c r="H3000" s="3">
        <v>41202</v>
      </c>
      <c r="I3000" s="4">
        <v>31270.5</v>
      </c>
    </row>
    <row r="3001" spans="1:9" x14ac:dyDescent="0.25">
      <c r="A3001" s="3">
        <v>41201</v>
      </c>
      <c r="B3001" s="4">
        <v>31258</v>
      </c>
      <c r="C3001" s="4">
        <v>31332</v>
      </c>
      <c r="D3001" s="4">
        <v>31438</v>
      </c>
      <c r="E3001" s="4">
        <v>31212</v>
      </c>
      <c r="F3001" s="4" t="str">
        <v>34.62K</v>
      </c>
      <c r="G3001" s="4" t="str">
        <v>-0.37%</v>
      </c>
      <c r="H3001" s="3">
        <v>41201</v>
      </c>
      <c r="I3001" s="4">
        <v>31325</v>
      </c>
    </row>
    <row r="3002" spans="1:9" x14ac:dyDescent="0.25">
      <c r="A3002" s="3">
        <v>41200</v>
      </c>
      <c r="B3002" s="4">
        <v>31375</v>
      </c>
      <c r="C3002" s="4">
        <v>31171</v>
      </c>
      <c r="D3002" s="4">
        <v>31392</v>
      </c>
      <c r="E3002" s="4">
        <v>31116</v>
      </c>
      <c r="F3002" s="4" t="str">
        <v>34.15K</v>
      </c>
      <c r="G3002" s="4" t="str">
        <v>0.75%</v>
      </c>
      <c r="H3002" s="3">
        <v>41200</v>
      </c>
      <c r="I3002" s="4">
        <v>31254</v>
      </c>
    </row>
    <row r="3003" spans="1:9" x14ac:dyDescent="0.25">
      <c r="A3003" s="3">
        <v>41199</v>
      </c>
      <c r="B3003" s="4">
        <v>31140</v>
      </c>
      <c r="C3003" s="4">
        <v>31051</v>
      </c>
      <c r="D3003" s="4">
        <v>31163</v>
      </c>
      <c r="E3003" s="4">
        <v>31041</v>
      </c>
      <c r="F3003" s="4" t="str">
        <v>27.54K</v>
      </c>
      <c r="G3003" s="4" t="str">
        <v>0.32%</v>
      </c>
      <c r="H3003" s="3">
        <v>41199</v>
      </c>
      <c r="I3003" s="4">
        <v>31102</v>
      </c>
    </row>
    <row r="3004" spans="1:9" x14ac:dyDescent="0.25">
      <c r="A3004" s="3">
        <v>41198</v>
      </c>
      <c r="B3004" s="4">
        <v>31040</v>
      </c>
      <c r="C3004" s="4">
        <v>30962</v>
      </c>
      <c r="D3004" s="4">
        <v>31060</v>
      </c>
      <c r="E3004" s="4">
        <v>30862</v>
      </c>
      <c r="F3004" s="4" t="str">
        <v>27.69K</v>
      </c>
      <c r="G3004" s="4" t="str">
        <v>0.20%</v>
      </c>
      <c r="H3004" s="3">
        <v>41198</v>
      </c>
      <c r="I3004" s="4">
        <v>30961</v>
      </c>
    </row>
    <row r="3005" spans="1:9" x14ac:dyDescent="0.25">
      <c r="A3005" s="3">
        <v>41197</v>
      </c>
      <c r="B3005" s="4">
        <v>30977</v>
      </c>
      <c r="C3005" s="4">
        <v>31251</v>
      </c>
      <c r="D3005" s="4">
        <v>31251</v>
      </c>
      <c r="E3005" s="4">
        <v>30956</v>
      </c>
      <c r="F3005" s="4" t="str">
        <v>37.36K</v>
      </c>
      <c r="G3005" s="4" t="str">
        <v>-0.98%</v>
      </c>
      <c r="H3005" s="3">
        <v>41197</v>
      </c>
      <c r="I3005" s="4">
        <v>31103.5</v>
      </c>
    </row>
    <row r="3006" spans="1:9" x14ac:dyDescent="0.25">
      <c r="A3006" s="3">
        <v>41195</v>
      </c>
      <c r="B3006" s="4">
        <v>31284</v>
      </c>
      <c r="C3006" s="4">
        <v>31250</v>
      </c>
      <c r="D3006" s="4">
        <v>31289</v>
      </c>
      <c r="E3006" s="4">
        <v>31242</v>
      </c>
      <c r="F3006" s="4" t="str">
        <v>1.38K</v>
      </c>
      <c r="G3006" s="4" t="str">
        <v>0.03%</v>
      </c>
      <c r="H3006" s="3">
        <v>41195</v>
      </c>
      <c r="I3006" s="4">
        <v>31265.5</v>
      </c>
    </row>
    <row r="3007" spans="1:9" x14ac:dyDescent="0.25">
      <c r="A3007" s="3">
        <v>41194</v>
      </c>
      <c r="B3007" s="4">
        <v>31276</v>
      </c>
      <c r="C3007" s="4">
        <v>31351</v>
      </c>
      <c r="D3007" s="4">
        <v>31410</v>
      </c>
      <c r="E3007" s="4">
        <v>31252</v>
      </c>
      <c r="F3007" s="4" t="str">
        <v>34.03K</v>
      </c>
      <c r="G3007" s="4" t="str">
        <v>-0.14%</v>
      </c>
      <c r="H3007" s="3">
        <v>41194</v>
      </c>
      <c r="I3007" s="4">
        <v>31331</v>
      </c>
    </row>
    <row r="3008" spans="1:9" x14ac:dyDescent="0.25">
      <c r="A3008" s="3">
        <v>41193</v>
      </c>
      <c r="B3008" s="4">
        <v>31321</v>
      </c>
      <c r="C3008" s="4">
        <v>31457</v>
      </c>
      <c r="D3008" s="4">
        <v>31511</v>
      </c>
      <c r="E3008" s="4">
        <v>31283</v>
      </c>
      <c r="F3008" s="4" t="str">
        <v>34.75K</v>
      </c>
      <c r="G3008" s="4" t="str">
        <v>-0.43%</v>
      </c>
      <c r="H3008" s="3">
        <v>41193</v>
      </c>
      <c r="I3008" s="4">
        <v>31397</v>
      </c>
    </row>
    <row r="3009" spans="1:9" x14ac:dyDescent="0.25">
      <c r="A3009" s="3">
        <v>41192</v>
      </c>
      <c r="B3009" s="4">
        <v>31456</v>
      </c>
      <c r="C3009" s="4">
        <v>31335</v>
      </c>
      <c r="D3009" s="4">
        <v>31480</v>
      </c>
      <c r="E3009" s="4">
        <v>31335</v>
      </c>
      <c r="F3009" s="4" t="str">
        <v>36.84K</v>
      </c>
      <c r="G3009" s="4" t="str">
        <v>0.43%</v>
      </c>
      <c r="H3009" s="3">
        <v>41192</v>
      </c>
      <c r="I3009" s="4">
        <v>31407.5</v>
      </c>
    </row>
    <row r="3010" spans="1:9" x14ac:dyDescent="0.25">
      <c r="A3010" s="3">
        <v>41191</v>
      </c>
      <c r="B3010" s="4">
        <v>31321</v>
      </c>
      <c r="C3010" s="4">
        <v>31362</v>
      </c>
      <c r="D3010" s="4">
        <v>31428</v>
      </c>
      <c r="E3010" s="4">
        <v>31267</v>
      </c>
      <c r="F3010" s="4" t="str">
        <v>35.41K</v>
      </c>
      <c r="G3010" s="4" t="str">
        <v>-0.03%</v>
      </c>
      <c r="H3010" s="3">
        <v>41191</v>
      </c>
      <c r="I3010" s="4">
        <v>31347.5</v>
      </c>
    </row>
    <row r="3011" spans="1:9" x14ac:dyDescent="0.25">
      <c r="A3011" s="3">
        <v>41190</v>
      </c>
      <c r="B3011" s="4">
        <v>31331</v>
      </c>
      <c r="C3011" s="4">
        <v>31136</v>
      </c>
      <c r="D3011" s="4">
        <v>31362</v>
      </c>
      <c r="E3011" s="4">
        <v>31081</v>
      </c>
      <c r="F3011" s="4" t="str">
        <v>29.50K</v>
      </c>
      <c r="G3011" s="4" t="str">
        <v>0.53%</v>
      </c>
      <c r="H3011" s="3">
        <v>41190</v>
      </c>
      <c r="I3011" s="4">
        <v>31221.5</v>
      </c>
    </row>
    <row r="3012" spans="1:9" x14ac:dyDescent="0.25">
      <c r="A3012" s="3">
        <v>41188</v>
      </c>
      <c r="B3012" s="4">
        <v>31167</v>
      </c>
      <c r="C3012" s="4">
        <v>31132</v>
      </c>
      <c r="D3012" s="4">
        <v>31178</v>
      </c>
      <c r="E3012" s="4">
        <v>31128</v>
      </c>
      <c r="F3012" s="4" t="str">
        <v>1.36K</v>
      </c>
      <c r="G3012" s="4" t="str">
        <v>1.10%</v>
      </c>
      <c r="H3012" s="3">
        <v>41188</v>
      </c>
      <c r="I3012" s="4">
        <v>31153</v>
      </c>
    </row>
    <row r="3013" spans="1:9" x14ac:dyDescent="0.25">
      <c r="A3013" s="3">
        <v>41187</v>
      </c>
      <c r="B3013" s="4">
        <v>30827</v>
      </c>
      <c r="C3013" s="4">
        <v>30847</v>
      </c>
      <c r="D3013" s="4">
        <v>30994</v>
      </c>
      <c r="E3013" s="4">
        <v>30659</v>
      </c>
      <c r="F3013" s="4" t="str">
        <v>0.29K</v>
      </c>
      <c r="G3013" s="4" t="str">
        <v>0.34%</v>
      </c>
      <c r="H3013" s="3">
        <v>41187</v>
      </c>
      <c r="I3013" s="4">
        <v>30826.5</v>
      </c>
    </row>
    <row r="3014" spans="1:9" x14ac:dyDescent="0.25">
      <c r="A3014" s="3">
        <v>41186</v>
      </c>
      <c r="B3014" s="4">
        <v>30722</v>
      </c>
      <c r="C3014" s="4">
        <v>30962</v>
      </c>
      <c r="D3014" s="4">
        <v>30970</v>
      </c>
      <c r="E3014" s="4">
        <v>30671</v>
      </c>
      <c r="F3014" s="4" t="str">
        <v>0.50K</v>
      </c>
      <c r="G3014" s="4" t="str">
        <v>-0.83%</v>
      </c>
      <c r="H3014" s="3">
        <v>41186</v>
      </c>
      <c r="I3014" s="4">
        <v>30820.5</v>
      </c>
    </row>
    <row r="3015" spans="1:9" x14ac:dyDescent="0.25">
      <c r="A3015" s="3">
        <v>41185</v>
      </c>
      <c r="B3015" s="4">
        <v>30979</v>
      </c>
      <c r="C3015" s="4">
        <v>31070</v>
      </c>
      <c r="D3015" s="4">
        <v>31348</v>
      </c>
      <c r="E3015" s="4">
        <v>30959</v>
      </c>
      <c r="F3015" s="4" t="str">
        <v>1.13K</v>
      </c>
      <c r="G3015" s="4" t="str">
        <v>-0.17%</v>
      </c>
      <c r="H3015" s="3">
        <v>41185</v>
      </c>
      <c r="I3015" s="4">
        <v>31153.5</v>
      </c>
    </row>
    <row r="3016" spans="1:9" x14ac:dyDescent="0.25">
      <c r="A3016" s="3">
        <v>41183</v>
      </c>
      <c r="B3016" s="4">
        <v>31033</v>
      </c>
      <c r="C3016" s="4">
        <v>31155</v>
      </c>
      <c r="D3016" s="4">
        <v>31250</v>
      </c>
      <c r="E3016" s="4">
        <v>30975</v>
      </c>
      <c r="F3016" s="4" t="str">
        <v>7.32K</v>
      </c>
      <c r="G3016" s="4" t="str">
        <v>-0.54%</v>
      </c>
      <c r="H3016" s="3">
        <v>41183</v>
      </c>
      <c r="I3016" s="4">
        <v>31112.5</v>
      </c>
    </row>
    <row r="3017" spans="1:9" x14ac:dyDescent="0.25">
      <c r="A3017" s="3">
        <v>41181</v>
      </c>
      <c r="B3017" s="4">
        <v>31201</v>
      </c>
      <c r="C3017" s="4">
        <v>31251</v>
      </c>
      <c r="D3017" s="4">
        <v>31267</v>
      </c>
      <c r="E3017" s="4">
        <v>31156</v>
      </c>
      <c r="F3017" s="4" t="str">
        <v>4.85K</v>
      </c>
      <c r="G3017" s="4" t="str">
        <v>-0.05%</v>
      </c>
      <c r="H3017" s="3">
        <v>41181</v>
      </c>
      <c r="I3017" s="4">
        <v>31211.5</v>
      </c>
    </row>
    <row r="3018" spans="1:9" x14ac:dyDescent="0.25">
      <c r="A3018" s="3">
        <v>41180</v>
      </c>
      <c r="B3018" s="4">
        <v>31217</v>
      </c>
      <c r="C3018" s="4">
        <v>31290</v>
      </c>
      <c r="D3018" s="4">
        <v>31317</v>
      </c>
      <c r="E3018" s="4">
        <v>31180</v>
      </c>
      <c r="F3018" s="4" t="str">
        <v>28.70K</v>
      </c>
      <c r="G3018" s="4" t="str">
        <v>-0.42%</v>
      </c>
      <c r="H3018" s="3">
        <v>41180</v>
      </c>
      <c r="I3018" s="4">
        <v>31248.5</v>
      </c>
    </row>
    <row r="3019" spans="1:9" x14ac:dyDescent="0.25">
      <c r="A3019" s="3">
        <v>41179</v>
      </c>
      <c r="B3019" s="4">
        <v>31349</v>
      </c>
      <c r="C3019" s="4">
        <v>31276</v>
      </c>
      <c r="D3019" s="4">
        <v>31420</v>
      </c>
      <c r="E3019" s="4">
        <v>31091</v>
      </c>
      <c r="F3019" s="4" t="str">
        <v>39.49K</v>
      </c>
      <c r="G3019" s="4" t="str">
        <v>0.12%</v>
      </c>
      <c r="H3019" s="3">
        <v>41179</v>
      </c>
      <c r="I3019" s="4">
        <v>31255.5</v>
      </c>
    </row>
    <row r="3020" spans="1:9" x14ac:dyDescent="0.25">
      <c r="A3020" s="3">
        <v>41178</v>
      </c>
      <c r="B3020" s="4">
        <v>31310</v>
      </c>
      <c r="C3020" s="4">
        <v>31429</v>
      </c>
      <c r="D3020" s="4">
        <v>31499</v>
      </c>
      <c r="E3020" s="4">
        <v>31205</v>
      </c>
      <c r="F3020" s="4" t="str">
        <v>39.35K</v>
      </c>
      <c r="G3020" s="4" t="str">
        <v>-0.29%</v>
      </c>
      <c r="H3020" s="3">
        <v>41178</v>
      </c>
      <c r="I3020" s="4">
        <v>31352</v>
      </c>
    </row>
    <row r="3021" spans="1:9" x14ac:dyDescent="0.25">
      <c r="A3021" s="3">
        <v>41177</v>
      </c>
      <c r="B3021" s="4">
        <v>31400</v>
      </c>
      <c r="C3021" s="4">
        <v>31478</v>
      </c>
      <c r="D3021" s="4">
        <v>31520</v>
      </c>
      <c r="E3021" s="4">
        <v>31360</v>
      </c>
      <c r="F3021" s="4" t="str">
        <v>28.58K</v>
      </c>
      <c r="G3021" s="4" t="str">
        <v>-0.10%</v>
      </c>
      <c r="H3021" s="3">
        <v>41177</v>
      </c>
      <c r="I3021" s="4">
        <v>31440</v>
      </c>
    </row>
    <row r="3022" spans="1:9" x14ac:dyDescent="0.25">
      <c r="A3022" s="3">
        <v>41176</v>
      </c>
      <c r="B3022" s="4">
        <v>31433</v>
      </c>
      <c r="C3022" s="4">
        <v>31405</v>
      </c>
      <c r="D3022" s="4">
        <v>31540</v>
      </c>
      <c r="E3022" s="4">
        <v>31272</v>
      </c>
      <c r="F3022" s="4" t="str">
        <v>37.03K</v>
      </c>
      <c r="G3022" s="4" t="str">
        <v>-0.23%</v>
      </c>
      <c r="H3022" s="3">
        <v>41176</v>
      </c>
      <c r="I3022" s="4">
        <v>31406</v>
      </c>
    </row>
    <row r="3023" spans="1:9" x14ac:dyDescent="0.25">
      <c r="A3023" s="3">
        <v>41174</v>
      </c>
      <c r="B3023" s="4">
        <v>31506</v>
      </c>
      <c r="C3023" s="4">
        <v>31532</v>
      </c>
      <c r="D3023" s="4">
        <v>31532</v>
      </c>
      <c r="E3023" s="4">
        <v>31455</v>
      </c>
      <c r="F3023" s="4" t="str">
        <v>2.07K</v>
      </c>
      <c r="G3023" s="4" t="str">
        <v>-0.12%</v>
      </c>
      <c r="H3023" s="3">
        <v>41174</v>
      </c>
      <c r="I3023" s="4">
        <v>31493.5</v>
      </c>
    </row>
    <row r="3024" spans="1:9" x14ac:dyDescent="0.25">
      <c r="A3024" s="3">
        <v>41173</v>
      </c>
      <c r="B3024" s="4">
        <v>31544</v>
      </c>
      <c r="C3024" s="4">
        <v>31885</v>
      </c>
      <c r="D3024" s="4">
        <v>31937</v>
      </c>
      <c r="E3024" s="4">
        <v>31513</v>
      </c>
      <c r="F3024" s="4" t="str">
        <v>50.52K</v>
      </c>
      <c r="G3024" s="4" t="str">
        <v>-1.16%</v>
      </c>
      <c r="H3024" s="3">
        <v>41173</v>
      </c>
      <c r="I3024" s="4">
        <v>31725</v>
      </c>
    </row>
    <row r="3025" spans="1:9" x14ac:dyDescent="0.25">
      <c r="A3025" s="3">
        <v>41172</v>
      </c>
      <c r="B3025" s="4">
        <v>31913</v>
      </c>
      <c r="C3025" s="4">
        <v>32000</v>
      </c>
      <c r="D3025" s="4">
        <v>32000</v>
      </c>
      <c r="E3025" s="4">
        <v>31831</v>
      </c>
      <c r="F3025" s="4" t="str">
        <v>31.65K</v>
      </c>
      <c r="G3025" s="4" t="str">
        <v>-0.33%</v>
      </c>
      <c r="H3025" s="3">
        <v>41172</v>
      </c>
      <c r="I3025" s="4">
        <v>31915.5</v>
      </c>
    </row>
    <row r="3026" spans="1:9" x14ac:dyDescent="0.25">
      <c r="A3026" s="3">
        <v>41171</v>
      </c>
      <c r="B3026" s="4">
        <v>32018</v>
      </c>
      <c r="C3026" s="4">
        <v>31990</v>
      </c>
      <c r="D3026" s="4">
        <v>32095</v>
      </c>
      <c r="E3026" s="4">
        <v>31905</v>
      </c>
      <c r="F3026" s="4" t="str">
        <v>17.31K</v>
      </c>
      <c r="G3026" s="4" t="str">
        <v>0.23%</v>
      </c>
      <c r="H3026" s="3">
        <v>41171</v>
      </c>
      <c r="I3026" s="4">
        <v>32000</v>
      </c>
    </row>
    <row r="3027" spans="1:9" x14ac:dyDescent="0.25">
      <c r="A3027" s="3">
        <v>41170</v>
      </c>
      <c r="B3027" s="4">
        <v>31945</v>
      </c>
      <c r="C3027" s="4">
        <v>31774</v>
      </c>
      <c r="D3027" s="4">
        <v>31959</v>
      </c>
      <c r="E3027" s="4">
        <v>31581</v>
      </c>
      <c r="F3027" s="4" t="str">
        <v>43.13K</v>
      </c>
      <c r="G3027" s="4" t="str">
        <v>0.42%</v>
      </c>
      <c r="H3027" s="3">
        <v>41170</v>
      </c>
      <c r="I3027" s="4">
        <v>31770</v>
      </c>
    </row>
    <row r="3028" spans="1:9" x14ac:dyDescent="0.25">
      <c r="A3028" s="3">
        <v>41169</v>
      </c>
      <c r="B3028" s="4">
        <v>31811</v>
      </c>
      <c r="C3028" s="4">
        <v>31842</v>
      </c>
      <c r="D3028" s="4">
        <v>31931</v>
      </c>
      <c r="E3028" s="4">
        <v>31751</v>
      </c>
      <c r="F3028" s="4" t="str">
        <v>28.41K</v>
      </c>
      <c r="G3028" s="4" t="str">
        <v>-0.22%</v>
      </c>
      <c r="H3028" s="3">
        <v>41169</v>
      </c>
      <c r="I3028" s="4">
        <v>31841</v>
      </c>
    </row>
    <row r="3029" spans="1:9" x14ac:dyDescent="0.25">
      <c r="A3029" s="3">
        <v>41167</v>
      </c>
      <c r="B3029" s="4">
        <v>31880</v>
      </c>
      <c r="C3029" s="4">
        <v>31879</v>
      </c>
      <c r="D3029" s="4">
        <v>31889</v>
      </c>
      <c r="E3029" s="4">
        <v>31829</v>
      </c>
      <c r="F3029" s="4" t="str">
        <v>1.95K</v>
      </c>
      <c r="G3029" s="4" t="str">
        <v>0.03%</v>
      </c>
      <c r="H3029" s="3">
        <v>41167</v>
      </c>
      <c r="I3029" s="4">
        <v>31859</v>
      </c>
    </row>
    <row r="3030" spans="1:9" x14ac:dyDescent="0.25">
      <c r="A3030" s="3">
        <v>41166</v>
      </c>
      <c r="B3030" s="4">
        <v>31869</v>
      </c>
      <c r="C3030" s="4">
        <v>32253</v>
      </c>
      <c r="D3030" s="4">
        <v>32393</v>
      </c>
      <c r="E3030" s="4">
        <v>31816</v>
      </c>
      <c r="F3030" s="4" t="str">
        <v>54.22K</v>
      </c>
      <c r="G3030" s="4" t="str">
        <v>-1.41%</v>
      </c>
      <c r="H3030" s="3">
        <v>41166</v>
      </c>
      <c r="I3030" s="4">
        <v>32104.5</v>
      </c>
    </row>
    <row r="3031" spans="1:9" x14ac:dyDescent="0.25">
      <c r="A3031" s="3">
        <v>41165</v>
      </c>
      <c r="B3031" s="4">
        <v>32326</v>
      </c>
      <c r="C3031" s="4">
        <v>31895</v>
      </c>
      <c r="D3031" s="4">
        <v>32421</v>
      </c>
      <c r="E3031" s="4">
        <v>31667</v>
      </c>
      <c r="F3031" s="4" t="str">
        <v>60.59K</v>
      </c>
      <c r="G3031" s="4" t="str">
        <v>1.44%</v>
      </c>
      <c r="H3031" s="3">
        <v>41165</v>
      </c>
      <c r="I3031" s="4">
        <v>32044</v>
      </c>
    </row>
    <row r="3032" spans="1:9" x14ac:dyDescent="0.25">
      <c r="A3032" s="3">
        <v>41164</v>
      </c>
      <c r="B3032" s="4">
        <v>31866</v>
      </c>
      <c r="C3032" s="4">
        <v>31911</v>
      </c>
      <c r="D3032" s="4">
        <v>32105</v>
      </c>
      <c r="E3032" s="4">
        <v>31727</v>
      </c>
      <c r="F3032" s="4" t="str">
        <v>55.24K</v>
      </c>
      <c r="G3032" s="4" t="str">
        <v>-0.03%</v>
      </c>
      <c r="H3032" s="3">
        <v>41164</v>
      </c>
      <c r="I3032" s="4">
        <v>31916</v>
      </c>
    </row>
    <row r="3033" spans="1:9" x14ac:dyDescent="0.25">
      <c r="A3033" s="3">
        <v>41163</v>
      </c>
      <c r="B3033" s="4">
        <v>31876</v>
      </c>
      <c r="C3033" s="4">
        <v>31917</v>
      </c>
      <c r="D3033" s="4">
        <v>31973</v>
      </c>
      <c r="E3033" s="4">
        <v>31808</v>
      </c>
      <c r="F3033" s="4" t="str">
        <v>25.12K</v>
      </c>
      <c r="G3033" s="4" t="str">
        <v>-0.10%</v>
      </c>
      <c r="H3033" s="3">
        <v>41163</v>
      </c>
      <c r="I3033" s="4">
        <v>31890.5</v>
      </c>
    </row>
    <row r="3034" spans="1:9" x14ac:dyDescent="0.25">
      <c r="A3034" s="3">
        <v>41162</v>
      </c>
      <c r="B3034" s="4">
        <v>31907</v>
      </c>
      <c r="C3034" s="4">
        <v>31964</v>
      </c>
      <c r="D3034" s="4">
        <v>32043</v>
      </c>
      <c r="E3034" s="4">
        <v>31851</v>
      </c>
      <c r="F3034" s="4" t="str">
        <v>31.81K</v>
      </c>
      <c r="G3034" s="4" t="str">
        <v>0.03%</v>
      </c>
      <c r="H3034" s="3">
        <v>41162</v>
      </c>
      <c r="I3034" s="4">
        <v>31947</v>
      </c>
    </row>
    <row r="3035" spans="1:9" x14ac:dyDescent="0.25">
      <c r="A3035" s="3">
        <v>41160</v>
      </c>
      <c r="B3035" s="4">
        <v>31896</v>
      </c>
      <c r="C3035" s="4">
        <v>31948</v>
      </c>
      <c r="D3035" s="4">
        <v>31975</v>
      </c>
      <c r="E3035" s="4">
        <v>31874</v>
      </c>
      <c r="F3035" s="4" t="str">
        <v>4.40K</v>
      </c>
      <c r="G3035" s="4" t="str">
        <v>-0.22%</v>
      </c>
      <c r="H3035" s="3">
        <v>41160</v>
      </c>
      <c r="I3035" s="4">
        <v>31924.5</v>
      </c>
    </row>
    <row r="3036" spans="1:9" x14ac:dyDescent="0.25">
      <c r="A3036" s="3">
        <v>41159</v>
      </c>
      <c r="B3036" s="4">
        <v>31966</v>
      </c>
      <c r="C3036" s="4">
        <v>31421</v>
      </c>
      <c r="D3036" s="4">
        <v>32004</v>
      </c>
      <c r="E3036" s="4">
        <v>31256</v>
      </c>
      <c r="F3036" s="4" t="str">
        <v>65.45K</v>
      </c>
      <c r="G3036" s="4" t="str">
        <v>1.59%</v>
      </c>
      <c r="H3036" s="3">
        <v>41159</v>
      </c>
      <c r="I3036" s="4">
        <v>31630</v>
      </c>
    </row>
    <row r="3037" spans="1:9" x14ac:dyDescent="0.25">
      <c r="A3037" s="3">
        <v>41158</v>
      </c>
      <c r="B3037" s="4">
        <v>31467</v>
      </c>
      <c r="C3037" s="4">
        <v>31490</v>
      </c>
      <c r="D3037" s="4">
        <v>31818</v>
      </c>
      <c r="E3037" s="4">
        <v>31405</v>
      </c>
      <c r="F3037" s="4" t="str">
        <v>61.95K</v>
      </c>
      <c r="G3037" s="4" t="str">
        <v>-0.00%</v>
      </c>
      <c r="H3037" s="3">
        <v>41158</v>
      </c>
      <c r="I3037" s="4">
        <v>31611.5</v>
      </c>
    </row>
    <row r="3038" spans="1:9" x14ac:dyDescent="0.25">
      <c r="A3038" s="3">
        <v>41157</v>
      </c>
      <c r="B3038" s="4">
        <v>31468</v>
      </c>
      <c r="C3038" s="4">
        <v>31435</v>
      </c>
      <c r="D3038" s="4">
        <v>31543</v>
      </c>
      <c r="E3038" s="4">
        <v>31427</v>
      </c>
      <c r="F3038" s="4" t="str">
        <v>34.01K</v>
      </c>
      <c r="G3038" s="4" t="str">
        <v>0.06%</v>
      </c>
      <c r="H3038" s="3">
        <v>41157</v>
      </c>
      <c r="I3038" s="4">
        <v>31485</v>
      </c>
    </row>
    <row r="3039" spans="1:9" x14ac:dyDescent="0.25">
      <c r="A3039" s="3">
        <v>41156</v>
      </c>
      <c r="B3039" s="4">
        <v>31449</v>
      </c>
      <c r="C3039" s="4">
        <v>31323</v>
      </c>
      <c r="D3039" s="4">
        <v>31487</v>
      </c>
      <c r="E3039" s="4">
        <v>31300</v>
      </c>
      <c r="F3039" s="4" t="str">
        <v>39.10K</v>
      </c>
      <c r="G3039" s="4" t="str">
        <v>0.53%</v>
      </c>
      <c r="H3039" s="3">
        <v>41156</v>
      </c>
      <c r="I3039" s="4">
        <v>31393.5</v>
      </c>
    </row>
    <row r="3040" spans="1:9" x14ac:dyDescent="0.25">
      <c r="A3040" s="3">
        <v>41155</v>
      </c>
      <c r="B3040" s="4">
        <v>31283</v>
      </c>
      <c r="C3040" s="4">
        <v>31311</v>
      </c>
      <c r="D3040" s="4">
        <v>31422</v>
      </c>
      <c r="E3040" s="4">
        <v>31186</v>
      </c>
      <c r="F3040" s="4" t="str">
        <v>26.24K</v>
      </c>
      <c r="G3040" s="4" t="str">
        <v>-0.19%</v>
      </c>
      <c r="H3040" s="3">
        <v>41155</v>
      </c>
      <c r="I3040" s="4">
        <v>31304</v>
      </c>
    </row>
    <row r="3041" spans="1:9" x14ac:dyDescent="0.25">
      <c r="A3041" s="3">
        <v>41153</v>
      </c>
      <c r="B3041" s="4">
        <v>31342</v>
      </c>
      <c r="C3041" s="4">
        <v>31264</v>
      </c>
      <c r="D3041" s="4">
        <v>31405</v>
      </c>
      <c r="E3041" s="4">
        <v>31264</v>
      </c>
      <c r="F3041" s="4" t="str">
        <v>5.94K</v>
      </c>
      <c r="G3041" s="4" t="str">
        <v>0.44%</v>
      </c>
      <c r="H3041" s="3">
        <v>41153</v>
      </c>
      <c r="I3041" s="4">
        <v>31334.5</v>
      </c>
    </row>
    <row r="3042" spans="1:9" x14ac:dyDescent="0.25">
      <c r="A3042" s="3">
        <v>41152</v>
      </c>
      <c r="B3042" s="4">
        <v>31206</v>
      </c>
      <c r="C3042" s="4">
        <v>30800</v>
      </c>
      <c r="D3042" s="4">
        <v>31231</v>
      </c>
      <c r="E3042" s="4">
        <v>30656</v>
      </c>
      <c r="F3042" s="4" t="str">
        <v>54.34K</v>
      </c>
      <c r="G3042" s="4" t="str">
        <v>1.20%</v>
      </c>
      <c r="H3042" s="3">
        <v>41152</v>
      </c>
      <c r="I3042" s="4">
        <v>30943.5</v>
      </c>
    </row>
    <row r="3043" spans="1:9" x14ac:dyDescent="0.25">
      <c r="A3043" s="3">
        <v>41151</v>
      </c>
      <c r="B3043" s="4">
        <v>30837</v>
      </c>
      <c r="C3043" s="4">
        <v>30816</v>
      </c>
      <c r="D3043" s="4">
        <v>30870</v>
      </c>
      <c r="E3043" s="4">
        <v>30756</v>
      </c>
      <c r="F3043" s="4" t="str">
        <v>28.27K</v>
      </c>
      <c r="G3043" s="4" t="str">
        <v>-0.03%</v>
      </c>
      <c r="H3043" s="3">
        <v>41151</v>
      </c>
      <c r="I3043" s="4">
        <v>30813</v>
      </c>
    </row>
    <row r="3044" spans="1:9" x14ac:dyDescent="0.25">
      <c r="A3044" s="3">
        <v>41150</v>
      </c>
      <c r="B3044" s="4">
        <v>30847</v>
      </c>
      <c r="C3044" s="4">
        <v>30952</v>
      </c>
      <c r="D3044" s="4">
        <v>31007</v>
      </c>
      <c r="E3044" s="4">
        <v>30734</v>
      </c>
      <c r="F3044" s="4" t="str">
        <v>33.61K</v>
      </c>
      <c r="G3044" s="4" t="str">
        <v>-0.33%</v>
      </c>
      <c r="H3044" s="3">
        <v>41150</v>
      </c>
      <c r="I3044" s="4">
        <v>30870.5</v>
      </c>
    </row>
    <row r="3045" spans="1:9" x14ac:dyDescent="0.25">
      <c r="A3045" s="3">
        <v>41149</v>
      </c>
      <c r="B3045" s="4">
        <v>30948</v>
      </c>
      <c r="C3045" s="4">
        <v>31011</v>
      </c>
      <c r="D3045" s="4">
        <v>31045</v>
      </c>
      <c r="E3045" s="4">
        <v>30856</v>
      </c>
      <c r="F3045" s="4" t="str">
        <v>35.54K</v>
      </c>
      <c r="G3045" s="4" t="str">
        <v>-0.39%</v>
      </c>
      <c r="H3045" s="3">
        <v>41149</v>
      </c>
      <c r="I3045" s="4">
        <v>30950.5</v>
      </c>
    </row>
    <row r="3046" spans="1:9" x14ac:dyDescent="0.25">
      <c r="A3046" s="3">
        <v>41148</v>
      </c>
      <c r="B3046" s="4">
        <v>31070</v>
      </c>
      <c r="C3046" s="4">
        <v>30984</v>
      </c>
      <c r="D3046" s="4">
        <v>31110</v>
      </c>
      <c r="E3046" s="4">
        <v>30957</v>
      </c>
      <c r="F3046" s="4" t="str">
        <v>29.26K</v>
      </c>
      <c r="G3046" s="4" t="str">
        <v>0.40%</v>
      </c>
      <c r="H3046" s="3">
        <v>41148</v>
      </c>
      <c r="I3046" s="4">
        <v>31033.5</v>
      </c>
    </row>
    <row r="3047" spans="1:9" x14ac:dyDescent="0.25">
      <c r="A3047" s="3">
        <v>41146</v>
      </c>
      <c r="B3047" s="4">
        <v>30947</v>
      </c>
      <c r="C3047" s="4">
        <v>30890</v>
      </c>
      <c r="D3047" s="4">
        <v>30955</v>
      </c>
      <c r="E3047" s="4">
        <v>30885</v>
      </c>
      <c r="F3047" s="4" t="str">
        <v>2.99K</v>
      </c>
      <c r="G3047" s="4" t="str">
        <v>0.23%</v>
      </c>
      <c r="H3047" s="3">
        <v>41146</v>
      </c>
      <c r="I3047" s="4">
        <v>30920</v>
      </c>
    </row>
    <row r="3048" spans="1:9" x14ac:dyDescent="0.25">
      <c r="A3048" s="3">
        <v>41145</v>
      </c>
      <c r="B3048" s="4">
        <v>30877</v>
      </c>
      <c r="C3048" s="4">
        <v>30780</v>
      </c>
      <c r="D3048" s="4">
        <v>30899</v>
      </c>
      <c r="E3048" s="4">
        <v>30730</v>
      </c>
      <c r="F3048" s="4" t="str">
        <v>31.50K</v>
      </c>
      <c r="G3048" s="4" t="str">
        <v>0.24%</v>
      </c>
      <c r="H3048" s="3">
        <v>41145</v>
      </c>
      <c r="I3048" s="4">
        <v>30814.5</v>
      </c>
    </row>
    <row r="3049" spans="1:9" x14ac:dyDescent="0.25">
      <c r="A3049" s="3">
        <v>41144</v>
      </c>
      <c r="B3049" s="4">
        <v>30803</v>
      </c>
      <c r="C3049" s="4">
        <v>30370</v>
      </c>
      <c r="D3049" s="4">
        <v>30840</v>
      </c>
      <c r="E3049" s="4">
        <v>30370</v>
      </c>
      <c r="F3049" s="4" t="str">
        <v>44.49K</v>
      </c>
      <c r="G3049" s="4" t="str">
        <v>1.60%</v>
      </c>
      <c r="H3049" s="3">
        <v>41144</v>
      </c>
      <c r="I3049" s="4">
        <v>30605</v>
      </c>
    </row>
    <row r="3050" spans="1:9" x14ac:dyDescent="0.25">
      <c r="A3050" s="3">
        <v>41143</v>
      </c>
      <c r="B3050" s="4">
        <v>30317</v>
      </c>
      <c r="C3050" s="4">
        <v>30350</v>
      </c>
      <c r="D3050" s="4">
        <v>30440</v>
      </c>
      <c r="E3050" s="4">
        <v>30285</v>
      </c>
      <c r="F3050" s="4" t="str">
        <v>30.89K</v>
      </c>
      <c r="G3050" s="4" t="str">
        <v>-0.00%</v>
      </c>
      <c r="H3050" s="3">
        <v>41143</v>
      </c>
      <c r="I3050" s="4">
        <v>30362.5</v>
      </c>
    </row>
    <row r="3051" spans="1:9" x14ac:dyDescent="0.25">
      <c r="A3051" s="3">
        <v>41142</v>
      </c>
      <c r="B3051" s="4">
        <v>30318</v>
      </c>
      <c r="C3051" s="4">
        <v>30157</v>
      </c>
      <c r="D3051" s="4">
        <v>30335</v>
      </c>
      <c r="E3051" s="4">
        <v>30157</v>
      </c>
      <c r="F3051" s="4" t="str">
        <v>28.58K</v>
      </c>
      <c r="G3051" s="4" t="str">
        <v>0.44%</v>
      </c>
      <c r="H3051" s="3">
        <v>41142</v>
      </c>
      <c r="I3051" s="4">
        <v>30246</v>
      </c>
    </row>
    <row r="3052" spans="1:9" x14ac:dyDescent="0.25">
      <c r="A3052" s="3">
        <v>41141</v>
      </c>
      <c r="B3052" s="4">
        <v>30184</v>
      </c>
      <c r="C3052" s="4">
        <v>30158</v>
      </c>
      <c r="D3052" s="4">
        <v>30220</v>
      </c>
      <c r="E3052" s="4">
        <v>30121</v>
      </c>
      <c r="F3052" s="4" t="str">
        <v>12.36K</v>
      </c>
      <c r="G3052" s="4" t="str">
        <v>0.06%</v>
      </c>
      <c r="H3052" s="3">
        <v>41141</v>
      </c>
      <c r="I3052" s="4">
        <v>30170.5</v>
      </c>
    </row>
    <row r="3053" spans="1:9" x14ac:dyDescent="0.25">
      <c r="A3053" s="3">
        <v>41139</v>
      </c>
      <c r="B3053" s="4">
        <v>30166</v>
      </c>
      <c r="C3053" s="4">
        <v>30166</v>
      </c>
      <c r="D3053" s="4">
        <v>30170</v>
      </c>
      <c r="E3053" s="4">
        <v>30148</v>
      </c>
      <c r="F3053" s="4" t="str">
        <v>0.89K</v>
      </c>
      <c r="G3053" s="4" t="str">
        <v>0.01%</v>
      </c>
      <c r="H3053" s="3">
        <v>41139</v>
      </c>
      <c r="I3053" s="4">
        <v>30159</v>
      </c>
    </row>
    <row r="3054" spans="1:9" x14ac:dyDescent="0.25">
      <c r="A3054" s="3">
        <v>41138</v>
      </c>
      <c r="B3054" s="4">
        <v>30164</v>
      </c>
      <c r="C3054" s="4">
        <v>30120</v>
      </c>
      <c r="D3054" s="4">
        <v>30189</v>
      </c>
      <c r="E3054" s="4">
        <v>30104</v>
      </c>
      <c r="F3054" s="4" t="str">
        <v>25.96K</v>
      </c>
      <c r="G3054" s="4" t="str">
        <v>0.20%</v>
      </c>
      <c r="H3054" s="3">
        <v>41138</v>
      </c>
      <c r="I3054" s="4">
        <v>30146.5</v>
      </c>
    </row>
    <row r="3055" spans="1:9" x14ac:dyDescent="0.25">
      <c r="A3055" s="3">
        <v>41137</v>
      </c>
      <c r="B3055" s="4">
        <v>30104</v>
      </c>
      <c r="C3055" s="4">
        <v>30049</v>
      </c>
      <c r="D3055" s="4">
        <v>30152</v>
      </c>
      <c r="E3055" s="4">
        <v>30023</v>
      </c>
      <c r="F3055" s="4" t="str">
        <v>28.81K</v>
      </c>
      <c r="G3055" s="4" t="str">
        <v>0.33%</v>
      </c>
      <c r="H3055" s="3">
        <v>41137</v>
      </c>
      <c r="I3055" s="4">
        <v>30087.5</v>
      </c>
    </row>
    <row r="3056" spans="1:9" x14ac:dyDescent="0.25">
      <c r="A3056" s="3">
        <v>41135</v>
      </c>
      <c r="B3056" s="4">
        <v>30005</v>
      </c>
      <c r="C3056" s="4">
        <v>30093</v>
      </c>
      <c r="D3056" s="4">
        <v>30150</v>
      </c>
      <c r="E3056" s="4">
        <v>29950</v>
      </c>
      <c r="F3056" s="4" t="str">
        <v>33.57K</v>
      </c>
      <c r="G3056" s="4" t="str">
        <v>-0.16%</v>
      </c>
      <c r="H3056" s="3">
        <v>41135</v>
      </c>
      <c r="I3056" s="4">
        <v>30050</v>
      </c>
    </row>
    <row r="3057" spans="1:9" x14ac:dyDescent="0.25">
      <c r="A3057" s="3">
        <v>41134</v>
      </c>
      <c r="B3057" s="4">
        <v>30054</v>
      </c>
      <c r="C3057" s="4">
        <v>30073</v>
      </c>
      <c r="D3057" s="4">
        <v>30198</v>
      </c>
      <c r="E3057" s="4">
        <v>30038</v>
      </c>
      <c r="F3057" s="4" t="str">
        <v>27.34K</v>
      </c>
      <c r="G3057" s="4" t="str">
        <v>0.07%</v>
      </c>
      <c r="H3057" s="3">
        <v>41134</v>
      </c>
      <c r="I3057" s="4">
        <v>30118</v>
      </c>
    </row>
    <row r="3058" spans="1:9" x14ac:dyDescent="0.25">
      <c r="A3058" s="3">
        <v>41132</v>
      </c>
      <c r="B3058" s="4">
        <v>30032</v>
      </c>
      <c r="C3058" s="4">
        <v>30039</v>
      </c>
      <c r="D3058" s="4">
        <v>30045</v>
      </c>
      <c r="E3058" s="4">
        <v>30016</v>
      </c>
      <c r="F3058" s="4" t="str">
        <v>1.10K</v>
      </c>
      <c r="G3058" s="4" t="str">
        <v>-0.07%</v>
      </c>
      <c r="H3058" s="3">
        <v>41132</v>
      </c>
      <c r="I3058" s="4">
        <v>30030.5</v>
      </c>
    </row>
    <row r="3059" spans="1:9" x14ac:dyDescent="0.25">
      <c r="A3059" s="3">
        <v>41131</v>
      </c>
      <c r="B3059" s="4">
        <v>30053</v>
      </c>
      <c r="C3059" s="4">
        <v>29981</v>
      </c>
      <c r="D3059" s="4">
        <v>30078</v>
      </c>
      <c r="E3059" s="4">
        <v>29905</v>
      </c>
      <c r="F3059" s="4" t="str">
        <v>31.71K</v>
      </c>
      <c r="G3059" s="4" t="str">
        <v>0.29%</v>
      </c>
      <c r="H3059" s="3">
        <v>41131</v>
      </c>
      <c r="I3059" s="4">
        <v>29991.5</v>
      </c>
    </row>
    <row r="3060" spans="1:9" x14ac:dyDescent="0.25">
      <c r="A3060" s="3">
        <v>41130</v>
      </c>
      <c r="B3060" s="4">
        <v>29967</v>
      </c>
      <c r="C3060" s="4">
        <v>29886</v>
      </c>
      <c r="D3060" s="4">
        <v>29980</v>
      </c>
      <c r="E3060" s="4">
        <v>29870</v>
      </c>
      <c r="F3060" s="4" t="str">
        <v>21.80K</v>
      </c>
      <c r="G3060" s="4" t="str">
        <v>0.24%</v>
      </c>
      <c r="H3060" s="3">
        <v>41130</v>
      </c>
      <c r="I3060" s="4">
        <v>29925</v>
      </c>
    </row>
    <row r="3061" spans="1:9" x14ac:dyDescent="0.25">
      <c r="A3061" s="3">
        <v>41129</v>
      </c>
      <c r="B3061" s="4">
        <v>29896</v>
      </c>
      <c r="C3061" s="4">
        <v>29797</v>
      </c>
      <c r="D3061" s="4">
        <v>29919</v>
      </c>
      <c r="E3061" s="4">
        <v>29783</v>
      </c>
      <c r="F3061" s="4" t="str">
        <v>30.10K</v>
      </c>
      <c r="G3061" s="4" t="str">
        <v>0.43%</v>
      </c>
      <c r="H3061" s="3">
        <v>41129</v>
      </c>
      <c r="I3061" s="4">
        <v>29851</v>
      </c>
    </row>
    <row r="3062" spans="1:9" x14ac:dyDescent="0.25">
      <c r="A3062" s="3">
        <v>41128</v>
      </c>
      <c r="B3062" s="4">
        <v>29767</v>
      </c>
      <c r="C3062" s="4">
        <v>29950</v>
      </c>
      <c r="D3062" s="4">
        <v>29998</v>
      </c>
      <c r="E3062" s="4">
        <v>29756</v>
      </c>
      <c r="F3062" s="4" t="str">
        <v>34.86K</v>
      </c>
      <c r="G3062" s="4" t="str">
        <v>-0.54%</v>
      </c>
      <c r="H3062" s="3">
        <v>41128</v>
      </c>
      <c r="I3062" s="4">
        <v>29877</v>
      </c>
    </row>
    <row r="3063" spans="1:9" x14ac:dyDescent="0.25">
      <c r="A3063" s="3">
        <v>41127</v>
      </c>
      <c r="B3063" s="4">
        <v>29928</v>
      </c>
      <c r="C3063" s="4">
        <v>29918</v>
      </c>
      <c r="D3063" s="4">
        <v>30004</v>
      </c>
      <c r="E3063" s="4">
        <v>29867</v>
      </c>
      <c r="F3063" s="4" t="str">
        <v>23.20K</v>
      </c>
      <c r="G3063" s="4" t="str">
        <v>0.79%</v>
      </c>
      <c r="H3063" s="3">
        <v>41127</v>
      </c>
      <c r="I3063" s="4">
        <v>29935.5</v>
      </c>
    </row>
    <row r="3064" spans="1:9" x14ac:dyDescent="0.25">
      <c r="A3064" s="3">
        <v>41125</v>
      </c>
      <c r="B3064" s="4">
        <v>29692</v>
      </c>
      <c r="C3064" s="4">
        <v>29712</v>
      </c>
      <c r="D3064" s="4">
        <v>29714</v>
      </c>
      <c r="E3064" s="4">
        <v>29602</v>
      </c>
      <c r="F3064" s="4" t="str">
        <v>0.05K</v>
      </c>
      <c r="G3064" s="4" t="str">
        <v>0.11%</v>
      </c>
      <c r="H3064" s="3">
        <v>41125</v>
      </c>
      <c r="I3064" s="4">
        <v>29658</v>
      </c>
    </row>
    <row r="3065" spans="1:9" x14ac:dyDescent="0.25">
      <c r="A3065" s="3">
        <v>41124</v>
      </c>
      <c r="B3065" s="4">
        <v>29659</v>
      </c>
      <c r="C3065" s="4">
        <v>30396</v>
      </c>
      <c r="D3065" s="4">
        <v>30396</v>
      </c>
      <c r="E3065" s="4">
        <v>29500</v>
      </c>
      <c r="F3065" s="4" t="str">
        <v>0.52K</v>
      </c>
      <c r="G3065" s="4" t="str">
        <v>-0.02%</v>
      </c>
      <c r="H3065" s="3">
        <v>41124</v>
      </c>
      <c r="I3065" s="4">
        <v>29948</v>
      </c>
    </row>
    <row r="3066" spans="1:9" x14ac:dyDescent="0.25">
      <c r="A3066" s="3">
        <v>41123</v>
      </c>
      <c r="B3066" s="4">
        <v>29665</v>
      </c>
      <c r="C3066" s="4">
        <v>29600</v>
      </c>
      <c r="D3066" s="4">
        <v>29750</v>
      </c>
      <c r="E3066" s="4">
        <v>29590</v>
      </c>
      <c r="F3066" s="4" t="str">
        <v>0.58K</v>
      </c>
      <c r="G3066" s="4" t="str">
        <v>0.20%</v>
      </c>
      <c r="H3066" s="3">
        <v>41123</v>
      </c>
      <c r="I3066" s="4">
        <v>29670</v>
      </c>
    </row>
    <row r="3067" spans="1:9" x14ac:dyDescent="0.25">
      <c r="A3067" s="3">
        <v>41122</v>
      </c>
      <c r="B3067" s="4">
        <v>29607</v>
      </c>
      <c r="C3067" s="4">
        <v>29710</v>
      </c>
      <c r="D3067" s="4">
        <v>29739</v>
      </c>
      <c r="E3067" s="4">
        <v>29541</v>
      </c>
      <c r="F3067" s="4" t="str">
        <v>4.13K</v>
      </c>
      <c r="G3067" s="4" t="str">
        <v>-0.48%</v>
      </c>
      <c r="H3067" s="3">
        <v>41122</v>
      </c>
      <c r="I3067" s="4">
        <v>29640</v>
      </c>
    </row>
    <row r="3068" spans="1:9" x14ac:dyDescent="0.25">
      <c r="A3068" s="3">
        <v>41121</v>
      </c>
      <c r="B3068" s="4">
        <v>29749</v>
      </c>
      <c r="C3068" s="4">
        <v>29810</v>
      </c>
      <c r="D3068" s="4">
        <v>29930</v>
      </c>
      <c r="E3068" s="4">
        <v>29721</v>
      </c>
      <c r="F3068" s="4" t="str">
        <v>18.32K</v>
      </c>
      <c r="G3068" s="4" t="str">
        <v>-0.13%</v>
      </c>
      <c r="H3068" s="3">
        <v>41121</v>
      </c>
      <c r="I3068" s="4">
        <v>29825.5</v>
      </c>
    </row>
    <row r="3069" spans="1:9" x14ac:dyDescent="0.25">
      <c r="A3069" s="3">
        <v>41120</v>
      </c>
      <c r="B3069" s="4">
        <v>29788</v>
      </c>
      <c r="C3069" s="4">
        <v>29800</v>
      </c>
      <c r="D3069" s="4">
        <v>29820</v>
      </c>
      <c r="E3069" s="4">
        <v>29760</v>
      </c>
      <c r="F3069" s="4" t="str">
        <v>16.99K</v>
      </c>
      <c r="G3069" s="4" t="str">
        <v>-0.03%</v>
      </c>
      <c r="H3069" s="3">
        <v>41120</v>
      </c>
      <c r="I3069" s="4">
        <v>29790</v>
      </c>
    </row>
    <row r="3070" spans="1:9" x14ac:dyDescent="0.25">
      <c r="A3070" s="3">
        <v>41118</v>
      </c>
      <c r="B3070" s="4">
        <v>29796</v>
      </c>
      <c r="C3070" s="4">
        <v>29778</v>
      </c>
      <c r="D3070" s="4">
        <v>29800</v>
      </c>
      <c r="E3070" s="4">
        <v>29775</v>
      </c>
      <c r="F3070" s="4" t="str">
        <v>1.07K</v>
      </c>
      <c r="G3070" s="4" t="str">
        <v>0.00%</v>
      </c>
      <c r="H3070" s="3">
        <v>41118</v>
      </c>
      <c r="I3070" s="4">
        <v>29787.5</v>
      </c>
    </row>
    <row r="3071" spans="1:9" x14ac:dyDescent="0.25">
      <c r="A3071" s="3">
        <v>41117</v>
      </c>
      <c r="B3071" s="4">
        <v>29796</v>
      </c>
      <c r="C3071" s="4">
        <v>29765</v>
      </c>
      <c r="D3071" s="4">
        <v>29884</v>
      </c>
      <c r="E3071" s="4">
        <v>29750</v>
      </c>
      <c r="F3071" s="4" t="str">
        <v>32.85K</v>
      </c>
      <c r="G3071" s="4" t="str">
        <v>0.01%</v>
      </c>
      <c r="H3071" s="3">
        <v>41117</v>
      </c>
      <c r="I3071" s="4">
        <v>29817</v>
      </c>
    </row>
    <row r="3072" spans="1:9" x14ac:dyDescent="0.25">
      <c r="A3072" s="3">
        <v>41116</v>
      </c>
      <c r="B3072" s="4">
        <v>29793</v>
      </c>
      <c r="C3072" s="4">
        <v>29801</v>
      </c>
      <c r="D3072" s="4">
        <v>29875</v>
      </c>
      <c r="E3072" s="4">
        <v>29733</v>
      </c>
      <c r="F3072" s="4" t="str">
        <v>39.60K</v>
      </c>
      <c r="G3072" s="4" t="str">
        <v>-0.14%</v>
      </c>
      <c r="H3072" s="3">
        <v>41116</v>
      </c>
      <c r="I3072" s="4">
        <v>29804</v>
      </c>
    </row>
    <row r="3073" spans="1:9" x14ac:dyDescent="0.25">
      <c r="A3073" s="3">
        <v>41115</v>
      </c>
      <c r="B3073" s="4">
        <v>29835</v>
      </c>
      <c r="C3073" s="4">
        <v>29600</v>
      </c>
      <c r="D3073" s="4">
        <v>29867</v>
      </c>
      <c r="E3073" s="4">
        <v>29600</v>
      </c>
      <c r="F3073" s="4" t="str">
        <v>43.31K</v>
      </c>
      <c r="G3073" s="4" t="str">
        <v>0.90%</v>
      </c>
      <c r="H3073" s="3">
        <v>41115</v>
      </c>
      <c r="I3073" s="4">
        <v>29733.5</v>
      </c>
    </row>
    <row r="3074" spans="1:9" x14ac:dyDescent="0.25">
      <c r="A3074" s="3">
        <v>41114</v>
      </c>
      <c r="B3074" s="4">
        <v>29568</v>
      </c>
      <c r="C3074" s="4">
        <v>29441</v>
      </c>
      <c r="D3074" s="4">
        <v>29584</v>
      </c>
      <c r="E3074" s="4">
        <v>29392</v>
      </c>
      <c r="F3074" s="4" t="str">
        <v>34.63K</v>
      </c>
      <c r="G3074" s="4" t="str">
        <v>0.41%</v>
      </c>
      <c r="H3074" s="3">
        <v>41114</v>
      </c>
      <c r="I3074" s="4">
        <v>29488</v>
      </c>
    </row>
    <row r="3075" spans="1:9" x14ac:dyDescent="0.25">
      <c r="A3075" s="3">
        <v>41113</v>
      </c>
      <c r="B3075" s="4">
        <v>29448</v>
      </c>
      <c r="C3075" s="4">
        <v>29309</v>
      </c>
      <c r="D3075" s="4">
        <v>29481</v>
      </c>
      <c r="E3075" s="4">
        <v>29297</v>
      </c>
      <c r="F3075" s="4" t="str">
        <v>40.15K</v>
      </c>
      <c r="G3075" s="4" t="str">
        <v>0.58%</v>
      </c>
      <c r="H3075" s="3">
        <v>41113</v>
      </c>
      <c r="I3075" s="4">
        <v>29389</v>
      </c>
    </row>
    <row r="3076" spans="1:9" x14ac:dyDescent="0.25">
      <c r="A3076" s="3">
        <v>41111</v>
      </c>
      <c r="B3076" s="4">
        <v>29277</v>
      </c>
      <c r="C3076" s="4">
        <v>29278</v>
      </c>
      <c r="D3076" s="4">
        <v>29295</v>
      </c>
      <c r="E3076" s="4">
        <v>29272</v>
      </c>
      <c r="F3076" s="4" t="str">
        <v>1.23K</v>
      </c>
      <c r="G3076" s="4" t="str">
        <v>-0.03%</v>
      </c>
      <c r="H3076" s="3">
        <v>41111</v>
      </c>
      <c r="I3076" s="4">
        <v>29283.5</v>
      </c>
    </row>
    <row r="3077" spans="1:9" x14ac:dyDescent="0.25">
      <c r="A3077" s="3">
        <v>41110</v>
      </c>
      <c r="B3077" s="4">
        <v>29287</v>
      </c>
      <c r="C3077" s="4">
        <v>29185</v>
      </c>
      <c r="D3077" s="4">
        <v>29300</v>
      </c>
      <c r="E3077" s="4">
        <v>29182</v>
      </c>
      <c r="F3077" s="4" t="str">
        <v>32.07K</v>
      </c>
      <c r="G3077" s="4" t="str">
        <v>0.44%</v>
      </c>
      <c r="H3077" s="3">
        <v>41110</v>
      </c>
      <c r="I3077" s="4">
        <v>29241</v>
      </c>
    </row>
    <row r="3078" spans="1:9" x14ac:dyDescent="0.25">
      <c r="A3078" s="3">
        <v>41109</v>
      </c>
      <c r="B3078" s="4">
        <v>29158</v>
      </c>
      <c r="C3078" s="4">
        <v>29191</v>
      </c>
      <c r="D3078" s="4">
        <v>29269</v>
      </c>
      <c r="E3078" s="4">
        <v>29133</v>
      </c>
      <c r="F3078" s="4" t="str">
        <v>37.07K</v>
      </c>
      <c r="G3078" s="4" t="str">
        <v>-0.00%</v>
      </c>
      <c r="H3078" s="3">
        <v>41109</v>
      </c>
      <c r="I3078" s="4">
        <v>29201</v>
      </c>
    </row>
    <row r="3079" spans="1:9" x14ac:dyDescent="0.25">
      <c r="A3079" s="3">
        <v>41108</v>
      </c>
      <c r="B3079" s="4">
        <v>29159</v>
      </c>
      <c r="C3079" s="4">
        <v>29275</v>
      </c>
      <c r="D3079" s="4">
        <v>29292</v>
      </c>
      <c r="E3079" s="4">
        <v>29142</v>
      </c>
      <c r="F3079" s="4" t="str">
        <v>40.33K</v>
      </c>
      <c r="G3079" s="4" t="str">
        <v>-0.44%</v>
      </c>
      <c r="H3079" s="3">
        <v>41108</v>
      </c>
      <c r="I3079" s="4">
        <v>29217</v>
      </c>
    </row>
    <row r="3080" spans="1:9" x14ac:dyDescent="0.25">
      <c r="A3080" s="3">
        <v>41107</v>
      </c>
      <c r="B3080" s="4">
        <v>29289</v>
      </c>
      <c r="C3080" s="4">
        <v>29306</v>
      </c>
      <c r="D3080" s="4">
        <v>29370</v>
      </c>
      <c r="E3080" s="4">
        <v>29188</v>
      </c>
      <c r="F3080" s="4" t="str">
        <v>47.37K</v>
      </c>
      <c r="G3080" s="4" t="str">
        <v>0.03%</v>
      </c>
      <c r="H3080" s="3">
        <v>41107</v>
      </c>
      <c r="I3080" s="4">
        <v>29279</v>
      </c>
    </row>
    <row r="3081" spans="1:9" x14ac:dyDescent="0.25">
      <c r="A3081" s="3">
        <v>41106</v>
      </c>
      <c r="B3081" s="4">
        <v>29280</v>
      </c>
      <c r="C3081" s="4">
        <v>29230</v>
      </c>
      <c r="D3081" s="4">
        <v>29330</v>
      </c>
      <c r="E3081" s="4">
        <v>29173</v>
      </c>
      <c r="F3081" s="4" t="str">
        <v>32.23K</v>
      </c>
      <c r="G3081" s="4" t="str">
        <v>0.04%</v>
      </c>
      <c r="H3081" s="3">
        <v>41106</v>
      </c>
      <c r="I3081" s="4">
        <v>29251.5</v>
      </c>
    </row>
    <row r="3082" spans="1:9" x14ac:dyDescent="0.25">
      <c r="A3082" s="3">
        <v>41104</v>
      </c>
      <c r="B3082" s="4">
        <v>29268</v>
      </c>
      <c r="C3082" s="4">
        <v>29260</v>
      </c>
      <c r="D3082" s="4">
        <v>29275</v>
      </c>
      <c r="E3082" s="4">
        <v>29242</v>
      </c>
      <c r="F3082" s="4" t="str">
        <v>1.20K</v>
      </c>
      <c r="G3082" s="4" t="str">
        <v>-0.03%</v>
      </c>
      <c r="H3082" s="3">
        <v>41104</v>
      </c>
      <c r="I3082" s="4">
        <v>29258.5</v>
      </c>
    </row>
    <row r="3083" spans="1:9" x14ac:dyDescent="0.25">
      <c r="A3083" s="3">
        <v>41103</v>
      </c>
      <c r="B3083" s="4">
        <v>29277</v>
      </c>
      <c r="C3083" s="4">
        <v>29224</v>
      </c>
      <c r="D3083" s="4">
        <v>29365</v>
      </c>
      <c r="E3083" s="4">
        <v>29212</v>
      </c>
      <c r="F3083" s="4" t="str">
        <v>37.48K</v>
      </c>
      <c r="G3083" s="4" t="str">
        <v>0.19%</v>
      </c>
      <c r="H3083" s="3">
        <v>41103</v>
      </c>
      <c r="I3083" s="4">
        <v>29288.5</v>
      </c>
    </row>
    <row r="3084" spans="1:9" x14ac:dyDescent="0.25">
      <c r="A3084" s="3">
        <v>41102</v>
      </c>
      <c r="B3084" s="4">
        <v>29222</v>
      </c>
      <c r="C3084" s="4">
        <v>29309</v>
      </c>
      <c r="D3084" s="4">
        <v>29326</v>
      </c>
      <c r="E3084" s="4">
        <v>29161</v>
      </c>
      <c r="F3084" s="4" t="str">
        <v>46.11K</v>
      </c>
      <c r="G3084" s="4" t="str">
        <v>-0.15%</v>
      </c>
      <c r="H3084" s="3">
        <v>41102</v>
      </c>
      <c r="I3084" s="4">
        <v>29243.5</v>
      </c>
    </row>
    <row r="3085" spans="1:9" x14ac:dyDescent="0.25">
      <c r="A3085" s="3">
        <v>41101</v>
      </c>
      <c r="B3085" s="4">
        <v>29265</v>
      </c>
      <c r="C3085" s="4">
        <v>29400</v>
      </c>
      <c r="D3085" s="4">
        <v>29400</v>
      </c>
      <c r="E3085" s="4">
        <v>29225</v>
      </c>
      <c r="F3085" s="4" t="str">
        <v>45.65K</v>
      </c>
      <c r="G3085" s="4" t="str">
        <v>-0.55%</v>
      </c>
      <c r="H3085" s="3">
        <v>41101</v>
      </c>
      <c r="I3085" s="4">
        <v>29312.5</v>
      </c>
    </row>
    <row r="3086" spans="1:9" x14ac:dyDescent="0.25">
      <c r="A3086" s="3">
        <v>41100</v>
      </c>
      <c r="B3086" s="4">
        <v>29428</v>
      </c>
      <c r="C3086" s="4">
        <v>29619</v>
      </c>
      <c r="D3086" s="4">
        <v>29649</v>
      </c>
      <c r="E3086" s="4">
        <v>29395</v>
      </c>
      <c r="F3086" s="4" t="str">
        <v>48.48K</v>
      </c>
      <c r="G3086" s="4" t="str">
        <v>-0.77%</v>
      </c>
      <c r="H3086" s="3">
        <v>41100</v>
      </c>
      <c r="I3086" s="4">
        <v>29522</v>
      </c>
    </row>
    <row r="3087" spans="1:9" x14ac:dyDescent="0.25">
      <c r="A3087" s="3">
        <v>41099</v>
      </c>
      <c r="B3087" s="4">
        <v>29657</v>
      </c>
      <c r="C3087" s="4">
        <v>29603</v>
      </c>
      <c r="D3087" s="4">
        <v>29680</v>
      </c>
      <c r="E3087" s="4">
        <v>29570</v>
      </c>
      <c r="F3087" s="4" t="str">
        <v>26.09K</v>
      </c>
      <c r="G3087" s="4" t="str">
        <v>0.12%</v>
      </c>
      <c r="H3087" s="3">
        <v>41099</v>
      </c>
      <c r="I3087" s="4">
        <v>29625</v>
      </c>
    </row>
    <row r="3088" spans="1:9" x14ac:dyDescent="0.25">
      <c r="A3088" s="3">
        <v>41097</v>
      </c>
      <c r="B3088" s="4">
        <v>29621</v>
      </c>
      <c r="C3088" s="4">
        <v>29600</v>
      </c>
      <c r="D3088" s="4">
        <v>29629</v>
      </c>
      <c r="E3088" s="4">
        <v>29600</v>
      </c>
      <c r="F3088" s="4" t="str">
        <v>1.19K</v>
      </c>
      <c r="G3088" s="4" t="str">
        <v>0.09%</v>
      </c>
      <c r="H3088" s="3">
        <v>41097</v>
      </c>
      <c r="I3088" s="4">
        <v>29614.5</v>
      </c>
    </row>
    <row r="3089" spans="1:9" x14ac:dyDescent="0.25">
      <c r="A3089" s="3">
        <v>41096</v>
      </c>
      <c r="B3089" s="4">
        <v>29594</v>
      </c>
      <c r="C3089" s="4">
        <v>29760</v>
      </c>
      <c r="D3089" s="4">
        <v>29799</v>
      </c>
      <c r="E3089" s="4">
        <v>29550</v>
      </c>
      <c r="F3089" s="4" t="str">
        <v>52.71K</v>
      </c>
      <c r="G3089" s="4" t="str">
        <v>-0.51%</v>
      </c>
      <c r="H3089" s="3">
        <v>41096</v>
      </c>
      <c r="I3089" s="4">
        <v>29674.5</v>
      </c>
    </row>
    <row r="3090" spans="1:9" x14ac:dyDescent="0.25">
      <c r="A3090" s="3">
        <v>41095</v>
      </c>
      <c r="B3090" s="4">
        <v>29746</v>
      </c>
      <c r="C3090" s="4">
        <v>29599</v>
      </c>
      <c r="D3090" s="4">
        <v>29836</v>
      </c>
      <c r="E3090" s="4">
        <v>29590</v>
      </c>
      <c r="F3090" s="4" t="str">
        <v>52.55K</v>
      </c>
      <c r="G3090" s="4" t="str">
        <v>0.59%</v>
      </c>
      <c r="H3090" s="3">
        <v>41095</v>
      </c>
      <c r="I3090" s="4">
        <v>29713</v>
      </c>
    </row>
    <row r="3091" spans="1:9" x14ac:dyDescent="0.25">
      <c r="A3091" s="3">
        <v>41094</v>
      </c>
      <c r="B3091" s="4">
        <v>29571</v>
      </c>
      <c r="C3091" s="4">
        <v>29510</v>
      </c>
      <c r="D3091" s="4">
        <v>29625</v>
      </c>
      <c r="E3091" s="4">
        <v>29468</v>
      </c>
      <c r="F3091" s="4" t="str">
        <v>25.47K</v>
      </c>
      <c r="G3091" s="4" t="str">
        <v>0.33%</v>
      </c>
      <c r="H3091" s="3">
        <v>41094</v>
      </c>
      <c r="I3091" s="4">
        <v>29546.5</v>
      </c>
    </row>
    <row r="3092" spans="1:9" x14ac:dyDescent="0.25">
      <c r="A3092" s="3">
        <v>41093</v>
      </c>
      <c r="B3092" s="4">
        <v>29473</v>
      </c>
      <c r="C3092" s="4">
        <v>29636</v>
      </c>
      <c r="D3092" s="4">
        <v>29637</v>
      </c>
      <c r="E3092" s="4">
        <v>29444</v>
      </c>
      <c r="F3092" s="4" t="str">
        <v>39.22K</v>
      </c>
      <c r="G3092" s="4" t="str">
        <v>-0.63%</v>
      </c>
      <c r="H3092" s="3">
        <v>41093</v>
      </c>
      <c r="I3092" s="4">
        <v>29540.5</v>
      </c>
    </row>
    <row r="3093" spans="1:9" x14ac:dyDescent="0.25">
      <c r="A3093" s="3">
        <v>41092</v>
      </c>
      <c r="B3093" s="4">
        <v>29660</v>
      </c>
      <c r="C3093" s="4">
        <v>29690</v>
      </c>
      <c r="D3093" s="4">
        <v>29759</v>
      </c>
      <c r="E3093" s="4">
        <v>29560</v>
      </c>
      <c r="F3093" s="4" t="str">
        <v>31.49K</v>
      </c>
      <c r="G3093" s="4" t="str">
        <v>-0.02%</v>
      </c>
      <c r="H3093" s="3">
        <v>41092</v>
      </c>
      <c r="I3093" s="4">
        <v>29659.5</v>
      </c>
    </row>
    <row r="3094" spans="1:9" x14ac:dyDescent="0.25">
      <c r="A3094" s="3">
        <v>41090</v>
      </c>
      <c r="B3094" s="4">
        <v>29665</v>
      </c>
      <c r="C3094" s="4">
        <v>29699</v>
      </c>
      <c r="D3094" s="4">
        <v>29699</v>
      </c>
      <c r="E3094" s="4">
        <v>29655</v>
      </c>
      <c r="F3094" s="4" t="str">
        <v>2.04K</v>
      </c>
      <c r="G3094" s="4" t="str">
        <v>-0.22%</v>
      </c>
      <c r="H3094" s="3">
        <v>41090</v>
      </c>
      <c r="I3094" s="4">
        <v>29677</v>
      </c>
    </row>
    <row r="3095" spans="1:9" x14ac:dyDescent="0.25">
      <c r="A3095" s="3">
        <v>41089</v>
      </c>
      <c r="B3095" s="4">
        <v>29731</v>
      </c>
      <c r="C3095" s="4">
        <v>29687</v>
      </c>
      <c r="D3095" s="4">
        <v>29800</v>
      </c>
      <c r="E3095" s="4">
        <v>29457</v>
      </c>
      <c r="F3095" s="4" t="str">
        <v>48.73K</v>
      </c>
      <c r="G3095" s="4" t="str">
        <v>0.27%</v>
      </c>
      <c r="H3095" s="3">
        <v>41089</v>
      </c>
      <c r="I3095" s="4">
        <v>29628.5</v>
      </c>
    </row>
    <row r="3096" spans="1:9" x14ac:dyDescent="0.25">
      <c r="A3096" s="3">
        <v>41088</v>
      </c>
      <c r="B3096" s="4">
        <v>29652</v>
      </c>
      <c r="C3096" s="4">
        <v>29995</v>
      </c>
      <c r="D3096" s="4">
        <v>30023</v>
      </c>
      <c r="E3096" s="4">
        <v>29630</v>
      </c>
      <c r="F3096" s="4" t="str">
        <v>44.07K</v>
      </c>
      <c r="G3096" s="4" t="str">
        <v>-1.15%</v>
      </c>
      <c r="H3096" s="3">
        <v>41088</v>
      </c>
      <c r="I3096" s="4">
        <v>29826.5</v>
      </c>
    </row>
    <row r="3097" spans="1:9" x14ac:dyDescent="0.25">
      <c r="A3097" s="3">
        <v>41087</v>
      </c>
      <c r="B3097" s="4">
        <v>29997</v>
      </c>
      <c r="C3097" s="4">
        <v>29984</v>
      </c>
      <c r="D3097" s="4">
        <v>30138</v>
      </c>
      <c r="E3097" s="4">
        <v>29889</v>
      </c>
      <c r="F3097" s="4" t="str">
        <v>33.01K</v>
      </c>
      <c r="G3097" s="4" t="str">
        <v>0.11%</v>
      </c>
      <c r="H3097" s="3">
        <v>41087</v>
      </c>
      <c r="I3097" s="4">
        <v>30013.5</v>
      </c>
    </row>
    <row r="3098" spans="1:9" x14ac:dyDescent="0.25">
      <c r="A3098" s="3">
        <v>41086</v>
      </c>
      <c r="B3098" s="4">
        <v>29964</v>
      </c>
      <c r="C3098" s="4">
        <v>30110</v>
      </c>
      <c r="D3098" s="4">
        <v>30180</v>
      </c>
      <c r="E3098" s="4">
        <v>29925</v>
      </c>
      <c r="F3098" s="4" t="str">
        <v>33.81K</v>
      </c>
      <c r="G3098" s="4" t="str">
        <v>-0.39%</v>
      </c>
      <c r="H3098" s="3">
        <v>41086</v>
      </c>
      <c r="I3098" s="4">
        <v>30052.5</v>
      </c>
    </row>
    <row r="3099" spans="1:9" x14ac:dyDescent="0.25">
      <c r="A3099" s="3">
        <v>41085</v>
      </c>
      <c r="B3099" s="4">
        <v>30080</v>
      </c>
      <c r="C3099" s="4">
        <v>29920</v>
      </c>
      <c r="D3099" s="4">
        <v>30179</v>
      </c>
      <c r="E3099" s="4">
        <v>29720</v>
      </c>
      <c r="F3099" s="4" t="str">
        <v>45.03K</v>
      </c>
      <c r="G3099" s="4" t="str">
        <v>0.35%</v>
      </c>
      <c r="H3099" s="3">
        <v>41085</v>
      </c>
      <c r="I3099" s="4">
        <v>29949.5</v>
      </c>
    </row>
    <row r="3100" spans="1:9" x14ac:dyDescent="0.25">
      <c r="A3100" s="3">
        <v>41083</v>
      </c>
      <c r="B3100" s="4">
        <v>29974</v>
      </c>
      <c r="C3100" s="4">
        <v>29984</v>
      </c>
      <c r="D3100" s="4">
        <v>30094</v>
      </c>
      <c r="E3100" s="4">
        <v>29961</v>
      </c>
      <c r="F3100" s="4" t="str">
        <v>2.07K</v>
      </c>
      <c r="G3100" s="4" t="str">
        <v>0.08%</v>
      </c>
      <c r="H3100" s="3">
        <v>41083</v>
      </c>
      <c r="I3100" s="4">
        <v>30027.5</v>
      </c>
    </row>
    <row r="3101" spans="1:9" x14ac:dyDescent="0.25">
      <c r="A3101" s="3">
        <v>41082</v>
      </c>
      <c r="B3101" s="4">
        <v>29949</v>
      </c>
      <c r="C3101" s="4">
        <v>29810</v>
      </c>
      <c r="D3101" s="4">
        <v>30019</v>
      </c>
      <c r="E3101" s="4">
        <v>29760</v>
      </c>
      <c r="F3101" s="4" t="str">
        <v>38.68K</v>
      </c>
      <c r="G3101" s="4" t="str">
        <v>0.36%</v>
      </c>
      <c r="H3101" s="3">
        <v>41082</v>
      </c>
      <c r="I3101" s="4">
        <v>29889.5</v>
      </c>
    </row>
    <row r="3102" spans="1:9" x14ac:dyDescent="0.25">
      <c r="A3102" s="3">
        <v>41081</v>
      </c>
      <c r="B3102" s="4">
        <v>29843</v>
      </c>
      <c r="C3102" s="4">
        <v>30260</v>
      </c>
      <c r="D3102" s="4">
        <v>30260</v>
      </c>
      <c r="E3102" s="4">
        <v>29815</v>
      </c>
      <c r="F3102" s="4" t="str">
        <v>55.69K</v>
      </c>
      <c r="G3102" s="4" t="str">
        <v>-1.47%</v>
      </c>
      <c r="H3102" s="3">
        <v>41081</v>
      </c>
      <c r="I3102" s="4">
        <v>30037.5</v>
      </c>
    </row>
    <row r="3103" spans="1:9" x14ac:dyDescent="0.25">
      <c r="A3103" s="3">
        <v>41080</v>
      </c>
      <c r="B3103" s="4">
        <v>30289</v>
      </c>
      <c r="C3103" s="4">
        <v>30201</v>
      </c>
      <c r="D3103" s="4">
        <v>30329</v>
      </c>
      <c r="E3103" s="4">
        <v>30016</v>
      </c>
      <c r="F3103" s="4" t="str">
        <v>58.90K</v>
      </c>
      <c r="G3103" s="4" t="str">
        <v>0.25%</v>
      </c>
      <c r="H3103" s="3">
        <v>41080</v>
      </c>
      <c r="I3103" s="4">
        <v>30172.5</v>
      </c>
    </row>
    <row r="3104" spans="1:9" x14ac:dyDescent="0.25">
      <c r="A3104" s="3">
        <v>41079</v>
      </c>
      <c r="B3104" s="4">
        <v>30214</v>
      </c>
      <c r="C3104" s="4">
        <v>30343</v>
      </c>
      <c r="D3104" s="4">
        <v>30428</v>
      </c>
      <c r="E3104" s="4">
        <v>30153</v>
      </c>
      <c r="F3104" s="4" t="str">
        <v>37.07K</v>
      </c>
      <c r="G3104" s="4" t="str">
        <v>-0.32%</v>
      </c>
      <c r="H3104" s="3">
        <v>41079</v>
      </c>
      <c r="I3104" s="4">
        <v>30290.5</v>
      </c>
    </row>
    <row r="3105" spans="1:9" x14ac:dyDescent="0.25">
      <c r="A3105" s="3">
        <v>41078</v>
      </c>
      <c r="B3105" s="4">
        <v>30311</v>
      </c>
      <c r="C3105" s="4">
        <v>30061</v>
      </c>
      <c r="D3105" s="4">
        <v>30340</v>
      </c>
      <c r="E3105" s="4">
        <v>29975</v>
      </c>
      <c r="F3105" s="4" t="str">
        <v>48.10K</v>
      </c>
      <c r="G3105" s="4" t="str">
        <v>0.52%</v>
      </c>
      <c r="H3105" s="3">
        <v>41078</v>
      </c>
      <c r="I3105" s="4">
        <v>30157.5</v>
      </c>
    </row>
    <row r="3106" spans="1:9" x14ac:dyDescent="0.25">
      <c r="A3106" s="3">
        <v>41076</v>
      </c>
      <c r="B3106" s="4">
        <v>30154</v>
      </c>
      <c r="C3106" s="4">
        <v>30110</v>
      </c>
      <c r="D3106" s="4">
        <v>30167</v>
      </c>
      <c r="E3106" s="4">
        <v>30108</v>
      </c>
      <c r="F3106" s="4" t="str">
        <v>1.56K</v>
      </c>
      <c r="G3106" s="4" t="str">
        <v>0.10%</v>
      </c>
      <c r="H3106" s="3">
        <v>41076</v>
      </c>
      <c r="I3106" s="4">
        <v>30137.5</v>
      </c>
    </row>
    <row r="3107" spans="1:9" x14ac:dyDescent="0.25">
      <c r="A3107" s="3">
        <v>41075</v>
      </c>
      <c r="B3107" s="4">
        <v>30125</v>
      </c>
      <c r="C3107" s="4">
        <v>30161</v>
      </c>
      <c r="D3107" s="4">
        <v>30215</v>
      </c>
      <c r="E3107" s="4">
        <v>30060</v>
      </c>
      <c r="F3107" s="4" t="str">
        <v>32.61K</v>
      </c>
      <c r="G3107" s="4" t="str">
        <v>0.04%</v>
      </c>
      <c r="H3107" s="3">
        <v>41075</v>
      </c>
      <c r="I3107" s="4">
        <v>30137.5</v>
      </c>
    </row>
    <row r="3108" spans="1:9" x14ac:dyDescent="0.25">
      <c r="A3108" s="3">
        <v>41074</v>
      </c>
      <c r="B3108" s="4">
        <v>30113</v>
      </c>
      <c r="C3108" s="4">
        <v>30080</v>
      </c>
      <c r="D3108" s="4">
        <v>30236</v>
      </c>
      <c r="E3108" s="4">
        <v>29985</v>
      </c>
      <c r="F3108" s="4" t="str">
        <v>41.28K</v>
      </c>
      <c r="G3108" s="4" t="str">
        <v>0.26%</v>
      </c>
      <c r="H3108" s="3">
        <v>41074</v>
      </c>
      <c r="I3108" s="4">
        <v>30110.5</v>
      </c>
    </row>
    <row r="3109" spans="1:9" x14ac:dyDescent="0.25">
      <c r="A3109" s="3">
        <v>41073</v>
      </c>
      <c r="B3109" s="4">
        <v>30036</v>
      </c>
      <c r="C3109" s="4">
        <v>29974</v>
      </c>
      <c r="D3109" s="4">
        <v>30168</v>
      </c>
      <c r="E3109" s="4">
        <v>29915</v>
      </c>
      <c r="F3109" s="4" t="str">
        <v>42.30K</v>
      </c>
      <c r="G3109" s="4" t="str">
        <v>0.23%</v>
      </c>
      <c r="H3109" s="3">
        <v>41073</v>
      </c>
      <c r="I3109" s="4">
        <v>30041.5</v>
      </c>
    </row>
    <row r="3110" spans="1:9" x14ac:dyDescent="0.25">
      <c r="A3110" s="3">
        <v>41072</v>
      </c>
      <c r="B3110" s="4">
        <v>29968</v>
      </c>
      <c r="C3110" s="4">
        <v>29798</v>
      </c>
      <c r="D3110" s="4">
        <v>30040</v>
      </c>
      <c r="E3110" s="4">
        <v>29680</v>
      </c>
      <c r="F3110" s="4" t="str">
        <v>46.17K</v>
      </c>
      <c r="G3110" s="4" t="str">
        <v>0.68%</v>
      </c>
      <c r="H3110" s="3">
        <v>41072</v>
      </c>
      <c r="I3110" s="4">
        <v>29860</v>
      </c>
    </row>
    <row r="3111" spans="1:9" x14ac:dyDescent="0.25">
      <c r="A3111" s="3">
        <v>41071</v>
      </c>
      <c r="B3111" s="4">
        <v>29765</v>
      </c>
      <c r="C3111" s="4">
        <v>29549</v>
      </c>
      <c r="D3111" s="4">
        <v>29784</v>
      </c>
      <c r="E3111" s="4">
        <v>29527</v>
      </c>
      <c r="F3111" s="4" t="str">
        <v>37.05K</v>
      </c>
      <c r="G3111" s="4" t="str">
        <v>0.75%</v>
      </c>
      <c r="H3111" s="3">
        <v>41071</v>
      </c>
      <c r="I3111" s="4">
        <v>29655.5</v>
      </c>
    </row>
    <row r="3112" spans="1:9" x14ac:dyDescent="0.25">
      <c r="A3112" s="3">
        <v>41069</v>
      </c>
      <c r="B3112" s="4">
        <v>29544</v>
      </c>
      <c r="C3112" s="4">
        <v>29608</v>
      </c>
      <c r="D3112" s="4">
        <v>29609</v>
      </c>
      <c r="E3112" s="4">
        <v>29534</v>
      </c>
      <c r="F3112" s="4" t="str">
        <v>1.84K</v>
      </c>
      <c r="G3112" s="4" t="str">
        <v>-0.05%</v>
      </c>
      <c r="H3112" s="3">
        <v>41069</v>
      </c>
      <c r="I3112" s="4">
        <v>29571.5</v>
      </c>
    </row>
    <row r="3113" spans="1:9" x14ac:dyDescent="0.25">
      <c r="A3113" s="3">
        <v>41068</v>
      </c>
      <c r="B3113" s="4">
        <v>29560</v>
      </c>
      <c r="C3113" s="4">
        <v>29235</v>
      </c>
      <c r="D3113" s="4">
        <v>29588</v>
      </c>
      <c r="E3113" s="4">
        <v>29106</v>
      </c>
      <c r="F3113" s="4" t="str">
        <v>39.83K</v>
      </c>
      <c r="G3113" s="4" t="str">
        <v>0.83%</v>
      </c>
      <c r="H3113" s="3">
        <v>41068</v>
      </c>
      <c r="I3113" s="4">
        <v>29347</v>
      </c>
    </row>
    <row r="3114" spans="1:9" x14ac:dyDescent="0.25">
      <c r="A3114" s="3">
        <v>41067</v>
      </c>
      <c r="B3114" s="4">
        <v>29317</v>
      </c>
      <c r="C3114" s="4">
        <v>30070</v>
      </c>
      <c r="D3114" s="4">
        <v>30070</v>
      </c>
      <c r="E3114" s="4">
        <v>29214</v>
      </c>
      <c r="F3114" s="4" t="str">
        <v>75.10K</v>
      </c>
      <c r="G3114" s="4" t="str">
        <v>-2.49%</v>
      </c>
      <c r="H3114" s="3">
        <v>41067</v>
      </c>
      <c r="I3114" s="4">
        <v>29642</v>
      </c>
    </row>
    <row r="3115" spans="1:9" x14ac:dyDescent="0.25">
      <c r="A3115" s="3">
        <v>41066</v>
      </c>
      <c r="B3115" s="4">
        <v>30065</v>
      </c>
      <c r="C3115" s="4">
        <v>30093</v>
      </c>
      <c r="D3115" s="4">
        <v>30295</v>
      </c>
      <c r="E3115" s="4">
        <v>30040</v>
      </c>
      <c r="F3115" s="4" t="str">
        <v>46.52K</v>
      </c>
      <c r="G3115" s="4" t="str">
        <v>0.80%</v>
      </c>
      <c r="H3115" s="3">
        <v>41066</v>
      </c>
      <c r="I3115" s="4">
        <v>30167.5</v>
      </c>
    </row>
    <row r="3116" spans="1:9" x14ac:dyDescent="0.25">
      <c r="A3116" s="3">
        <v>41065</v>
      </c>
      <c r="B3116" s="4">
        <v>29827</v>
      </c>
      <c r="C3116" s="4">
        <v>29757</v>
      </c>
      <c r="D3116" s="4">
        <v>30150</v>
      </c>
      <c r="E3116" s="4">
        <v>29742</v>
      </c>
      <c r="F3116" s="4" t="str">
        <v>0.25K</v>
      </c>
      <c r="G3116" s="4" t="str">
        <v>0.54%</v>
      </c>
      <c r="H3116" s="3">
        <v>41065</v>
      </c>
      <c r="I3116" s="4">
        <v>29946</v>
      </c>
    </row>
    <row r="3117" spans="1:9" x14ac:dyDescent="0.25">
      <c r="A3117" s="3">
        <v>41064</v>
      </c>
      <c r="B3117" s="4">
        <v>29668</v>
      </c>
      <c r="C3117" s="4">
        <v>29801</v>
      </c>
      <c r="D3117" s="4">
        <v>29979</v>
      </c>
      <c r="E3117" s="4">
        <v>29640</v>
      </c>
      <c r="F3117" s="4" t="str">
        <v>0.53K</v>
      </c>
      <c r="G3117" s="4" t="str">
        <v>-0.66%</v>
      </c>
      <c r="H3117" s="3">
        <v>41064</v>
      </c>
      <c r="I3117" s="4">
        <v>29809.5</v>
      </c>
    </row>
    <row r="3118" spans="1:9" x14ac:dyDescent="0.25">
      <c r="A3118" s="3">
        <v>41062</v>
      </c>
      <c r="B3118" s="4">
        <v>29866</v>
      </c>
      <c r="C3118" s="4">
        <v>29745</v>
      </c>
      <c r="D3118" s="4">
        <v>29929</v>
      </c>
      <c r="E3118" s="4">
        <v>29740</v>
      </c>
      <c r="F3118" s="4" t="str">
        <v>0.34K</v>
      </c>
      <c r="G3118" s="4" t="str">
        <v>0.48%</v>
      </c>
      <c r="H3118" s="3">
        <v>41062</v>
      </c>
      <c r="I3118" s="4">
        <v>29834.5</v>
      </c>
    </row>
    <row r="3119" spans="1:9" x14ac:dyDescent="0.25">
      <c r="A3119" s="3">
        <v>41061</v>
      </c>
      <c r="B3119" s="4">
        <v>29724</v>
      </c>
      <c r="C3119" s="4">
        <v>29130</v>
      </c>
      <c r="D3119" s="4">
        <v>29871</v>
      </c>
      <c r="E3119" s="4">
        <v>28765</v>
      </c>
      <c r="F3119" s="4" t="str">
        <v>4.75K</v>
      </c>
      <c r="G3119" s="4" t="str">
        <v>1.98%</v>
      </c>
      <c r="H3119" s="3">
        <v>41061</v>
      </c>
      <c r="I3119" s="4">
        <v>29318</v>
      </c>
    </row>
    <row r="3120" spans="1:9" x14ac:dyDescent="0.25">
      <c r="A3120" s="3">
        <v>41060</v>
      </c>
      <c r="B3120" s="4">
        <v>29148</v>
      </c>
      <c r="C3120" s="4">
        <v>29120</v>
      </c>
      <c r="D3120" s="4">
        <v>29198</v>
      </c>
      <c r="E3120" s="4">
        <v>29005</v>
      </c>
      <c r="F3120" s="4" t="str">
        <v>22.81K</v>
      </c>
      <c r="G3120" s="4" t="str">
        <v>0.11%</v>
      </c>
      <c r="H3120" s="3">
        <v>41060</v>
      </c>
      <c r="I3120" s="4">
        <v>29101.5</v>
      </c>
    </row>
    <row r="3121" spans="1:9" x14ac:dyDescent="0.25">
      <c r="A3121" s="3">
        <v>41059</v>
      </c>
      <c r="B3121" s="4">
        <v>29117</v>
      </c>
      <c r="C3121" s="4">
        <v>28845</v>
      </c>
      <c r="D3121" s="4">
        <v>29154</v>
      </c>
      <c r="E3121" s="4">
        <v>28755</v>
      </c>
      <c r="F3121" s="4" t="str">
        <v>38.73K</v>
      </c>
      <c r="G3121" s="4" t="str">
        <v>0.89%</v>
      </c>
      <c r="H3121" s="3">
        <v>41059</v>
      </c>
      <c r="I3121" s="4">
        <v>28954.5</v>
      </c>
    </row>
    <row r="3122" spans="1:9" x14ac:dyDescent="0.25">
      <c r="A3122" s="3">
        <v>41058</v>
      </c>
      <c r="B3122" s="4">
        <v>28859</v>
      </c>
      <c r="C3122" s="4">
        <v>28994</v>
      </c>
      <c r="D3122" s="4">
        <v>29135</v>
      </c>
      <c r="E3122" s="4">
        <v>28819</v>
      </c>
      <c r="F3122" s="4" t="str">
        <v>39.30K</v>
      </c>
      <c r="G3122" s="4" t="str">
        <v>-0.37%</v>
      </c>
      <c r="H3122" s="3">
        <v>41058</v>
      </c>
      <c r="I3122" s="4">
        <v>28977</v>
      </c>
    </row>
    <row r="3123" spans="1:9" x14ac:dyDescent="0.25">
      <c r="A3123" s="3">
        <v>41057</v>
      </c>
      <c r="B3123" s="4">
        <v>28965</v>
      </c>
      <c r="C3123" s="4">
        <v>28901</v>
      </c>
      <c r="D3123" s="4">
        <v>29055</v>
      </c>
      <c r="E3123" s="4">
        <v>28882</v>
      </c>
      <c r="F3123" s="4" t="str">
        <v>17.16K</v>
      </c>
      <c r="G3123" s="4" t="str">
        <v>0.14%</v>
      </c>
      <c r="H3123" s="3">
        <v>41057</v>
      </c>
      <c r="I3123" s="4">
        <v>28968.5</v>
      </c>
    </row>
    <row r="3124" spans="1:9" x14ac:dyDescent="0.25">
      <c r="A3124" s="3">
        <v>41055</v>
      </c>
      <c r="B3124" s="4">
        <v>28925</v>
      </c>
      <c r="C3124" s="4">
        <v>28964</v>
      </c>
      <c r="D3124" s="4">
        <v>28964</v>
      </c>
      <c r="E3124" s="4">
        <v>28918</v>
      </c>
      <c r="F3124" s="4" t="str">
        <v>1.43K</v>
      </c>
      <c r="G3124" s="4" t="str">
        <v>0.08%</v>
      </c>
      <c r="H3124" s="3">
        <v>41055</v>
      </c>
      <c r="I3124" s="4">
        <v>28941</v>
      </c>
    </row>
    <row r="3125" spans="1:9" x14ac:dyDescent="0.25">
      <c r="A3125" s="3">
        <v>41054</v>
      </c>
      <c r="B3125" s="4">
        <v>28902</v>
      </c>
      <c r="C3125" s="4">
        <v>28841</v>
      </c>
      <c r="D3125" s="4">
        <v>28937</v>
      </c>
      <c r="E3125" s="4">
        <v>28748</v>
      </c>
      <c r="F3125" s="4" t="str">
        <v>32.18K</v>
      </c>
      <c r="G3125" s="4" t="str">
        <v>0.08%</v>
      </c>
      <c r="H3125" s="3">
        <v>41054</v>
      </c>
      <c r="I3125" s="4">
        <v>28842.5</v>
      </c>
    </row>
    <row r="3126" spans="1:9" x14ac:dyDescent="0.25">
      <c r="A3126" s="3">
        <v>41053</v>
      </c>
      <c r="B3126" s="4">
        <v>28880</v>
      </c>
      <c r="C3126" s="4">
        <v>29020</v>
      </c>
      <c r="D3126" s="4">
        <v>29102</v>
      </c>
      <c r="E3126" s="4">
        <v>28854</v>
      </c>
      <c r="F3126" s="4" t="str">
        <v>45.17K</v>
      </c>
      <c r="G3126" s="4" t="str">
        <v>-0.31%</v>
      </c>
      <c r="H3126" s="3">
        <v>41053</v>
      </c>
      <c r="I3126" s="4">
        <v>28978</v>
      </c>
    </row>
    <row r="3127" spans="1:9" x14ac:dyDescent="0.25">
      <c r="A3127" s="3">
        <v>41052</v>
      </c>
      <c r="B3127" s="4">
        <v>28969</v>
      </c>
      <c r="C3127" s="4">
        <v>29026</v>
      </c>
      <c r="D3127" s="4">
        <v>29084</v>
      </c>
      <c r="E3127" s="4">
        <v>28831</v>
      </c>
      <c r="F3127" s="4" t="str">
        <v>50.52K</v>
      </c>
      <c r="G3127" s="4" t="str">
        <v>-0.41%</v>
      </c>
      <c r="H3127" s="3">
        <v>41052</v>
      </c>
      <c r="I3127" s="4">
        <v>28957.5</v>
      </c>
    </row>
    <row r="3128" spans="1:9" x14ac:dyDescent="0.25">
      <c r="A3128" s="3">
        <v>41051</v>
      </c>
      <c r="B3128" s="4">
        <v>29087</v>
      </c>
      <c r="C3128" s="4">
        <v>29068</v>
      </c>
      <c r="D3128" s="4">
        <v>29190</v>
      </c>
      <c r="E3128" s="4">
        <v>28827</v>
      </c>
      <c r="F3128" s="4" t="str">
        <v>45.28K</v>
      </c>
      <c r="G3128" s="4" t="str">
        <v>0.18%</v>
      </c>
      <c r="H3128" s="3">
        <v>41051</v>
      </c>
      <c r="I3128" s="4">
        <v>29008.5</v>
      </c>
    </row>
    <row r="3129" spans="1:9" x14ac:dyDescent="0.25">
      <c r="A3129" s="3">
        <v>41050</v>
      </c>
      <c r="B3129" s="4">
        <v>29035</v>
      </c>
      <c r="C3129" s="4">
        <v>29018</v>
      </c>
      <c r="D3129" s="4">
        <v>29174</v>
      </c>
      <c r="E3129" s="4">
        <v>28956</v>
      </c>
      <c r="F3129" s="4" t="str">
        <v>33.33K</v>
      </c>
      <c r="G3129" s="4" t="str">
        <v>0.21%</v>
      </c>
      <c r="H3129" s="3">
        <v>41050</v>
      </c>
      <c r="I3129" s="4">
        <v>29065</v>
      </c>
    </row>
    <row r="3130" spans="1:9" x14ac:dyDescent="0.25">
      <c r="A3130" s="3">
        <v>41048</v>
      </c>
      <c r="B3130" s="4">
        <v>28973</v>
      </c>
      <c r="C3130" s="4">
        <v>28951</v>
      </c>
      <c r="D3130" s="4">
        <v>28999</v>
      </c>
      <c r="E3130" s="4">
        <v>28951</v>
      </c>
      <c r="F3130" s="4" t="str">
        <v>2.42K</v>
      </c>
      <c r="G3130" s="4" t="str">
        <v>0.23%</v>
      </c>
      <c r="H3130" s="3">
        <v>41048</v>
      </c>
      <c r="I3130" s="4">
        <v>28975</v>
      </c>
    </row>
    <row r="3131" spans="1:9" x14ac:dyDescent="0.25">
      <c r="A3131" s="3">
        <v>41047</v>
      </c>
      <c r="B3131" s="4">
        <v>28907</v>
      </c>
      <c r="C3131" s="4">
        <v>28598</v>
      </c>
      <c r="D3131" s="4">
        <v>28978</v>
      </c>
      <c r="E3131" s="4">
        <v>28598</v>
      </c>
      <c r="F3131" s="4" t="str">
        <v>47.36K</v>
      </c>
      <c r="G3131" s="4" t="str">
        <v>1.33%</v>
      </c>
      <c r="H3131" s="3">
        <v>41047</v>
      </c>
      <c r="I3131" s="4">
        <v>28788</v>
      </c>
    </row>
    <row r="3132" spans="1:9" x14ac:dyDescent="0.25">
      <c r="A3132" s="3">
        <v>41046</v>
      </c>
      <c r="B3132" s="4">
        <v>28527</v>
      </c>
      <c r="C3132" s="4">
        <v>27990</v>
      </c>
      <c r="D3132" s="4">
        <v>28598</v>
      </c>
      <c r="E3132" s="4">
        <v>27990</v>
      </c>
      <c r="F3132" s="4" t="str">
        <v>53.35K</v>
      </c>
      <c r="G3132" s="4" t="str">
        <v>2.02%</v>
      </c>
      <c r="H3132" s="3">
        <v>41046</v>
      </c>
      <c r="I3132" s="4">
        <v>28294</v>
      </c>
    </row>
    <row r="3133" spans="1:9" x14ac:dyDescent="0.25">
      <c r="A3133" s="3">
        <v>41045</v>
      </c>
      <c r="B3133" s="4">
        <v>27962</v>
      </c>
      <c r="C3133" s="4">
        <v>28085</v>
      </c>
      <c r="D3133" s="4">
        <v>28193</v>
      </c>
      <c r="E3133" s="4">
        <v>27855</v>
      </c>
      <c r="F3133" s="4" t="str">
        <v>53.50K</v>
      </c>
      <c r="G3133" s="4" t="str">
        <v>-0.58%</v>
      </c>
      <c r="H3133" s="3">
        <v>41045</v>
      </c>
      <c r="I3133" s="4">
        <v>28024</v>
      </c>
    </row>
    <row r="3134" spans="1:9" x14ac:dyDescent="0.25">
      <c r="A3134" s="3">
        <v>41044</v>
      </c>
      <c r="B3134" s="4">
        <v>28126</v>
      </c>
      <c r="C3134" s="4">
        <v>28205</v>
      </c>
      <c r="D3134" s="4">
        <v>28205</v>
      </c>
      <c r="E3134" s="4">
        <v>27992</v>
      </c>
      <c r="F3134" s="4" t="str">
        <v>37.50K</v>
      </c>
      <c r="G3134" s="4" t="str">
        <v>-0.42%</v>
      </c>
      <c r="H3134" s="3">
        <v>41044</v>
      </c>
      <c r="I3134" s="4">
        <v>28098.5</v>
      </c>
    </row>
    <row r="3135" spans="1:9" x14ac:dyDescent="0.25">
      <c r="A3135" s="3">
        <v>41043</v>
      </c>
      <c r="B3135" s="4">
        <v>28244</v>
      </c>
      <c r="C3135" s="4">
        <v>28362</v>
      </c>
      <c r="D3135" s="4">
        <v>28385</v>
      </c>
      <c r="E3135" s="4">
        <v>28152</v>
      </c>
      <c r="F3135" s="4" t="str">
        <v>37.50K</v>
      </c>
      <c r="G3135" s="4" t="str">
        <v>-0.43%</v>
      </c>
      <c r="H3135" s="3">
        <v>41043</v>
      </c>
      <c r="I3135" s="4">
        <v>28268.5</v>
      </c>
    </row>
    <row r="3136" spans="1:9" x14ac:dyDescent="0.25">
      <c r="A3136" s="3">
        <v>41041</v>
      </c>
      <c r="B3136" s="4">
        <v>28365</v>
      </c>
      <c r="C3136" s="4">
        <v>28344</v>
      </c>
      <c r="D3136" s="4">
        <v>28389</v>
      </c>
      <c r="E3136" s="4">
        <v>28332</v>
      </c>
      <c r="F3136" s="4" t="str">
        <v>1.65K</v>
      </c>
      <c r="G3136" s="4" t="str">
        <v>0.03%</v>
      </c>
      <c r="H3136" s="3">
        <v>41041</v>
      </c>
      <c r="I3136" s="4">
        <v>28360.5</v>
      </c>
    </row>
    <row r="3137" spans="1:9" x14ac:dyDescent="0.25">
      <c r="A3137" s="3">
        <v>41040</v>
      </c>
      <c r="B3137" s="4">
        <v>28357</v>
      </c>
      <c r="C3137" s="4">
        <v>28400</v>
      </c>
      <c r="D3137" s="4">
        <v>28450</v>
      </c>
      <c r="E3137" s="4">
        <v>28281</v>
      </c>
      <c r="F3137" s="4" t="str">
        <v>35.02K</v>
      </c>
      <c r="G3137" s="4" t="str">
        <v>-0.31%</v>
      </c>
      <c r="H3137" s="3">
        <v>41040</v>
      </c>
      <c r="I3137" s="4">
        <v>28365.5</v>
      </c>
    </row>
    <row r="3138" spans="1:9" x14ac:dyDescent="0.25">
      <c r="A3138" s="3">
        <v>41039</v>
      </c>
      <c r="B3138" s="4">
        <v>28446</v>
      </c>
      <c r="C3138" s="4">
        <v>28640</v>
      </c>
      <c r="D3138" s="4">
        <v>28640</v>
      </c>
      <c r="E3138" s="4">
        <v>28300</v>
      </c>
      <c r="F3138" s="4" t="str">
        <v>33.98K</v>
      </c>
      <c r="G3138" s="4" t="str">
        <v>-0.81%</v>
      </c>
      <c r="H3138" s="3">
        <v>41039</v>
      </c>
      <c r="I3138" s="4">
        <v>28470</v>
      </c>
    </row>
    <row r="3139" spans="1:9" x14ac:dyDescent="0.25">
      <c r="A3139" s="3">
        <v>41038</v>
      </c>
      <c r="B3139" s="4">
        <v>28678</v>
      </c>
      <c r="C3139" s="4">
        <v>28606</v>
      </c>
      <c r="D3139" s="4">
        <v>28728</v>
      </c>
      <c r="E3139" s="4">
        <v>28453</v>
      </c>
      <c r="F3139" s="4" t="str">
        <v>45.20K</v>
      </c>
      <c r="G3139" s="4" t="str">
        <v>0.09%</v>
      </c>
      <c r="H3139" s="3">
        <v>41038</v>
      </c>
      <c r="I3139" s="4">
        <v>28590.5</v>
      </c>
    </row>
    <row r="3140" spans="1:9" x14ac:dyDescent="0.25">
      <c r="A3140" s="3">
        <v>41037</v>
      </c>
      <c r="B3140" s="4">
        <v>28651</v>
      </c>
      <c r="C3140" s="4">
        <v>28877</v>
      </c>
      <c r="D3140" s="4">
        <v>28970</v>
      </c>
      <c r="E3140" s="4">
        <v>28600</v>
      </c>
      <c r="F3140" s="4" t="str">
        <v>50.07K</v>
      </c>
      <c r="G3140" s="4" t="str">
        <v>-1.00%</v>
      </c>
      <c r="H3140" s="3">
        <v>41037</v>
      </c>
      <c r="I3140" s="4">
        <v>28785</v>
      </c>
    </row>
    <row r="3141" spans="1:9" x14ac:dyDescent="0.25">
      <c r="A3141" s="3">
        <v>41036</v>
      </c>
      <c r="B3141" s="4">
        <v>28939</v>
      </c>
      <c r="C3141" s="4">
        <v>29167</v>
      </c>
      <c r="D3141" s="4">
        <v>29167</v>
      </c>
      <c r="E3141" s="4">
        <v>28880</v>
      </c>
      <c r="F3141" s="4" t="str">
        <v>35.71K</v>
      </c>
      <c r="G3141" s="4" t="str">
        <v>-0.84%</v>
      </c>
      <c r="H3141" s="3">
        <v>41036</v>
      </c>
      <c r="I3141" s="4">
        <v>29023.5</v>
      </c>
    </row>
    <row r="3142" spans="1:9" x14ac:dyDescent="0.25">
      <c r="A3142" s="3">
        <v>41034</v>
      </c>
      <c r="B3142" s="4">
        <v>29185</v>
      </c>
      <c r="C3142" s="4">
        <v>29185</v>
      </c>
      <c r="D3142" s="4">
        <v>29209</v>
      </c>
      <c r="E3142" s="4">
        <v>29169</v>
      </c>
      <c r="F3142" s="4" t="str">
        <v>0.91K</v>
      </c>
      <c r="G3142" s="4" t="str">
        <v>-0.02%</v>
      </c>
      <c r="H3142" s="3">
        <v>41034</v>
      </c>
      <c r="I3142" s="4">
        <v>29189</v>
      </c>
    </row>
    <row r="3143" spans="1:9" x14ac:dyDescent="0.25">
      <c r="A3143" s="3">
        <v>41033</v>
      </c>
      <c r="B3143" s="4">
        <v>29190</v>
      </c>
      <c r="C3143" s="4">
        <v>29197</v>
      </c>
      <c r="D3143" s="4">
        <v>29269</v>
      </c>
      <c r="E3143" s="4">
        <v>29068</v>
      </c>
      <c r="F3143" s="4" t="str">
        <v>41.33K</v>
      </c>
      <c r="G3143" s="4" t="str">
        <v>-0.02%</v>
      </c>
      <c r="H3143" s="3">
        <v>41033</v>
      </c>
      <c r="I3143" s="4">
        <v>29168.5</v>
      </c>
    </row>
    <row r="3144" spans="1:9" x14ac:dyDescent="0.25">
      <c r="A3144" s="3">
        <v>41032</v>
      </c>
      <c r="B3144" s="4">
        <v>29197</v>
      </c>
      <c r="C3144" s="4">
        <v>29219</v>
      </c>
      <c r="D3144" s="4">
        <v>29269</v>
      </c>
      <c r="E3144" s="4">
        <v>29114</v>
      </c>
      <c r="F3144" s="4" t="str">
        <v>32.26K</v>
      </c>
      <c r="G3144" s="4" t="str">
        <v>0.01%</v>
      </c>
      <c r="H3144" s="3">
        <v>41032</v>
      </c>
      <c r="I3144" s="4">
        <v>29191.5</v>
      </c>
    </row>
    <row r="3145" spans="1:9" x14ac:dyDescent="0.25">
      <c r="A3145" s="3">
        <v>41031</v>
      </c>
      <c r="B3145" s="4">
        <v>29193</v>
      </c>
      <c r="C3145" s="4">
        <v>29168</v>
      </c>
      <c r="D3145" s="4">
        <v>29267</v>
      </c>
      <c r="E3145" s="4">
        <v>29100</v>
      </c>
      <c r="F3145" s="4" t="str">
        <v>29.50K</v>
      </c>
      <c r="G3145" s="4" t="str">
        <v>0.22%</v>
      </c>
      <c r="H3145" s="3">
        <v>41031</v>
      </c>
      <c r="I3145" s="4">
        <v>29183.5</v>
      </c>
    </row>
    <row r="3146" spans="1:9" x14ac:dyDescent="0.25">
      <c r="A3146" s="3">
        <v>41030</v>
      </c>
      <c r="B3146" s="4">
        <v>29129</v>
      </c>
      <c r="C3146" s="4">
        <v>29165</v>
      </c>
      <c r="D3146" s="4">
        <v>29293</v>
      </c>
      <c r="E3146" s="4">
        <v>29087</v>
      </c>
      <c r="F3146" s="4" t="str">
        <v>18.03K</v>
      </c>
      <c r="G3146" s="4" t="str">
        <v>-0.19%</v>
      </c>
      <c r="H3146" s="3">
        <v>41030</v>
      </c>
      <c r="I3146" s="4">
        <v>29190</v>
      </c>
    </row>
    <row r="3147" spans="1:9" x14ac:dyDescent="0.25">
      <c r="A3147" s="3">
        <v>41029</v>
      </c>
      <c r="B3147" s="4">
        <v>29183</v>
      </c>
      <c r="C3147" s="4">
        <v>29144</v>
      </c>
      <c r="D3147" s="4">
        <v>29195</v>
      </c>
      <c r="E3147" s="4">
        <v>28952</v>
      </c>
      <c r="F3147" s="4" t="str">
        <v>28.19K</v>
      </c>
      <c r="G3147" s="4" t="str">
        <v>0.25%</v>
      </c>
      <c r="H3147" s="3">
        <v>41029</v>
      </c>
      <c r="I3147" s="4">
        <v>29073.5</v>
      </c>
    </row>
    <row r="3148" spans="1:9" x14ac:dyDescent="0.25">
      <c r="A3148" s="3">
        <v>41027</v>
      </c>
      <c r="B3148" s="4">
        <v>29109</v>
      </c>
      <c r="C3148" s="4">
        <v>29056</v>
      </c>
      <c r="D3148" s="4">
        <v>29117</v>
      </c>
      <c r="E3148" s="4">
        <v>29056</v>
      </c>
      <c r="F3148" s="4" t="str">
        <v>1.34K</v>
      </c>
      <c r="G3148" s="4" t="str">
        <v>0.09%</v>
      </c>
      <c r="H3148" s="3">
        <v>41027</v>
      </c>
      <c r="I3148" s="4">
        <v>29086.5</v>
      </c>
    </row>
    <row r="3149" spans="1:9" x14ac:dyDescent="0.25">
      <c r="A3149" s="3">
        <v>41026</v>
      </c>
      <c r="B3149" s="4">
        <v>29083</v>
      </c>
      <c r="C3149" s="4">
        <v>29005</v>
      </c>
      <c r="D3149" s="4">
        <v>29131</v>
      </c>
      <c r="E3149" s="4">
        <v>28984</v>
      </c>
      <c r="F3149" s="4" t="str">
        <v>22.40K</v>
      </c>
      <c r="G3149" s="4" t="str">
        <v>0.18%</v>
      </c>
      <c r="H3149" s="3">
        <v>41026</v>
      </c>
      <c r="I3149" s="4">
        <v>29057.5</v>
      </c>
    </row>
    <row r="3150" spans="1:9" x14ac:dyDescent="0.25">
      <c r="A3150" s="3">
        <v>41025</v>
      </c>
      <c r="B3150" s="4">
        <v>29030</v>
      </c>
      <c r="C3150" s="4">
        <v>28859</v>
      </c>
      <c r="D3150" s="4">
        <v>29043</v>
      </c>
      <c r="E3150" s="4">
        <v>28839</v>
      </c>
      <c r="F3150" s="4" t="str">
        <v>27.90K</v>
      </c>
      <c r="G3150" s="4" t="str">
        <v>0.66%</v>
      </c>
      <c r="H3150" s="3">
        <v>41025</v>
      </c>
      <c r="I3150" s="4">
        <v>28941</v>
      </c>
    </row>
    <row r="3151" spans="1:9" x14ac:dyDescent="0.25">
      <c r="A3151" s="3">
        <v>41024</v>
      </c>
      <c r="B3151" s="4">
        <v>28840</v>
      </c>
      <c r="C3151" s="4">
        <v>28870</v>
      </c>
      <c r="D3151" s="4">
        <v>28877</v>
      </c>
      <c r="E3151" s="4">
        <v>28635</v>
      </c>
      <c r="F3151" s="4" t="str">
        <v>40.43K</v>
      </c>
      <c r="G3151" s="4" t="str">
        <v>-0.11%</v>
      </c>
      <c r="H3151" s="3">
        <v>41024</v>
      </c>
      <c r="I3151" s="4">
        <v>28756</v>
      </c>
    </row>
    <row r="3152" spans="1:9" x14ac:dyDescent="0.25">
      <c r="A3152" s="3">
        <v>41023</v>
      </c>
      <c r="B3152" s="4">
        <v>28873</v>
      </c>
      <c r="C3152" s="4">
        <v>28810</v>
      </c>
      <c r="D3152" s="4">
        <v>28944</v>
      </c>
      <c r="E3152" s="4">
        <v>28807</v>
      </c>
      <c r="F3152" s="4" t="str">
        <v>26.92K</v>
      </c>
      <c r="G3152" s="4" t="str">
        <v>0.32%</v>
      </c>
      <c r="H3152" s="3">
        <v>41023</v>
      </c>
      <c r="I3152" s="4">
        <v>28875.5</v>
      </c>
    </row>
    <row r="3153" spans="1:9" x14ac:dyDescent="0.25">
      <c r="A3153" s="3">
        <v>41022</v>
      </c>
      <c r="B3153" s="4">
        <v>28781</v>
      </c>
      <c r="C3153" s="4">
        <v>28685</v>
      </c>
      <c r="D3153" s="4">
        <v>28805</v>
      </c>
      <c r="E3153" s="4">
        <v>28622</v>
      </c>
      <c r="F3153" s="4" t="str">
        <v>30.65K</v>
      </c>
      <c r="G3153" s="4" t="str">
        <v>0.28%</v>
      </c>
      <c r="H3153" s="3">
        <v>41022</v>
      </c>
      <c r="I3153" s="4">
        <v>28713.5</v>
      </c>
    </row>
    <row r="3154" spans="1:9" x14ac:dyDescent="0.25">
      <c r="A3154" s="3">
        <v>41020</v>
      </c>
      <c r="B3154" s="4">
        <v>28701</v>
      </c>
      <c r="C3154" s="4">
        <v>28660</v>
      </c>
      <c r="D3154" s="4">
        <v>28714</v>
      </c>
      <c r="E3154" s="4">
        <v>28653</v>
      </c>
      <c r="F3154" s="4" t="str">
        <v>1.45K</v>
      </c>
      <c r="G3154" s="4" t="str">
        <v>0.20%</v>
      </c>
      <c r="H3154" s="3">
        <v>41020</v>
      </c>
      <c r="I3154" s="4">
        <v>28683.5</v>
      </c>
    </row>
    <row r="3155" spans="1:9" x14ac:dyDescent="0.25">
      <c r="A3155" s="3">
        <v>41019</v>
      </c>
      <c r="B3155" s="4">
        <v>28643</v>
      </c>
      <c r="C3155" s="4">
        <v>28657</v>
      </c>
      <c r="D3155" s="4">
        <v>28715</v>
      </c>
      <c r="E3155" s="4">
        <v>28592</v>
      </c>
      <c r="F3155" s="4" t="str">
        <v>23.68K</v>
      </c>
      <c r="G3155" s="4" t="str">
        <v>-0.01%</v>
      </c>
      <c r="H3155" s="3">
        <v>41019</v>
      </c>
      <c r="I3155" s="4">
        <v>28653.5</v>
      </c>
    </row>
    <row r="3156" spans="1:9" x14ac:dyDescent="0.25">
      <c r="A3156" s="3">
        <v>41018</v>
      </c>
      <c r="B3156" s="4">
        <v>28647</v>
      </c>
      <c r="C3156" s="4">
        <v>28505</v>
      </c>
      <c r="D3156" s="4">
        <v>28780</v>
      </c>
      <c r="E3156" s="4">
        <v>28470</v>
      </c>
      <c r="F3156" s="4" t="str">
        <v>37.67K</v>
      </c>
      <c r="G3156" s="4" t="str">
        <v>0.45%</v>
      </c>
      <c r="H3156" s="3">
        <v>41018</v>
      </c>
      <c r="I3156" s="4">
        <v>28625</v>
      </c>
    </row>
    <row r="3157" spans="1:9" x14ac:dyDescent="0.25">
      <c r="A3157" s="3">
        <v>41017</v>
      </c>
      <c r="B3157" s="4">
        <v>28518</v>
      </c>
      <c r="C3157" s="4">
        <v>28502</v>
      </c>
      <c r="D3157" s="4">
        <v>28580</v>
      </c>
      <c r="E3157" s="4">
        <v>28481</v>
      </c>
      <c r="F3157" s="4" t="str">
        <v>22.07K</v>
      </c>
      <c r="G3157" s="4" t="str">
        <v>0.13%</v>
      </c>
      <c r="H3157" s="3">
        <v>41017</v>
      </c>
      <c r="I3157" s="4">
        <v>28530.5</v>
      </c>
    </row>
    <row r="3158" spans="1:9" x14ac:dyDescent="0.25">
      <c r="A3158" s="3">
        <v>41016</v>
      </c>
      <c r="B3158" s="4">
        <v>28482</v>
      </c>
      <c r="C3158" s="4">
        <v>28552</v>
      </c>
      <c r="D3158" s="4">
        <v>28585</v>
      </c>
      <c r="E3158" s="4">
        <v>28351</v>
      </c>
      <c r="F3158" s="4" t="str">
        <v>36.50K</v>
      </c>
      <c r="G3158" s="4" t="str">
        <v>-0.28%</v>
      </c>
      <c r="H3158" s="3">
        <v>41016</v>
      </c>
      <c r="I3158" s="4">
        <v>28468</v>
      </c>
    </row>
    <row r="3159" spans="1:9" x14ac:dyDescent="0.25">
      <c r="A3159" s="3">
        <v>41015</v>
      </c>
      <c r="B3159" s="4">
        <v>28561</v>
      </c>
      <c r="C3159" s="4">
        <v>28569</v>
      </c>
      <c r="D3159" s="4">
        <v>28644</v>
      </c>
      <c r="E3159" s="4">
        <v>28441</v>
      </c>
      <c r="F3159" s="4" t="str">
        <v>29.24K</v>
      </c>
      <c r="G3159" s="4" t="str">
        <v>0.00%</v>
      </c>
      <c r="H3159" s="3">
        <v>41015</v>
      </c>
      <c r="I3159" s="4">
        <v>28542.5</v>
      </c>
    </row>
    <row r="3160" spans="1:9" x14ac:dyDescent="0.25">
      <c r="A3160" s="3">
        <v>41013</v>
      </c>
      <c r="B3160" s="4">
        <v>0</v>
      </c>
      <c r="C3160" s="4">
        <v>28742</v>
      </c>
      <c r="D3160" s="4">
        <v>28815</v>
      </c>
      <c r="E3160" s="4">
        <v>28554</v>
      </c>
      <c r="F3160" s="4" t="str">
        <v>35.72K</v>
      </c>
      <c r="G3160" s="4" t="str">
        <v>-100.00%</v>
      </c>
      <c r="H3160" s="3">
        <v>41013</v>
      </c>
      <c r="I3160" s="4">
        <v>28684.5</v>
      </c>
    </row>
    <row r="3161" spans="1:9" x14ac:dyDescent="0.25">
      <c r="A3161" s="3">
        <v>41012</v>
      </c>
      <c r="B3161" s="4">
        <v>28587</v>
      </c>
      <c r="C3161" s="4">
        <v>28742</v>
      </c>
      <c r="D3161" s="4">
        <v>28815</v>
      </c>
      <c r="E3161" s="4">
        <v>28554</v>
      </c>
      <c r="F3161" s="4" t="str">
        <v>35.72K</v>
      </c>
      <c r="G3161" s="4" t="str">
        <v>-0.54%</v>
      </c>
      <c r="H3161" s="3">
        <v>41012</v>
      </c>
      <c r="I3161" s="4">
        <v>28684.5</v>
      </c>
    </row>
    <row r="3162" spans="1:9" x14ac:dyDescent="0.25">
      <c r="A3162" s="3">
        <v>41011</v>
      </c>
      <c r="B3162" s="4">
        <v>28742</v>
      </c>
      <c r="C3162" s="4">
        <v>28570</v>
      </c>
      <c r="D3162" s="4">
        <v>28774</v>
      </c>
      <c r="E3162" s="4">
        <v>28521</v>
      </c>
      <c r="F3162" s="4" t="str">
        <v>29.26K</v>
      </c>
      <c r="G3162" s="4" t="str">
        <v>0.49%</v>
      </c>
      <c r="H3162" s="3">
        <v>41011</v>
      </c>
      <c r="I3162" s="4">
        <v>28647.5</v>
      </c>
    </row>
    <row r="3163" spans="1:9" x14ac:dyDescent="0.25">
      <c r="A3163" s="3">
        <v>41010</v>
      </c>
      <c r="B3163" s="4">
        <v>28602</v>
      </c>
      <c r="C3163" s="4">
        <v>28601</v>
      </c>
      <c r="D3163" s="4">
        <v>28692</v>
      </c>
      <c r="E3163" s="4">
        <v>28541</v>
      </c>
      <c r="F3163" s="4" t="str">
        <v>25.32K</v>
      </c>
      <c r="G3163" s="4" t="str">
        <v>-0.11%</v>
      </c>
      <c r="H3163" s="3">
        <v>41010</v>
      </c>
      <c r="I3163" s="4">
        <v>28616.5</v>
      </c>
    </row>
    <row r="3164" spans="1:9" x14ac:dyDescent="0.25">
      <c r="A3164" s="3">
        <v>41009</v>
      </c>
      <c r="B3164" s="4">
        <v>28633</v>
      </c>
      <c r="C3164" s="4">
        <v>28360</v>
      </c>
      <c r="D3164" s="4">
        <v>28678</v>
      </c>
      <c r="E3164" s="4">
        <v>28320</v>
      </c>
      <c r="F3164" s="4" t="str">
        <v>37.10K</v>
      </c>
      <c r="G3164" s="4" t="str">
        <v>1.07%</v>
      </c>
      <c r="H3164" s="3">
        <v>41009</v>
      </c>
      <c r="I3164" s="4">
        <v>28499</v>
      </c>
    </row>
    <row r="3165" spans="1:9" x14ac:dyDescent="0.25">
      <c r="A3165" s="3">
        <v>41008</v>
      </c>
      <c r="B3165" s="4">
        <v>28329</v>
      </c>
      <c r="C3165" s="4">
        <v>28210</v>
      </c>
      <c r="D3165" s="4">
        <v>28390</v>
      </c>
      <c r="E3165" s="4">
        <v>28210</v>
      </c>
      <c r="F3165" s="4" t="str">
        <v>23.60K</v>
      </c>
      <c r="G3165" s="4" t="str">
        <v>0.47%</v>
      </c>
      <c r="H3165" s="3">
        <v>41008</v>
      </c>
      <c r="I3165" s="4">
        <v>28300</v>
      </c>
    </row>
    <row r="3166" spans="1:9" x14ac:dyDescent="0.25">
      <c r="A3166" s="3">
        <v>41006</v>
      </c>
      <c r="B3166" s="4">
        <v>28197</v>
      </c>
      <c r="C3166" s="4">
        <v>28119</v>
      </c>
      <c r="D3166" s="4">
        <v>28203</v>
      </c>
      <c r="E3166" s="4">
        <v>28118</v>
      </c>
      <c r="F3166" s="4" t="str">
        <v>2.76K</v>
      </c>
      <c r="G3166" s="4" t="str">
        <v>2.31%</v>
      </c>
      <c r="H3166" s="3">
        <v>41006</v>
      </c>
      <c r="I3166" s="4">
        <v>28160.5</v>
      </c>
    </row>
    <row r="3167" spans="1:9" x14ac:dyDescent="0.25">
      <c r="A3167" s="3">
        <v>41003</v>
      </c>
      <c r="B3167" s="4">
        <v>27561</v>
      </c>
      <c r="C3167" s="4">
        <v>27830</v>
      </c>
      <c r="D3167" s="4">
        <v>27830</v>
      </c>
      <c r="E3167" s="4">
        <v>27466</v>
      </c>
      <c r="F3167" s="4" t="str">
        <v>0.97K</v>
      </c>
      <c r="G3167" s="4" t="str">
        <v>-1.28%</v>
      </c>
      <c r="H3167" s="3">
        <v>41003</v>
      </c>
      <c r="I3167" s="4">
        <v>27648</v>
      </c>
    </row>
    <row r="3168" spans="1:9" x14ac:dyDescent="0.25">
      <c r="A3168" s="3">
        <v>41002</v>
      </c>
      <c r="B3168" s="4">
        <v>27917</v>
      </c>
      <c r="C3168" s="4">
        <v>27929</v>
      </c>
      <c r="D3168" s="4">
        <v>28044</v>
      </c>
      <c r="E3168" s="4">
        <v>27800</v>
      </c>
      <c r="F3168" s="4" t="str">
        <v>0.71K</v>
      </c>
      <c r="G3168" s="4" t="str">
        <v>0.10%</v>
      </c>
      <c r="H3168" s="3">
        <v>41002</v>
      </c>
      <c r="I3168" s="4">
        <v>27922</v>
      </c>
    </row>
    <row r="3169" spans="1:9" x14ac:dyDescent="0.25">
      <c r="A3169" s="3">
        <v>41001</v>
      </c>
      <c r="B3169" s="4">
        <v>27890</v>
      </c>
      <c r="C3169" s="4">
        <v>28115</v>
      </c>
      <c r="D3169" s="4">
        <v>28115</v>
      </c>
      <c r="E3169" s="4">
        <v>27845</v>
      </c>
      <c r="F3169" s="4" t="str">
        <v>3.82K</v>
      </c>
      <c r="G3169" s="4" t="str">
        <v>-0.50%</v>
      </c>
      <c r="H3169" s="3">
        <v>41001</v>
      </c>
      <c r="I3169" s="4">
        <v>27980</v>
      </c>
    </row>
    <row r="3170" spans="1:9" x14ac:dyDescent="0.25">
      <c r="A3170" s="3">
        <v>40999</v>
      </c>
      <c r="B3170" s="4">
        <v>28030</v>
      </c>
      <c r="C3170" s="4">
        <v>28120</v>
      </c>
      <c r="D3170" s="4">
        <v>28139</v>
      </c>
      <c r="E3170" s="4">
        <v>27903</v>
      </c>
      <c r="F3170" s="4" t="str">
        <v>4.05K</v>
      </c>
      <c r="G3170" s="4" t="str">
        <v>-0.37%</v>
      </c>
      <c r="H3170" s="3">
        <v>40999</v>
      </c>
      <c r="I3170" s="4">
        <v>28021</v>
      </c>
    </row>
    <row r="3171" spans="1:9" x14ac:dyDescent="0.25">
      <c r="A3171" s="3">
        <v>40998</v>
      </c>
      <c r="B3171" s="4">
        <v>28133</v>
      </c>
      <c r="C3171" s="4">
        <v>28210</v>
      </c>
      <c r="D3171" s="4">
        <v>28234</v>
      </c>
      <c r="E3171" s="4">
        <v>28093</v>
      </c>
      <c r="F3171" s="4" t="str">
        <v>14.82K</v>
      </c>
      <c r="G3171" s="4" t="str">
        <v>-0.24%</v>
      </c>
      <c r="H3171" s="3">
        <v>40998</v>
      </c>
      <c r="I3171" s="4">
        <v>28163.5</v>
      </c>
    </row>
    <row r="3172" spans="1:9" x14ac:dyDescent="0.25">
      <c r="A3172" s="3">
        <v>40997</v>
      </c>
      <c r="B3172" s="4">
        <v>28202</v>
      </c>
      <c r="C3172" s="4">
        <v>28170</v>
      </c>
      <c r="D3172" s="4">
        <v>28236</v>
      </c>
      <c r="E3172" s="4">
        <v>28085</v>
      </c>
      <c r="F3172" s="4" t="str">
        <v>21.05K</v>
      </c>
      <c r="G3172" s="4" t="str">
        <v>0.24%</v>
      </c>
      <c r="H3172" s="3">
        <v>40997</v>
      </c>
      <c r="I3172" s="4">
        <v>28160.5</v>
      </c>
    </row>
    <row r="3173" spans="1:9" x14ac:dyDescent="0.25">
      <c r="A3173" s="3">
        <v>40996</v>
      </c>
      <c r="B3173" s="4">
        <v>28134</v>
      </c>
      <c r="C3173" s="4">
        <v>28275</v>
      </c>
      <c r="D3173" s="4">
        <v>28284</v>
      </c>
      <c r="E3173" s="4">
        <v>28106</v>
      </c>
      <c r="F3173" s="4" t="str">
        <v>23.38K</v>
      </c>
      <c r="G3173" s="4" t="str">
        <v>-0.52%</v>
      </c>
      <c r="H3173" s="3">
        <v>40996</v>
      </c>
      <c r="I3173" s="4">
        <v>28195</v>
      </c>
    </row>
    <row r="3174" spans="1:9" x14ac:dyDescent="0.25">
      <c r="A3174" s="3">
        <v>40995</v>
      </c>
      <c r="B3174" s="4">
        <v>28280</v>
      </c>
      <c r="C3174" s="4">
        <v>28402</v>
      </c>
      <c r="D3174" s="4">
        <v>28425</v>
      </c>
      <c r="E3174" s="4">
        <v>28242</v>
      </c>
      <c r="F3174" s="4" t="str">
        <v>27.40K</v>
      </c>
      <c r="G3174" s="4" t="str">
        <v>-0.31%</v>
      </c>
      <c r="H3174" s="3">
        <v>40995</v>
      </c>
      <c r="I3174" s="4">
        <v>28333.5</v>
      </c>
    </row>
    <row r="3175" spans="1:9" x14ac:dyDescent="0.25">
      <c r="A3175" s="3">
        <v>40994</v>
      </c>
      <c r="B3175" s="4">
        <v>28367</v>
      </c>
      <c r="C3175" s="4">
        <v>28110</v>
      </c>
      <c r="D3175" s="4">
        <v>28396</v>
      </c>
      <c r="E3175" s="4">
        <v>28102</v>
      </c>
      <c r="F3175" s="4" t="str">
        <v>30.12K</v>
      </c>
      <c r="G3175" s="4" t="str">
        <v>0.95%</v>
      </c>
      <c r="H3175" s="3">
        <v>40994</v>
      </c>
      <c r="I3175" s="4">
        <v>28249</v>
      </c>
    </row>
    <row r="3176" spans="1:9" x14ac:dyDescent="0.25">
      <c r="A3176" s="3">
        <v>40992</v>
      </c>
      <c r="B3176" s="4">
        <v>28099</v>
      </c>
      <c r="C3176" s="4">
        <v>28107</v>
      </c>
      <c r="D3176" s="4">
        <v>28115</v>
      </c>
      <c r="E3176" s="4">
        <v>28080</v>
      </c>
      <c r="F3176" s="4" t="str">
        <v>1.14K</v>
      </c>
      <c r="G3176" s="4" t="str">
        <v>-0.07%</v>
      </c>
      <c r="H3176" s="3">
        <v>40992</v>
      </c>
      <c r="I3176" s="4">
        <v>28097.5</v>
      </c>
    </row>
    <row r="3177" spans="1:9" x14ac:dyDescent="0.25">
      <c r="A3177" s="3">
        <v>40991</v>
      </c>
      <c r="B3177" s="4">
        <v>28119</v>
      </c>
      <c r="C3177" s="4">
        <v>27934</v>
      </c>
      <c r="D3177" s="4">
        <v>28145</v>
      </c>
      <c r="E3177" s="4">
        <v>27873</v>
      </c>
      <c r="F3177" s="4" t="str">
        <v>26.30K</v>
      </c>
      <c r="G3177" s="4" t="str">
        <v>0.74%</v>
      </c>
      <c r="H3177" s="3">
        <v>40991</v>
      </c>
      <c r="I3177" s="4">
        <v>28009</v>
      </c>
    </row>
    <row r="3178" spans="1:9" x14ac:dyDescent="0.25">
      <c r="A3178" s="3">
        <v>40990</v>
      </c>
      <c r="B3178" s="4">
        <v>27913</v>
      </c>
      <c r="C3178" s="4">
        <v>27875</v>
      </c>
      <c r="D3178" s="4">
        <v>27937</v>
      </c>
      <c r="E3178" s="4">
        <v>27790</v>
      </c>
      <c r="F3178" s="4" t="str">
        <v>33.81K</v>
      </c>
      <c r="G3178" s="4" t="str">
        <v>0.23%</v>
      </c>
      <c r="H3178" s="3">
        <v>40990</v>
      </c>
      <c r="I3178" s="4">
        <v>27863.5</v>
      </c>
    </row>
    <row r="3179" spans="1:9" x14ac:dyDescent="0.25">
      <c r="A3179" s="3">
        <v>40989</v>
      </c>
      <c r="B3179" s="4">
        <v>27850</v>
      </c>
      <c r="C3179" s="4">
        <v>27850</v>
      </c>
      <c r="D3179" s="4">
        <v>27940</v>
      </c>
      <c r="E3179" s="4">
        <v>27813</v>
      </c>
      <c r="F3179" s="4" t="str">
        <v>28.50K</v>
      </c>
      <c r="G3179" s="4" t="str">
        <v>0.17%</v>
      </c>
      <c r="H3179" s="3">
        <v>40989</v>
      </c>
      <c r="I3179" s="4">
        <v>27876.5</v>
      </c>
    </row>
    <row r="3180" spans="1:9" x14ac:dyDescent="0.25">
      <c r="A3180" s="3">
        <v>40988</v>
      </c>
      <c r="B3180" s="4">
        <v>27804</v>
      </c>
      <c r="C3180" s="4">
        <v>27867</v>
      </c>
      <c r="D3180" s="4">
        <v>27910</v>
      </c>
      <c r="E3180" s="4">
        <v>27741</v>
      </c>
      <c r="F3180" s="4" t="str">
        <v>31.29K</v>
      </c>
      <c r="G3180" s="4" t="str">
        <v>-0.35%</v>
      </c>
      <c r="H3180" s="3">
        <v>40988</v>
      </c>
      <c r="I3180" s="4">
        <v>27825.5</v>
      </c>
    </row>
    <row r="3181" spans="1:9" x14ac:dyDescent="0.25">
      <c r="A3181" s="3">
        <v>40987</v>
      </c>
      <c r="B3181" s="4">
        <v>27901</v>
      </c>
      <c r="C3181" s="4">
        <v>27899</v>
      </c>
      <c r="D3181" s="4">
        <v>27974</v>
      </c>
      <c r="E3181" s="4">
        <v>27772</v>
      </c>
      <c r="F3181" s="4" t="str">
        <v>27.33K</v>
      </c>
      <c r="G3181" s="4" t="str">
        <v>0.11%</v>
      </c>
      <c r="H3181" s="3">
        <v>40987</v>
      </c>
      <c r="I3181" s="4">
        <v>27873</v>
      </c>
    </row>
    <row r="3182" spans="1:9" x14ac:dyDescent="0.25">
      <c r="A3182" s="3">
        <v>40985</v>
      </c>
      <c r="B3182" s="4">
        <v>27870</v>
      </c>
      <c r="C3182" s="4">
        <v>27851</v>
      </c>
      <c r="D3182" s="4">
        <v>27884</v>
      </c>
      <c r="E3182" s="4">
        <v>27819</v>
      </c>
      <c r="F3182" s="4" t="str">
        <v>1.43K</v>
      </c>
      <c r="G3182" s="4" t="str">
        <v>0.07%</v>
      </c>
      <c r="H3182" s="3">
        <v>40985</v>
      </c>
      <c r="I3182" s="4">
        <v>27851.5</v>
      </c>
    </row>
    <row r="3183" spans="1:9" x14ac:dyDescent="0.25">
      <c r="A3183" s="3">
        <v>40984</v>
      </c>
      <c r="B3183" s="4">
        <v>27851</v>
      </c>
      <c r="C3183" s="4">
        <v>27725</v>
      </c>
      <c r="D3183" s="4">
        <v>28535</v>
      </c>
      <c r="E3183" s="4">
        <v>27402</v>
      </c>
      <c r="F3183" s="4" t="str">
        <v>60.44K</v>
      </c>
      <c r="G3183" s="4" t="str">
        <v>0.53%</v>
      </c>
      <c r="H3183" s="3">
        <v>40984</v>
      </c>
      <c r="I3183" s="4">
        <v>27968.5</v>
      </c>
    </row>
    <row r="3184" spans="1:9" x14ac:dyDescent="0.25">
      <c r="A3184" s="3">
        <v>40983</v>
      </c>
      <c r="B3184" s="4">
        <v>27704</v>
      </c>
      <c r="C3184" s="4">
        <v>27400</v>
      </c>
      <c r="D3184" s="4">
        <v>27730</v>
      </c>
      <c r="E3184" s="4">
        <v>27312</v>
      </c>
      <c r="F3184" s="4" t="str">
        <v>39.05K</v>
      </c>
      <c r="G3184" s="4" t="str">
        <v>0.95%</v>
      </c>
      <c r="H3184" s="3">
        <v>40983</v>
      </c>
      <c r="I3184" s="4">
        <v>27521</v>
      </c>
    </row>
    <row r="3185" spans="1:9" x14ac:dyDescent="0.25">
      <c r="A3185" s="3">
        <v>40982</v>
      </c>
      <c r="B3185" s="4">
        <v>27443</v>
      </c>
      <c r="C3185" s="4">
        <v>27801</v>
      </c>
      <c r="D3185" s="4">
        <v>27801</v>
      </c>
      <c r="E3185" s="4">
        <v>27402</v>
      </c>
      <c r="F3185" s="4" t="str">
        <v>60.57K</v>
      </c>
      <c r="G3185" s="4" t="str">
        <v>-1.40%</v>
      </c>
      <c r="H3185" s="3">
        <v>40982</v>
      </c>
      <c r="I3185" s="4">
        <v>27601.5</v>
      </c>
    </row>
    <row r="3186" spans="1:9" x14ac:dyDescent="0.25">
      <c r="A3186" s="3">
        <v>40981</v>
      </c>
      <c r="B3186" s="4">
        <v>27832</v>
      </c>
      <c r="C3186" s="4">
        <v>27958</v>
      </c>
      <c r="D3186" s="4">
        <v>27958</v>
      </c>
      <c r="E3186" s="4">
        <v>27760</v>
      </c>
      <c r="F3186" s="4" t="str">
        <v>36.84K</v>
      </c>
      <c r="G3186" s="4" t="str">
        <v>-0.50%</v>
      </c>
      <c r="H3186" s="3">
        <v>40981</v>
      </c>
      <c r="I3186" s="4">
        <v>27859</v>
      </c>
    </row>
    <row r="3187" spans="1:9" x14ac:dyDescent="0.25">
      <c r="A3187" s="3">
        <v>40980</v>
      </c>
      <c r="B3187" s="4">
        <v>27972</v>
      </c>
      <c r="C3187" s="4">
        <v>28015</v>
      </c>
      <c r="D3187" s="4">
        <v>28084</v>
      </c>
      <c r="E3187" s="4">
        <v>27902</v>
      </c>
      <c r="F3187" s="4" t="str">
        <v>33.82K</v>
      </c>
      <c r="G3187" s="4" t="str">
        <v>-0.04%</v>
      </c>
      <c r="H3187" s="3">
        <v>40980</v>
      </c>
      <c r="I3187" s="4">
        <v>27993</v>
      </c>
    </row>
    <row r="3188" spans="1:9" x14ac:dyDescent="0.25">
      <c r="A3188" s="3">
        <v>40978</v>
      </c>
      <c r="B3188" s="4">
        <v>27982</v>
      </c>
      <c r="C3188" s="4">
        <v>28018</v>
      </c>
      <c r="D3188" s="4">
        <v>28020</v>
      </c>
      <c r="E3188" s="4">
        <v>27974</v>
      </c>
      <c r="F3188" s="4" t="str">
        <v>1.33K</v>
      </c>
      <c r="G3188" s="4" t="str">
        <v>-0.05%</v>
      </c>
      <c r="H3188" s="3">
        <v>40978</v>
      </c>
      <c r="I3188" s="4">
        <v>27997</v>
      </c>
    </row>
    <row r="3189" spans="1:9" x14ac:dyDescent="0.25">
      <c r="A3189" s="3">
        <v>40977</v>
      </c>
      <c r="B3189" s="4">
        <v>27995</v>
      </c>
      <c r="C3189" s="4">
        <v>28008</v>
      </c>
      <c r="D3189" s="4">
        <v>28048</v>
      </c>
      <c r="E3189" s="4">
        <v>27580</v>
      </c>
      <c r="F3189" s="4" t="str">
        <v>53.17K</v>
      </c>
      <c r="G3189" s="4" t="str">
        <v>0.08%</v>
      </c>
      <c r="H3189" s="3">
        <v>40977</v>
      </c>
      <c r="I3189" s="4">
        <v>27814</v>
      </c>
    </row>
    <row r="3190" spans="1:9" x14ac:dyDescent="0.25">
      <c r="A3190" s="3">
        <v>40976</v>
      </c>
      <c r="B3190" s="4">
        <v>27972</v>
      </c>
      <c r="C3190" s="4">
        <v>27999</v>
      </c>
      <c r="D3190" s="4">
        <v>28028</v>
      </c>
      <c r="E3190" s="4">
        <v>27906</v>
      </c>
      <c r="F3190" s="4" t="str">
        <v>15.70K</v>
      </c>
      <c r="G3190" s="4" t="str">
        <v>0.29%</v>
      </c>
      <c r="H3190" s="3">
        <v>40976</v>
      </c>
      <c r="I3190" s="4">
        <v>27967</v>
      </c>
    </row>
    <row r="3191" spans="1:9" x14ac:dyDescent="0.25">
      <c r="A3191" s="3">
        <v>40975</v>
      </c>
      <c r="B3191" s="4">
        <v>27891</v>
      </c>
      <c r="C3191" s="4">
        <v>27900</v>
      </c>
      <c r="D3191" s="4">
        <v>27972</v>
      </c>
      <c r="E3191" s="4">
        <v>27793</v>
      </c>
      <c r="F3191" s="4" t="str">
        <v>32.37K</v>
      </c>
      <c r="G3191" s="4" t="str">
        <v>0.16%</v>
      </c>
      <c r="H3191" s="3">
        <v>40975</v>
      </c>
      <c r="I3191" s="4">
        <v>27882.5</v>
      </c>
    </row>
    <row r="3192" spans="1:9" x14ac:dyDescent="0.25">
      <c r="A3192" s="3">
        <v>40974</v>
      </c>
      <c r="B3192" s="4">
        <v>27847</v>
      </c>
      <c r="C3192" s="4">
        <v>28029</v>
      </c>
      <c r="D3192" s="4">
        <v>28049</v>
      </c>
      <c r="E3192" s="4">
        <v>27750</v>
      </c>
      <c r="F3192" s="4" t="str">
        <v>47.50K</v>
      </c>
      <c r="G3192" s="4" t="str">
        <v>-0.36%</v>
      </c>
      <c r="H3192" s="3">
        <v>40974</v>
      </c>
      <c r="I3192" s="4">
        <v>27899.5</v>
      </c>
    </row>
    <row r="3193" spans="1:9" x14ac:dyDescent="0.25">
      <c r="A3193" s="3">
        <v>40973</v>
      </c>
      <c r="B3193" s="4">
        <v>27948</v>
      </c>
      <c r="C3193" s="4">
        <v>28045</v>
      </c>
      <c r="D3193" s="4">
        <v>28114</v>
      </c>
      <c r="E3193" s="4">
        <v>27865</v>
      </c>
      <c r="F3193" s="4" t="str">
        <v>38.02K</v>
      </c>
      <c r="G3193" s="4" t="str">
        <v>-0.27%</v>
      </c>
      <c r="H3193" s="3">
        <v>40973</v>
      </c>
      <c r="I3193" s="4">
        <v>27989.5</v>
      </c>
    </row>
    <row r="3194" spans="1:9" x14ac:dyDescent="0.25">
      <c r="A3194" s="3">
        <v>40971</v>
      </c>
      <c r="B3194" s="4">
        <v>28023</v>
      </c>
      <c r="C3194" s="4">
        <v>28000</v>
      </c>
      <c r="D3194" s="4">
        <v>28029</v>
      </c>
      <c r="E3194" s="4">
        <v>28000</v>
      </c>
      <c r="F3194" s="4" t="str">
        <v>1.42K</v>
      </c>
      <c r="G3194" s="4" t="str">
        <v>0.14%</v>
      </c>
      <c r="H3194" s="3">
        <v>40971</v>
      </c>
      <c r="I3194" s="4">
        <v>28014.5</v>
      </c>
    </row>
    <row r="3195" spans="1:9" x14ac:dyDescent="0.25">
      <c r="A3195" s="3">
        <v>40970</v>
      </c>
      <c r="B3195" s="4">
        <v>27985</v>
      </c>
      <c r="C3195" s="4">
        <v>28000</v>
      </c>
      <c r="D3195" s="4">
        <v>28080</v>
      </c>
      <c r="E3195" s="4">
        <v>27929</v>
      </c>
      <c r="F3195" s="4" t="str">
        <v>33.16K</v>
      </c>
      <c r="G3195" s="4" t="str">
        <v>0.21%</v>
      </c>
      <c r="H3195" s="3">
        <v>40970</v>
      </c>
      <c r="I3195" s="4">
        <v>28004.5</v>
      </c>
    </row>
    <row r="3196" spans="1:9" x14ac:dyDescent="0.25">
      <c r="A3196" s="3">
        <v>40969</v>
      </c>
      <c r="B3196" s="4">
        <v>27925</v>
      </c>
      <c r="C3196" s="4">
        <v>27948</v>
      </c>
      <c r="D3196" s="4">
        <v>28022</v>
      </c>
      <c r="E3196" s="4">
        <v>27730</v>
      </c>
      <c r="F3196" s="4" t="str">
        <v>52.55K</v>
      </c>
      <c r="G3196" s="4" t="str">
        <v>-0.10%</v>
      </c>
      <c r="H3196" s="3">
        <v>40969</v>
      </c>
      <c r="I3196" s="4">
        <v>27876</v>
      </c>
    </row>
    <row r="3197" spans="1:9" x14ac:dyDescent="0.25">
      <c r="A3197" s="3">
        <v>40968</v>
      </c>
      <c r="B3197" s="4">
        <v>27952</v>
      </c>
      <c r="C3197" s="4">
        <v>28876</v>
      </c>
      <c r="D3197" s="4">
        <v>28923</v>
      </c>
      <c r="E3197" s="4">
        <v>27752</v>
      </c>
      <c r="F3197" s="4" t="str">
        <v>76.00K</v>
      </c>
      <c r="G3197" s="4" t="str">
        <v>-3.20%</v>
      </c>
      <c r="H3197" s="3">
        <v>40968</v>
      </c>
      <c r="I3197" s="4">
        <v>28337.5</v>
      </c>
    </row>
    <row r="3198" spans="1:9" x14ac:dyDescent="0.25">
      <c r="A3198" s="3">
        <v>40967</v>
      </c>
      <c r="B3198" s="4">
        <v>28875</v>
      </c>
      <c r="C3198" s="4">
        <v>28701</v>
      </c>
      <c r="D3198" s="4">
        <v>28938</v>
      </c>
      <c r="E3198" s="4">
        <v>28661</v>
      </c>
      <c r="F3198" s="4" t="str">
        <v>37.17K</v>
      </c>
      <c r="G3198" s="4" t="str">
        <v>0.47%</v>
      </c>
      <c r="H3198" s="3">
        <v>40967</v>
      </c>
      <c r="I3198" s="4">
        <v>28799.5</v>
      </c>
    </row>
    <row r="3199" spans="1:9" x14ac:dyDescent="0.25">
      <c r="A3199" s="3">
        <v>40966</v>
      </c>
      <c r="B3199" s="4">
        <v>28740</v>
      </c>
      <c r="C3199" s="4">
        <v>28696</v>
      </c>
      <c r="D3199" s="4">
        <v>28828</v>
      </c>
      <c r="E3199" s="4">
        <v>28631</v>
      </c>
      <c r="F3199" s="4" t="str">
        <v>33.83K</v>
      </c>
      <c r="G3199" s="4" t="str">
        <v>0.27%</v>
      </c>
      <c r="H3199" s="3">
        <v>40966</v>
      </c>
      <c r="I3199" s="4">
        <v>28729.5</v>
      </c>
    </row>
    <row r="3200" spans="1:9" x14ac:dyDescent="0.25">
      <c r="A3200" s="3">
        <v>40964</v>
      </c>
      <c r="B3200" s="4">
        <v>28664</v>
      </c>
      <c r="C3200" s="4">
        <v>28630</v>
      </c>
      <c r="D3200" s="4">
        <v>28686</v>
      </c>
      <c r="E3200" s="4">
        <v>28629</v>
      </c>
      <c r="F3200" s="4" t="str">
        <v>1.52K</v>
      </c>
      <c r="G3200" s="4" t="str">
        <v>-0.02%</v>
      </c>
      <c r="H3200" s="3">
        <v>40964</v>
      </c>
      <c r="I3200" s="4">
        <v>28657.5</v>
      </c>
    </row>
    <row r="3201" spans="1:9" x14ac:dyDescent="0.25">
      <c r="A3201" s="3">
        <v>40963</v>
      </c>
      <c r="B3201" s="4">
        <v>28669</v>
      </c>
      <c r="C3201" s="4">
        <v>28849</v>
      </c>
      <c r="D3201" s="4">
        <v>28849</v>
      </c>
      <c r="E3201" s="4">
        <v>28633</v>
      </c>
      <c r="F3201" s="4" t="str">
        <v>37.53K</v>
      </c>
      <c r="G3201" s="4" t="str">
        <v>-0.84%</v>
      </c>
      <c r="H3201" s="3">
        <v>40963</v>
      </c>
      <c r="I3201" s="4">
        <v>28741</v>
      </c>
    </row>
    <row r="3202" spans="1:9" x14ac:dyDescent="0.25">
      <c r="A3202" s="3">
        <v>40962</v>
      </c>
      <c r="B3202" s="4">
        <v>28913</v>
      </c>
      <c r="C3202" s="4">
        <v>28750</v>
      </c>
      <c r="D3202" s="4">
        <v>28944</v>
      </c>
      <c r="E3202" s="4">
        <v>28723</v>
      </c>
      <c r="F3202" s="4" t="str">
        <v>40.18K</v>
      </c>
      <c r="G3202" s="4" t="str">
        <v>0.93%</v>
      </c>
      <c r="H3202" s="3">
        <v>40962</v>
      </c>
      <c r="I3202" s="4">
        <v>28833.5</v>
      </c>
    </row>
    <row r="3203" spans="1:9" x14ac:dyDescent="0.25">
      <c r="A3203" s="3">
        <v>40961</v>
      </c>
      <c r="B3203" s="4">
        <v>28646</v>
      </c>
      <c r="C3203" s="4">
        <v>28440</v>
      </c>
      <c r="D3203" s="4">
        <v>28728</v>
      </c>
      <c r="E3203" s="4">
        <v>28430</v>
      </c>
      <c r="F3203" s="4" t="str">
        <v>35.58K</v>
      </c>
      <c r="G3203" s="4" t="str">
        <v>0.94%</v>
      </c>
      <c r="H3203" s="3">
        <v>40961</v>
      </c>
      <c r="I3203" s="4">
        <v>28579</v>
      </c>
    </row>
    <row r="3204" spans="1:9" x14ac:dyDescent="0.25">
      <c r="A3204" s="3">
        <v>40960</v>
      </c>
      <c r="B3204" s="4">
        <v>28380</v>
      </c>
      <c r="C3204" s="4">
        <v>28149</v>
      </c>
      <c r="D3204" s="4">
        <v>28435</v>
      </c>
      <c r="E3204" s="4">
        <v>28137</v>
      </c>
      <c r="F3204" s="4" t="str">
        <v>38.02K</v>
      </c>
      <c r="G3204" s="4" t="str">
        <v>0.79%</v>
      </c>
      <c r="H3204" s="3">
        <v>40960</v>
      </c>
      <c r="I3204" s="4">
        <v>28286</v>
      </c>
    </row>
    <row r="3205" spans="1:9" x14ac:dyDescent="0.25">
      <c r="A3205" s="3">
        <v>40959</v>
      </c>
      <c r="B3205" s="4">
        <v>28158</v>
      </c>
      <c r="C3205" s="4">
        <v>28120</v>
      </c>
      <c r="D3205" s="4">
        <v>28174</v>
      </c>
      <c r="E3205" s="4">
        <v>28120</v>
      </c>
      <c r="F3205" s="4" t="str">
        <v>6.19K</v>
      </c>
      <c r="G3205" s="4" t="str">
        <v>0.21%</v>
      </c>
      <c r="H3205" s="3">
        <v>40959</v>
      </c>
      <c r="I3205" s="4">
        <v>28147</v>
      </c>
    </row>
    <row r="3206" spans="1:9" x14ac:dyDescent="0.25">
      <c r="A3206" s="3">
        <v>40957</v>
      </c>
      <c r="B3206" s="4">
        <v>28100</v>
      </c>
      <c r="C3206" s="4">
        <v>28079</v>
      </c>
      <c r="D3206" s="4">
        <v>28115</v>
      </c>
      <c r="E3206" s="4">
        <v>28067</v>
      </c>
      <c r="F3206" s="4" t="str">
        <v>1.14K</v>
      </c>
      <c r="G3206" s="4" t="str">
        <v>0.12%</v>
      </c>
      <c r="H3206" s="3">
        <v>40957</v>
      </c>
      <c r="I3206" s="4">
        <v>28091</v>
      </c>
    </row>
    <row r="3207" spans="1:9" x14ac:dyDescent="0.25">
      <c r="A3207" s="3">
        <v>40956</v>
      </c>
      <c r="B3207" s="4">
        <v>28067</v>
      </c>
      <c r="C3207" s="4">
        <v>28155</v>
      </c>
      <c r="D3207" s="4">
        <v>28205</v>
      </c>
      <c r="E3207" s="4">
        <v>28025</v>
      </c>
      <c r="F3207" s="4" t="str">
        <v>27.11K</v>
      </c>
      <c r="G3207" s="4" t="str">
        <v>-0.21%</v>
      </c>
      <c r="H3207" s="3">
        <v>40956</v>
      </c>
      <c r="I3207" s="4">
        <v>28115</v>
      </c>
    </row>
    <row r="3208" spans="1:9" x14ac:dyDescent="0.25">
      <c r="A3208" s="3">
        <v>40955</v>
      </c>
      <c r="B3208" s="4">
        <v>28127</v>
      </c>
      <c r="C3208" s="4">
        <v>28138</v>
      </c>
      <c r="D3208" s="4">
        <v>28209</v>
      </c>
      <c r="E3208" s="4">
        <v>28030</v>
      </c>
      <c r="F3208" s="4" t="str">
        <v>35.10K</v>
      </c>
      <c r="G3208" s="4" t="str">
        <v>-0.15%</v>
      </c>
      <c r="H3208" s="3">
        <v>40955</v>
      </c>
      <c r="I3208" s="4">
        <v>28119.5</v>
      </c>
    </row>
    <row r="3209" spans="1:9" x14ac:dyDescent="0.25">
      <c r="A3209" s="3">
        <v>40954</v>
      </c>
      <c r="B3209" s="4">
        <v>28170</v>
      </c>
      <c r="C3209" s="4">
        <v>28082</v>
      </c>
      <c r="D3209" s="4">
        <v>28271</v>
      </c>
      <c r="E3209" s="4">
        <v>28051</v>
      </c>
      <c r="F3209" s="4" t="str">
        <v>35.63K</v>
      </c>
      <c r="G3209" s="4" t="str">
        <v>0.30%</v>
      </c>
      <c r="H3209" s="3">
        <v>40954</v>
      </c>
      <c r="I3209" s="4">
        <v>28161</v>
      </c>
    </row>
    <row r="3210" spans="1:9" x14ac:dyDescent="0.25">
      <c r="A3210" s="3">
        <v>40953</v>
      </c>
      <c r="B3210" s="4">
        <v>28085</v>
      </c>
      <c r="C3210" s="4">
        <v>28062</v>
      </c>
      <c r="D3210" s="4">
        <v>28218</v>
      </c>
      <c r="E3210" s="4">
        <v>27958</v>
      </c>
      <c r="F3210" s="4" t="str">
        <v>39.75K</v>
      </c>
      <c r="G3210" s="4" t="str">
        <v>-0.12%</v>
      </c>
      <c r="H3210" s="3">
        <v>40953</v>
      </c>
      <c r="I3210" s="4">
        <v>28088</v>
      </c>
    </row>
    <row r="3211" spans="1:9" x14ac:dyDescent="0.25">
      <c r="A3211" s="3">
        <v>40952</v>
      </c>
      <c r="B3211" s="4">
        <v>28119</v>
      </c>
      <c r="C3211" s="4">
        <v>28240</v>
      </c>
      <c r="D3211" s="4">
        <v>28240</v>
      </c>
      <c r="E3211" s="4">
        <v>28018</v>
      </c>
      <c r="F3211" s="4" t="str">
        <v>35.90K</v>
      </c>
      <c r="G3211" s="4" t="str">
        <v>-0.50%</v>
      </c>
      <c r="H3211" s="3">
        <v>40952</v>
      </c>
      <c r="I3211" s="4">
        <v>28129</v>
      </c>
    </row>
    <row r="3212" spans="1:9" x14ac:dyDescent="0.25">
      <c r="A3212" s="3">
        <v>40950</v>
      </c>
      <c r="B3212" s="4">
        <v>28259</v>
      </c>
      <c r="C3212" s="4">
        <v>28249</v>
      </c>
      <c r="D3212" s="4">
        <v>28285</v>
      </c>
      <c r="E3212" s="4">
        <v>28222</v>
      </c>
      <c r="F3212" s="4" t="str">
        <v>1.36K</v>
      </c>
      <c r="G3212" s="4" t="str">
        <v>-0.05%</v>
      </c>
      <c r="H3212" s="3">
        <v>40950</v>
      </c>
      <c r="I3212" s="4">
        <v>28253.5</v>
      </c>
    </row>
    <row r="3213" spans="1:9" x14ac:dyDescent="0.25">
      <c r="A3213" s="3">
        <v>40949</v>
      </c>
      <c r="B3213" s="4">
        <v>28274</v>
      </c>
      <c r="C3213" s="4">
        <v>28367</v>
      </c>
      <c r="D3213" s="4">
        <v>28418</v>
      </c>
      <c r="E3213" s="4">
        <v>28047</v>
      </c>
      <c r="F3213" s="4" t="str">
        <v>41.85K</v>
      </c>
      <c r="G3213" s="4" t="str">
        <v>-0.29%</v>
      </c>
      <c r="H3213" s="3">
        <v>40949</v>
      </c>
      <c r="I3213" s="4">
        <v>28232.5</v>
      </c>
    </row>
    <row r="3214" spans="1:9" x14ac:dyDescent="0.25">
      <c r="A3214" s="3">
        <v>40948</v>
      </c>
      <c r="B3214" s="4">
        <v>28357</v>
      </c>
      <c r="C3214" s="4">
        <v>28197</v>
      </c>
      <c r="D3214" s="4">
        <v>28511</v>
      </c>
      <c r="E3214" s="4">
        <v>28197</v>
      </c>
      <c r="F3214" s="4" t="str">
        <v>42.40K</v>
      </c>
      <c r="G3214" s="4" t="str">
        <v>0.64%</v>
      </c>
      <c r="H3214" s="3">
        <v>40948</v>
      </c>
      <c r="I3214" s="4">
        <v>28354</v>
      </c>
    </row>
    <row r="3215" spans="1:9" x14ac:dyDescent="0.25">
      <c r="A3215" s="3">
        <v>40947</v>
      </c>
      <c r="B3215" s="4">
        <v>28176</v>
      </c>
      <c r="C3215" s="4">
        <v>28385</v>
      </c>
      <c r="D3215" s="4">
        <v>28434</v>
      </c>
      <c r="E3215" s="4">
        <v>28125</v>
      </c>
      <c r="F3215" s="4" t="str">
        <v>40.84K</v>
      </c>
      <c r="G3215" s="4" t="str">
        <v>-0.69%</v>
      </c>
      <c r="H3215" s="3">
        <v>40947</v>
      </c>
      <c r="I3215" s="4">
        <v>28279.5</v>
      </c>
    </row>
    <row r="3216" spans="1:9" x14ac:dyDescent="0.25">
      <c r="A3216" s="3">
        <v>40946</v>
      </c>
      <c r="B3216" s="4">
        <v>28373</v>
      </c>
      <c r="C3216" s="4">
        <v>27951</v>
      </c>
      <c r="D3216" s="4">
        <v>28404</v>
      </c>
      <c r="E3216" s="4">
        <v>27870</v>
      </c>
      <c r="F3216" s="4" t="str">
        <v>50.07K</v>
      </c>
      <c r="G3216" s="4" t="str">
        <v>1.56%</v>
      </c>
      <c r="H3216" s="3">
        <v>40946</v>
      </c>
      <c r="I3216" s="4">
        <v>28137</v>
      </c>
    </row>
    <row r="3217" spans="1:9" x14ac:dyDescent="0.25">
      <c r="A3217" s="3">
        <v>40945</v>
      </c>
      <c r="B3217" s="4">
        <v>27936</v>
      </c>
      <c r="C3217" s="4">
        <v>27990</v>
      </c>
      <c r="D3217" s="4">
        <v>28030</v>
      </c>
      <c r="E3217" s="4">
        <v>27808</v>
      </c>
      <c r="F3217" s="4" t="str">
        <v>36.87K</v>
      </c>
      <c r="G3217" s="4" t="str">
        <v>1.12%</v>
      </c>
      <c r="H3217" s="3">
        <v>40945</v>
      </c>
      <c r="I3217" s="4">
        <v>27919</v>
      </c>
    </row>
    <row r="3218" spans="1:9" x14ac:dyDescent="0.25">
      <c r="A3218" s="3">
        <v>40943</v>
      </c>
      <c r="B3218" s="4">
        <v>27627</v>
      </c>
      <c r="C3218" s="4">
        <v>27525</v>
      </c>
      <c r="D3218" s="4">
        <v>27765</v>
      </c>
      <c r="E3218" s="4">
        <v>27500</v>
      </c>
      <c r="F3218" s="4" t="str">
        <v>0.04K</v>
      </c>
      <c r="G3218" s="4" t="str">
        <v>-0.30%</v>
      </c>
      <c r="H3218" s="3">
        <v>40943</v>
      </c>
      <c r="I3218" s="4">
        <v>27632.5</v>
      </c>
    </row>
    <row r="3219" spans="1:9" x14ac:dyDescent="0.25">
      <c r="A3219" s="3">
        <v>40942</v>
      </c>
      <c r="B3219" s="4">
        <v>27711</v>
      </c>
      <c r="C3219" s="4">
        <v>28151</v>
      </c>
      <c r="D3219" s="4">
        <v>28233</v>
      </c>
      <c r="E3219" s="4">
        <v>27445</v>
      </c>
      <c r="F3219" s="4" t="str">
        <v>0.46K</v>
      </c>
      <c r="G3219" s="4" t="str">
        <v>-1.58%</v>
      </c>
      <c r="H3219" s="3">
        <v>40942</v>
      </c>
      <c r="I3219" s="4">
        <v>27839</v>
      </c>
    </row>
    <row r="3220" spans="1:9" x14ac:dyDescent="0.25">
      <c r="A3220" s="3">
        <v>40941</v>
      </c>
      <c r="B3220" s="4">
        <v>28155</v>
      </c>
      <c r="C3220" s="4">
        <v>28045</v>
      </c>
      <c r="D3220" s="4">
        <v>28244</v>
      </c>
      <c r="E3220" s="4">
        <v>27997</v>
      </c>
      <c r="F3220" s="4" t="str">
        <v>1.21K</v>
      </c>
      <c r="G3220" s="4" t="str">
        <v>0.26%</v>
      </c>
      <c r="H3220" s="3">
        <v>40941</v>
      </c>
      <c r="I3220" s="4">
        <v>28120.5</v>
      </c>
    </row>
    <row r="3221" spans="1:9" x14ac:dyDescent="0.25">
      <c r="A3221" s="3">
        <v>40940</v>
      </c>
      <c r="B3221" s="4">
        <v>28083</v>
      </c>
      <c r="C3221" s="4">
        <v>28125</v>
      </c>
      <c r="D3221" s="4">
        <v>28200</v>
      </c>
      <c r="E3221" s="4">
        <v>28040</v>
      </c>
      <c r="F3221" s="4" t="str">
        <v>3.53K</v>
      </c>
      <c r="G3221" s="4" t="str">
        <v>0.02%</v>
      </c>
      <c r="H3221" s="3">
        <v>40940</v>
      </c>
      <c r="I3221" s="4">
        <v>28120</v>
      </c>
    </row>
    <row r="3222" spans="1:9" x14ac:dyDescent="0.25">
      <c r="A3222" s="3">
        <v>40939</v>
      </c>
      <c r="B3222" s="4">
        <v>28078</v>
      </c>
      <c r="C3222" s="4">
        <v>28100</v>
      </c>
      <c r="D3222" s="4">
        <v>28199</v>
      </c>
      <c r="E3222" s="4">
        <v>28044</v>
      </c>
      <c r="F3222" s="4" t="str">
        <v>20.35K</v>
      </c>
      <c r="G3222" s="4" t="str">
        <v>0.07%</v>
      </c>
      <c r="H3222" s="3">
        <v>40939</v>
      </c>
      <c r="I3222" s="4">
        <v>28121.5</v>
      </c>
    </row>
    <row r="3223" spans="1:9" x14ac:dyDescent="0.25">
      <c r="A3223" s="3">
        <v>40938</v>
      </c>
      <c r="B3223" s="4">
        <v>28059</v>
      </c>
      <c r="C3223" s="4">
        <v>28030</v>
      </c>
      <c r="D3223" s="4">
        <v>28094</v>
      </c>
      <c r="E3223" s="4">
        <v>27845</v>
      </c>
      <c r="F3223" s="4" t="str">
        <v>28.40K</v>
      </c>
      <c r="G3223" s="4" t="str">
        <v>0.25%</v>
      </c>
      <c r="H3223" s="3">
        <v>40938</v>
      </c>
      <c r="I3223" s="4">
        <v>27969.5</v>
      </c>
    </row>
    <row r="3224" spans="1:9" x14ac:dyDescent="0.25">
      <c r="A3224" s="3">
        <v>40936</v>
      </c>
      <c r="B3224" s="4">
        <v>27990</v>
      </c>
      <c r="C3224" s="4">
        <v>27991</v>
      </c>
      <c r="D3224" s="4">
        <v>28013</v>
      </c>
      <c r="E3224" s="4">
        <v>27975</v>
      </c>
      <c r="F3224" s="4" t="str">
        <v>2.05K</v>
      </c>
      <c r="G3224" s="4" t="str">
        <v>0.12%</v>
      </c>
      <c r="H3224" s="3">
        <v>40936</v>
      </c>
      <c r="I3224" s="4">
        <v>27994</v>
      </c>
    </row>
    <row r="3225" spans="1:9" x14ac:dyDescent="0.25">
      <c r="A3225" s="3">
        <v>40935</v>
      </c>
      <c r="B3225" s="4">
        <v>27957</v>
      </c>
      <c r="C3225" s="4">
        <v>27580</v>
      </c>
      <c r="D3225" s="4">
        <v>28084</v>
      </c>
      <c r="E3225" s="4">
        <v>27580</v>
      </c>
      <c r="F3225" s="4" t="str">
        <v>41.19K</v>
      </c>
      <c r="G3225" s="4" t="str">
        <v>1.33%</v>
      </c>
      <c r="H3225" s="3">
        <v>40935</v>
      </c>
      <c r="I3225" s="4">
        <v>27832</v>
      </c>
    </row>
    <row r="3226" spans="1:9" x14ac:dyDescent="0.25">
      <c r="A3226" s="3">
        <v>40933</v>
      </c>
      <c r="B3226" s="4">
        <v>27589</v>
      </c>
      <c r="C3226" s="4">
        <v>27394</v>
      </c>
      <c r="D3226" s="4">
        <v>27655</v>
      </c>
      <c r="E3226" s="4">
        <v>27170</v>
      </c>
      <c r="F3226" s="4" t="str">
        <v>43.88K</v>
      </c>
      <c r="G3226" s="4" t="str">
        <v>0.75%</v>
      </c>
      <c r="H3226" s="3">
        <v>40933</v>
      </c>
      <c r="I3226" s="4">
        <v>27412.5</v>
      </c>
    </row>
    <row r="3227" spans="1:9" x14ac:dyDescent="0.25">
      <c r="A3227" s="3">
        <v>40932</v>
      </c>
      <c r="B3227" s="4">
        <v>27383</v>
      </c>
      <c r="C3227" s="4">
        <v>27487</v>
      </c>
      <c r="D3227" s="4">
        <v>27533</v>
      </c>
      <c r="E3227" s="4">
        <v>27342</v>
      </c>
      <c r="F3227" s="4" t="str">
        <v>30.34K</v>
      </c>
      <c r="G3227" s="4" t="str">
        <v>-0.46%</v>
      </c>
      <c r="H3227" s="3">
        <v>40932</v>
      </c>
      <c r="I3227" s="4">
        <v>27437.5</v>
      </c>
    </row>
    <row r="3228" spans="1:9" x14ac:dyDescent="0.25">
      <c r="A3228" s="3">
        <v>40931</v>
      </c>
      <c r="B3228" s="4">
        <v>27510</v>
      </c>
      <c r="C3228" s="4">
        <v>27489</v>
      </c>
      <c r="D3228" s="4">
        <v>27594</v>
      </c>
      <c r="E3228" s="4">
        <v>27408</v>
      </c>
      <c r="F3228" s="4" t="str">
        <v>33.66K</v>
      </c>
      <c r="G3228" s="4" t="str">
        <v>0.07%</v>
      </c>
      <c r="H3228" s="3">
        <v>40931</v>
      </c>
      <c r="I3228" s="4">
        <v>27501</v>
      </c>
    </row>
    <row r="3229" spans="1:9" x14ac:dyDescent="0.25">
      <c r="A3229" s="3">
        <v>40929</v>
      </c>
      <c r="B3229" s="4">
        <v>27490</v>
      </c>
      <c r="C3229" s="4">
        <v>27488</v>
      </c>
      <c r="D3229" s="4">
        <v>27524</v>
      </c>
      <c r="E3229" s="4">
        <v>27475</v>
      </c>
      <c r="F3229" s="4" t="str">
        <v>2.37K</v>
      </c>
      <c r="G3229" s="4" t="str">
        <v>0.15%</v>
      </c>
      <c r="H3229" s="3">
        <v>40929</v>
      </c>
      <c r="I3229" s="4">
        <v>27499.5</v>
      </c>
    </row>
    <row r="3230" spans="1:9" x14ac:dyDescent="0.25">
      <c r="A3230" s="3">
        <v>40928</v>
      </c>
      <c r="B3230" s="4">
        <v>27448</v>
      </c>
      <c r="C3230" s="4">
        <v>27365</v>
      </c>
      <c r="D3230" s="4">
        <v>27492</v>
      </c>
      <c r="E3230" s="4">
        <v>27222</v>
      </c>
      <c r="F3230" s="4" t="str">
        <v>43.48K</v>
      </c>
      <c r="G3230" s="4" t="str">
        <v>0.37%</v>
      </c>
      <c r="H3230" s="3">
        <v>40928</v>
      </c>
      <c r="I3230" s="4">
        <v>27357</v>
      </c>
    </row>
    <row r="3231" spans="1:9" x14ac:dyDescent="0.25">
      <c r="A3231" s="3">
        <v>40927</v>
      </c>
      <c r="B3231" s="4">
        <v>27347</v>
      </c>
      <c r="C3231" s="4">
        <v>27490</v>
      </c>
      <c r="D3231" s="4">
        <v>27569</v>
      </c>
      <c r="E3231" s="4">
        <v>27308</v>
      </c>
      <c r="F3231" s="4" t="str">
        <v>40.12K</v>
      </c>
      <c r="G3231" s="4" t="str">
        <v>-0.47%</v>
      </c>
      <c r="H3231" s="3">
        <v>40927</v>
      </c>
      <c r="I3231" s="4">
        <v>27438.5</v>
      </c>
    </row>
    <row r="3232" spans="1:9" x14ac:dyDescent="0.25">
      <c r="A3232" s="3">
        <v>40926</v>
      </c>
      <c r="B3232" s="4">
        <v>27475</v>
      </c>
      <c r="C3232" s="4">
        <v>27550</v>
      </c>
      <c r="D3232" s="4">
        <v>27582</v>
      </c>
      <c r="E3232" s="4">
        <v>27327</v>
      </c>
      <c r="F3232" s="4" t="str">
        <v>48.56K</v>
      </c>
      <c r="G3232" s="4" t="str">
        <v>-0.41%</v>
      </c>
      <c r="H3232" s="3">
        <v>40926</v>
      </c>
      <c r="I3232" s="4">
        <v>27454.5</v>
      </c>
    </row>
    <row r="3233" spans="1:9" x14ac:dyDescent="0.25">
      <c r="A3233" s="3">
        <v>40925</v>
      </c>
      <c r="B3233" s="4">
        <v>27588</v>
      </c>
      <c r="C3233" s="4">
        <v>27519</v>
      </c>
      <c r="D3233" s="4">
        <v>27778</v>
      </c>
      <c r="E3233" s="4">
        <v>27495</v>
      </c>
      <c r="F3233" s="4" t="str">
        <v>48.94K</v>
      </c>
      <c r="G3233" s="4" t="str">
        <v>0.38%</v>
      </c>
      <c r="H3233" s="3">
        <v>40925</v>
      </c>
      <c r="I3233" s="4">
        <v>27636.5</v>
      </c>
    </row>
    <row r="3234" spans="1:9" x14ac:dyDescent="0.25">
      <c r="A3234" s="3">
        <v>40924</v>
      </c>
      <c r="B3234" s="4">
        <v>27484</v>
      </c>
      <c r="C3234" s="4">
        <v>27540</v>
      </c>
      <c r="D3234" s="4">
        <v>27591</v>
      </c>
      <c r="E3234" s="4">
        <v>27463</v>
      </c>
      <c r="F3234" s="4" t="str">
        <v>22.24K</v>
      </c>
      <c r="G3234" s="4" t="str">
        <v>-0.08%</v>
      </c>
      <c r="H3234" s="3">
        <v>40924</v>
      </c>
      <c r="I3234" s="4">
        <v>27527</v>
      </c>
    </row>
    <row r="3235" spans="1:9" x14ac:dyDescent="0.25">
      <c r="A3235" s="3">
        <v>40922</v>
      </c>
      <c r="B3235" s="4">
        <v>27507</v>
      </c>
      <c r="C3235" s="4">
        <v>27450</v>
      </c>
      <c r="D3235" s="4">
        <v>27540</v>
      </c>
      <c r="E3235" s="4">
        <v>27450</v>
      </c>
      <c r="F3235" s="4" t="str">
        <v>2.23K</v>
      </c>
      <c r="G3235" s="4" t="str">
        <v>0.29%</v>
      </c>
      <c r="H3235" s="3">
        <v>40922</v>
      </c>
      <c r="I3235" s="4">
        <v>27495</v>
      </c>
    </row>
    <row r="3236" spans="1:9" x14ac:dyDescent="0.25">
      <c r="A3236" s="3">
        <v>40921</v>
      </c>
      <c r="B3236" s="4">
        <v>27427</v>
      </c>
      <c r="C3236" s="4">
        <v>27600</v>
      </c>
      <c r="D3236" s="4">
        <v>27600</v>
      </c>
      <c r="E3236" s="4">
        <v>27390</v>
      </c>
      <c r="F3236" s="4" t="str">
        <v>46.66K</v>
      </c>
      <c r="G3236" s="4" t="str">
        <v>-0.86%</v>
      </c>
      <c r="H3236" s="3">
        <v>40921</v>
      </c>
      <c r="I3236" s="4">
        <v>27495</v>
      </c>
    </row>
    <row r="3237" spans="1:9" x14ac:dyDescent="0.25">
      <c r="A3237" s="3">
        <v>40920</v>
      </c>
      <c r="B3237" s="4">
        <v>27665</v>
      </c>
      <c r="C3237" s="4">
        <v>27689</v>
      </c>
      <c r="D3237" s="4">
        <v>27816</v>
      </c>
      <c r="E3237" s="4">
        <v>27632</v>
      </c>
      <c r="F3237" s="4" t="str">
        <v>35.57K</v>
      </c>
      <c r="G3237" s="4" t="str">
        <v>0.03%</v>
      </c>
      <c r="H3237" s="3">
        <v>40920</v>
      </c>
      <c r="I3237" s="4">
        <v>27724</v>
      </c>
    </row>
    <row r="3238" spans="1:9" x14ac:dyDescent="0.25">
      <c r="A3238" s="3">
        <v>40919</v>
      </c>
      <c r="B3238" s="4">
        <v>27657</v>
      </c>
      <c r="C3238" s="4">
        <v>27595</v>
      </c>
      <c r="D3238" s="4">
        <v>27736</v>
      </c>
      <c r="E3238" s="4">
        <v>27585</v>
      </c>
      <c r="F3238" s="4" t="str">
        <v>37.31K</v>
      </c>
      <c r="G3238" s="4" t="str">
        <v>0.44%</v>
      </c>
      <c r="H3238" s="3">
        <v>40919</v>
      </c>
      <c r="I3238" s="4">
        <v>27660.5</v>
      </c>
    </row>
    <row r="3239" spans="1:9" x14ac:dyDescent="0.25">
      <c r="A3239" s="3">
        <v>40918</v>
      </c>
      <c r="B3239" s="4">
        <v>27537</v>
      </c>
      <c r="C3239" s="4">
        <v>27538</v>
      </c>
      <c r="D3239" s="4">
        <v>27639</v>
      </c>
      <c r="E3239" s="4">
        <v>27476</v>
      </c>
      <c r="F3239" s="4" t="str">
        <v>49.30K</v>
      </c>
      <c r="G3239" s="4" t="str">
        <v>-0.15%</v>
      </c>
      <c r="H3239" s="3">
        <v>40918</v>
      </c>
      <c r="I3239" s="4">
        <v>27557.5</v>
      </c>
    </row>
    <row r="3240" spans="1:9" x14ac:dyDescent="0.25">
      <c r="A3240" s="3">
        <v>40917</v>
      </c>
      <c r="B3240" s="4">
        <v>27578</v>
      </c>
      <c r="C3240" s="4">
        <v>27737</v>
      </c>
      <c r="D3240" s="4">
        <v>27757</v>
      </c>
      <c r="E3240" s="4">
        <v>27551</v>
      </c>
      <c r="F3240" s="4" t="str">
        <v>39.52K</v>
      </c>
      <c r="G3240" s="4" t="str">
        <v>-0.66%</v>
      </c>
      <c r="H3240" s="3">
        <v>40917</v>
      </c>
      <c r="I3240" s="4">
        <v>27654</v>
      </c>
    </row>
    <row r="3241" spans="1:9" x14ac:dyDescent="0.25">
      <c r="A3241" s="3">
        <v>40915</v>
      </c>
      <c r="B3241" s="4">
        <v>27762</v>
      </c>
      <c r="C3241" s="4">
        <v>27764</v>
      </c>
      <c r="D3241" s="4">
        <v>27768</v>
      </c>
      <c r="E3241" s="4">
        <v>27732</v>
      </c>
      <c r="F3241" s="4" t="str">
        <v>1.29K</v>
      </c>
      <c r="G3241" s="4" t="str">
        <v>0.03%</v>
      </c>
      <c r="H3241" s="3">
        <v>40915</v>
      </c>
      <c r="I3241" s="4">
        <v>27750</v>
      </c>
    </row>
    <row r="3242" spans="1:9" x14ac:dyDescent="0.25">
      <c r="A3242" s="3">
        <v>40914</v>
      </c>
      <c r="B3242" s="4">
        <v>27755</v>
      </c>
      <c r="C3242" s="4">
        <v>27830</v>
      </c>
      <c r="D3242" s="4">
        <v>27945</v>
      </c>
      <c r="E3242" s="4">
        <v>27652</v>
      </c>
      <c r="F3242" s="4" t="str">
        <v>55.68K</v>
      </c>
      <c r="G3242" s="4" t="str">
        <v>-0.24%</v>
      </c>
      <c r="H3242" s="3">
        <v>40914</v>
      </c>
      <c r="I3242" s="4">
        <v>27798.5</v>
      </c>
    </row>
    <row r="3243" spans="1:9" x14ac:dyDescent="0.25">
      <c r="A3243" s="3">
        <v>40913</v>
      </c>
      <c r="B3243" s="4">
        <v>27821</v>
      </c>
      <c r="C3243" s="4">
        <v>27812</v>
      </c>
      <c r="D3243" s="4">
        <v>27875</v>
      </c>
      <c r="E3243" s="4">
        <v>27540</v>
      </c>
      <c r="F3243" s="4" t="str">
        <v>64.06K</v>
      </c>
      <c r="G3243" s="4" t="str">
        <v>-0.11%</v>
      </c>
      <c r="H3243" s="3">
        <v>40913</v>
      </c>
      <c r="I3243" s="4">
        <v>27707.5</v>
      </c>
    </row>
    <row r="3244" spans="1:9" x14ac:dyDescent="0.25">
      <c r="A3244" s="3">
        <v>40912</v>
      </c>
      <c r="B3244" s="4">
        <v>27852</v>
      </c>
      <c r="C3244" s="4">
        <v>27701</v>
      </c>
      <c r="D3244" s="4">
        <v>27888</v>
      </c>
      <c r="E3244" s="4">
        <v>27540</v>
      </c>
      <c r="F3244" s="4" t="str">
        <v>62.80K</v>
      </c>
      <c r="G3244" s="4" t="str">
        <v>0.71%</v>
      </c>
      <c r="H3244" s="3">
        <v>40912</v>
      </c>
      <c r="I3244" s="4">
        <v>27714</v>
      </c>
    </row>
    <row r="3245" spans="1:9" x14ac:dyDescent="0.25">
      <c r="A3245" s="3">
        <v>40911</v>
      </c>
      <c r="B3245" s="4">
        <v>27656</v>
      </c>
      <c r="C3245" s="4">
        <v>27448</v>
      </c>
      <c r="D3245" s="4">
        <v>27779</v>
      </c>
      <c r="E3245" s="4">
        <v>27414</v>
      </c>
      <c r="F3245" s="4" t="str">
        <v>54.04K</v>
      </c>
      <c r="G3245" s="4" t="str">
        <v>1.00%</v>
      </c>
      <c r="H3245" s="3">
        <v>40911</v>
      </c>
      <c r="I3245" s="4">
        <v>27596.5</v>
      </c>
    </row>
    <row r="3246" spans="1:9" x14ac:dyDescent="0.25">
      <c r="A3246" s="3">
        <v>40910</v>
      </c>
      <c r="B3246" s="4">
        <v>27382</v>
      </c>
      <c r="C3246" s="4">
        <v>27300</v>
      </c>
      <c r="D3246" s="4">
        <v>27414</v>
      </c>
      <c r="E3246" s="4">
        <v>27271</v>
      </c>
      <c r="F3246" s="4" t="str">
        <v>6.45K</v>
      </c>
      <c r="G3246" s="4" t="str">
        <v>0.19%</v>
      </c>
      <c r="H3246" s="3">
        <v>40910</v>
      </c>
      <c r="I3246" s="4">
        <v>27342.5</v>
      </c>
    </row>
    <row r="3247" spans="1:9" x14ac:dyDescent="0.25">
      <c r="A3247" s="3">
        <v>40908</v>
      </c>
      <c r="B3247" s="4">
        <v>27329</v>
      </c>
      <c r="C3247" s="4">
        <v>27410</v>
      </c>
      <c r="D3247" s="4">
        <v>27410</v>
      </c>
      <c r="E3247" s="4">
        <v>27310</v>
      </c>
      <c r="F3247" s="4" t="str">
        <v>2.31K</v>
      </c>
      <c r="G3247" s="4" t="str">
        <v>-0.41%</v>
      </c>
      <c r="H3247" s="3">
        <v>40908</v>
      </c>
      <c r="I3247" s="4">
        <v>27360</v>
      </c>
    </row>
    <row r="3248" spans="1:9" x14ac:dyDescent="0.25">
      <c r="A3248" s="3">
        <v>40907</v>
      </c>
      <c r="B3248" s="4">
        <v>27441</v>
      </c>
      <c r="C3248" s="4">
        <v>26941</v>
      </c>
      <c r="D3248" s="4">
        <v>27523</v>
      </c>
      <c r="E3248" s="4">
        <v>26941</v>
      </c>
      <c r="F3248" s="4" t="str">
        <v>52.39K</v>
      </c>
      <c r="G3248" s="4" t="str">
        <v>2.25%</v>
      </c>
      <c r="H3248" s="3">
        <v>40907</v>
      </c>
      <c r="I3248" s="4">
        <v>27232</v>
      </c>
    </row>
    <row r="3249" spans="1:9" x14ac:dyDescent="0.25">
      <c r="A3249" s="3">
        <v>40906</v>
      </c>
      <c r="B3249" s="4">
        <v>26836</v>
      </c>
      <c r="C3249" s="4">
        <v>27201</v>
      </c>
      <c r="D3249" s="4">
        <v>27218</v>
      </c>
      <c r="E3249" s="4">
        <v>26517</v>
      </c>
      <c r="F3249" s="4" t="str">
        <v>72.68K</v>
      </c>
      <c r="G3249" s="4" t="str">
        <v>-1.63%</v>
      </c>
      <c r="H3249" s="3">
        <v>40906</v>
      </c>
      <c r="I3249" s="4">
        <v>26867.5</v>
      </c>
    </row>
    <row r="3250" spans="1:9" x14ac:dyDescent="0.25">
      <c r="A3250" s="3">
        <v>40905</v>
      </c>
      <c r="B3250" s="4">
        <v>27281</v>
      </c>
      <c r="C3250" s="4">
        <v>27626</v>
      </c>
      <c r="D3250" s="4">
        <v>27720</v>
      </c>
      <c r="E3250" s="4">
        <v>27150</v>
      </c>
      <c r="F3250" s="4" t="str">
        <v>41.72K</v>
      </c>
      <c r="G3250" s="4" t="str">
        <v>-1.34%</v>
      </c>
      <c r="H3250" s="3">
        <v>40905</v>
      </c>
      <c r="I3250" s="4">
        <v>27435</v>
      </c>
    </row>
    <row r="3251" spans="1:9" x14ac:dyDescent="0.25">
      <c r="A3251" s="3">
        <v>40904</v>
      </c>
      <c r="B3251" s="4">
        <v>27651</v>
      </c>
      <c r="C3251" s="4">
        <v>27744</v>
      </c>
      <c r="D3251" s="4">
        <v>27744</v>
      </c>
      <c r="E3251" s="4">
        <v>27534</v>
      </c>
      <c r="F3251" s="4" t="str">
        <v>19.33K</v>
      </c>
      <c r="G3251" s="4" t="str">
        <v>-0.46%</v>
      </c>
      <c r="H3251" s="3">
        <v>40904</v>
      </c>
      <c r="I3251" s="4">
        <v>27639</v>
      </c>
    </row>
    <row r="3252" spans="1:9" x14ac:dyDescent="0.25">
      <c r="A3252" s="3">
        <v>40903</v>
      </c>
      <c r="B3252" s="4">
        <v>27779</v>
      </c>
      <c r="C3252" s="4">
        <v>27785</v>
      </c>
      <c r="D3252" s="4">
        <v>27789</v>
      </c>
      <c r="E3252" s="4">
        <v>27741</v>
      </c>
      <c r="F3252" s="4" t="str">
        <v>3.47K</v>
      </c>
      <c r="G3252" s="4" t="str">
        <v>-0.06%</v>
      </c>
      <c r="H3252" s="3">
        <v>40903</v>
      </c>
      <c r="I3252" s="4">
        <v>27765</v>
      </c>
    </row>
    <row r="3253" spans="1:9" x14ac:dyDescent="0.25">
      <c r="A3253" s="3">
        <v>40901</v>
      </c>
      <c r="B3253" s="4">
        <v>27796</v>
      </c>
      <c r="C3253" s="4">
        <v>27783</v>
      </c>
      <c r="D3253" s="4">
        <v>27804</v>
      </c>
      <c r="E3253" s="4">
        <v>27775</v>
      </c>
      <c r="F3253" s="4" t="str">
        <v>1.27K</v>
      </c>
      <c r="G3253" s="4" t="str">
        <v>0.06%</v>
      </c>
      <c r="H3253" s="3">
        <v>40901</v>
      </c>
      <c r="I3253" s="4">
        <v>27789.5</v>
      </c>
    </row>
    <row r="3254" spans="1:9" x14ac:dyDescent="0.25">
      <c r="A3254" s="3">
        <v>40900</v>
      </c>
      <c r="B3254" s="4">
        <v>27779</v>
      </c>
      <c r="C3254" s="4">
        <v>27747</v>
      </c>
      <c r="D3254" s="4">
        <v>27820</v>
      </c>
      <c r="E3254" s="4">
        <v>27721</v>
      </c>
      <c r="F3254" s="4" t="str">
        <v>23.57K</v>
      </c>
      <c r="G3254" s="4" t="str">
        <v>0.29%</v>
      </c>
      <c r="H3254" s="3">
        <v>40900</v>
      </c>
      <c r="I3254" s="4">
        <v>27770.5</v>
      </c>
    </row>
    <row r="3255" spans="1:9" x14ac:dyDescent="0.25">
      <c r="A3255" s="3">
        <v>40899</v>
      </c>
      <c r="B3255" s="4">
        <v>27698</v>
      </c>
      <c r="C3255" s="4">
        <v>27751</v>
      </c>
      <c r="D3255" s="4">
        <v>27806</v>
      </c>
      <c r="E3255" s="4">
        <v>27591</v>
      </c>
      <c r="F3255" s="4" t="str">
        <v>42.33K</v>
      </c>
      <c r="G3255" s="4" t="str">
        <v>-0.40%</v>
      </c>
      <c r="H3255" s="3">
        <v>40899</v>
      </c>
      <c r="I3255" s="4">
        <v>27698.5</v>
      </c>
    </row>
    <row r="3256" spans="1:9" x14ac:dyDescent="0.25">
      <c r="A3256" s="3">
        <v>40898</v>
      </c>
      <c r="B3256" s="4">
        <v>27809</v>
      </c>
      <c r="C3256" s="4">
        <v>27920</v>
      </c>
      <c r="D3256" s="4">
        <v>28106</v>
      </c>
      <c r="E3256" s="4">
        <v>27733</v>
      </c>
      <c r="F3256" s="4" t="str">
        <v>51.10K</v>
      </c>
      <c r="G3256" s="4" t="str">
        <v>-0.21%</v>
      </c>
      <c r="H3256" s="3">
        <v>40898</v>
      </c>
      <c r="I3256" s="4">
        <v>27919.5</v>
      </c>
    </row>
    <row r="3257" spans="1:9" x14ac:dyDescent="0.25">
      <c r="A3257" s="3">
        <v>40897</v>
      </c>
      <c r="B3257" s="4">
        <v>27867</v>
      </c>
      <c r="C3257" s="4">
        <v>27685</v>
      </c>
      <c r="D3257" s="4">
        <v>27905</v>
      </c>
      <c r="E3257" s="4">
        <v>27652</v>
      </c>
      <c r="F3257" s="4" t="str">
        <v>36.71K</v>
      </c>
      <c r="G3257" s="4" t="str">
        <v>0.63%</v>
      </c>
      <c r="H3257" s="3">
        <v>40897</v>
      </c>
      <c r="I3257" s="4">
        <v>27778.5</v>
      </c>
    </row>
    <row r="3258" spans="1:9" x14ac:dyDescent="0.25">
      <c r="A3258" s="3">
        <v>40896</v>
      </c>
      <c r="B3258" s="4">
        <v>27692</v>
      </c>
      <c r="C3258" s="4">
        <v>27612</v>
      </c>
      <c r="D3258" s="4">
        <v>27795</v>
      </c>
      <c r="E3258" s="4">
        <v>27500</v>
      </c>
      <c r="F3258" s="4" t="str">
        <v>41.78K</v>
      </c>
      <c r="G3258" s="4" t="str">
        <v>2.91%</v>
      </c>
      <c r="H3258" s="3">
        <v>40896</v>
      </c>
      <c r="I3258" s="4">
        <v>27647.5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Cadila healthcare investing.com</vt:lpstr>
      <vt:lpstr>Cadila healthcare yahoo fin</vt:lpstr>
      <vt:lpstr>Gold Prices Daily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2024-03-14T07:00:29Z</dcterms:created>
  <dcterms:modified xsi:type="dcterms:W3CDTF">2024-03-21T15:16:58Z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2024-03-14T07:00:41Z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8e1a0a28-62eb-4fbe-8383-358a83e3bf9b</vt:lpwstr>
  </property>
  <property fmtid="{D5CDD505-2E9C-101B-9397-08002B2CF9AE}" pid="8" name="MSIP_Label_defa4170-0d19-0005-0004-bc88714345d2_ContentBits">
    <vt:lpwstr>0</vt:lpwstr>
  </property>
</Properties>
</file>