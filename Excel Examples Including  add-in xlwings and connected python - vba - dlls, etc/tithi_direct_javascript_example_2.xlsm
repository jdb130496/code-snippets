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1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" documentId="14_{328CD90A-483F-4908-8978-9C9C06716383}" xr6:coauthVersionLast="47" xr6:coauthVersionMax="47" xr10:uidLastSave="{958B08D1-ADFD-4881-AADA-D7FFB499ABCB}"/>
  <bookViews>
    <workbookView xWindow="-120" yWindow="-120" windowWidth="20730" windowHeight="11040" xr2:uid="{8BFDC5F1-15D3-4F98-AF20-E5A1A1EE1300}"/>
  </bookViews>
  <sheets>
    <sheet name="Sheet1" sheetId="1" r:id="rId1"/>
  </sheets>
  <functionGroup name="ExceLab 365 Calculus Function..."/>
  <functionGroup name="xlwings"/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_tithi_new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 a="1"/>
  <c r="I4" i="1" s="1"/>
  <c r="H4" i="1" a="1"/>
  <c r="H4" i="1" s="1"/>
  <c r="G37" i="1" a="1"/>
  <c r="G37" i="1" s="1"/>
  <c r="H37" i="1" a="1"/>
  <c r="H37" i="1" s="1"/>
  <c r="G35" i="1" a="1"/>
  <c r="G35" i="1" s="1"/>
  <c r="H15" i="1" a="1"/>
  <c r="H15" i="1" s="1"/>
  <c r="H35" i="1" a="1"/>
  <c r="H35" i="1" s="1"/>
  <c r="G33" i="1" a="1"/>
  <c r="G33" i="1" s="1"/>
  <c r="G32" i="1" a="1"/>
  <c r="G32" i="1" s="1"/>
  <c r="G29" i="1" a="1"/>
  <c r="G29" i="1" s="1"/>
  <c r="H26" i="1" a="1"/>
  <c r="H26" i="1" s="1"/>
  <c r="H23" i="1" a="1"/>
  <c r="H23" i="1" s="1"/>
  <c r="H20" i="1" a="1"/>
  <c r="H20" i="1" s="1"/>
  <c r="H14" i="1" a="1"/>
  <c r="H14" i="1" s="1"/>
  <c r="H6" i="1" a="1"/>
  <c r="H6" i="1" s="1"/>
  <c r="H1" i="1" a="1"/>
  <c r="H1" i="1" s="1"/>
  <c r="H29" i="1" a="1"/>
  <c r="H29" i="1" s="1"/>
  <c r="B29" i="1" a="1"/>
  <c r="B29" i="1" s="1"/>
  <c r="B26" i="1" a="1"/>
  <c r="B26" i="1" s="1"/>
  <c r="I14" i="1" a="1"/>
  <c r="I14" i="1" s="1"/>
  <c r="B4" i="1" a="1"/>
  <c r="B4" i="1" s="1"/>
  <c r="B14" i="1" s="1" a="1"/>
  <c r="D9" i="1"/>
  <c r="D15" i="1" s="1"/>
  <c r="B14" i="1" l="1"/>
  <c r="A15" i="1" s="1" a="1"/>
  <c r="A9" i="1" a="1"/>
  <c r="A9" i="1" s="1"/>
  <c r="H9" i="1" s="1" a="1"/>
  <c r="H9" i="1" s="1"/>
  <c r="H17" i="1" l="1" a="1"/>
  <c r="A15" i="1"/>
  <c r="A23" i="1" l="1"/>
  <c r="H17" i="1"/>
  <c r="I23" i="1" l="1" a="1"/>
  <c r="I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<sst xmlns="http://schemas.openxmlformats.org/spreadsheetml/2006/main" count="2" uniqueCount="2">
  <si>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Asia/Kolkata</t>
  </si>
  <si>
    <t>As Per Drik Panchang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</si>
</sst>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\ hh:mm:ss"/>
    <numFmt numFmtId="165" formatCode="dd/mm/yyyy\ hh:mm:ss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65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6252-F0F5-479E-B0ED-6FD60AF35329}">
  <sheetPr codeName="Sheet1"/>
  <dimension ref="A1:M37"/>
  <sheetViews>
    <sheetView tabSelected="1" workbookViewId="0">
      <selection activeCell="I4" sqref="I4"/>
    </sheetView>
  </sheetViews>
  <sheetFormatPr defaultRowHeight="15" x14ac:dyDescent="0.25"/>
  <cols>
    <col min="1" max="3" width="18.140625" style="2" customWidth="1"/>
    <col min="4" max="5" width="12.28515625" style="2" bestFit="1" customWidth="1"/>
    <col min="6" max="6" width="9.140625" style="2"/>
    <col min="7" max="7" width="17.42578125" style="2" bestFit="1" customWidth="1"/>
    <col min="8" max="8" width="20.28515625" style="2" bestFit="1" customWidth="1"/>
    <col min="9" max="9" width="18.42578125" style="2" bestFit="1" customWidth="1"/>
    <col min="10" max="10" width="22.28515625" style="2" bestFit="1" customWidth="1"/>
    <col min="11" max="11" width="18.28515625" style="2" bestFit="1" customWidth="1"/>
    <col min="12" max="12" width="14.42578125" style="2" bestFit="1" customWidth="1"/>
    <col min="13" max="13" width="7.28515625" style="2" bestFit="1" customWidth="1"/>
    <col min="14" max="16384" width="9.140625" style="2"/>
  </cols>
  <sheetData>
    <row r="1" spans="1:13" x14ac:dyDescent="0.25">
      <c r="A1" s="1">
        <v>42962.208333333336</v>
      </c>
      <c r="B1" s="2">
        <v>22.310696</v>
      </c>
      <c r="C1" s="2">
        <v>73.192634999999996</v>
      </c>
      <c r="D1" s="2">
        <v>5.5</v>
      </c>
      <c r="H1" s="2" t="str" cm="1">
        <f t="array" ref="H1:M2">lunar_month(_xlfn.HSTACK(A1:C1,D1))</f>
        <v>lunar_month_number</v>
      </c>
      <c r="I1" s="2" t="str">
        <v>lunar_month_name</v>
      </c>
      <c r="J1" s="2" t="str">
        <v>lunar_month_full_name</v>
      </c>
      <c r="K1" s="2" t="str">
        <v>adhika</v>
      </c>
      <c r="L1" s="2" t="str">
        <v>nija</v>
      </c>
      <c r="M1" s="2" t="str">
        <v>kshaya</v>
      </c>
    </row>
    <row r="2" spans="1:13" x14ac:dyDescent="0.25">
      <c r="H2" s="2">
        <v>10</v>
      </c>
      <c r="I2" s="2" t="str">
        <v>Shravan</v>
      </c>
      <c r="J2" s="2" t="str">
        <v>Shravan</v>
      </c>
      <c r="K2" s="2">
        <v>0</v>
      </c>
      <c r="L2" s="2">
        <v>0</v>
      </c>
      <c r="M2" s="2">
        <v>0</v>
      </c>
    </row>
    <row r="4" spans="1:13" x14ac:dyDescent="0.25">
      <c r="A4" s="1">
        <v>43508.535092592596</v>
      </c>
      <c r="B4" s="2" cm="1">
        <f t="array" ref="B4:D4">B1:D1</f>
        <v>22.310696</v>
      </c>
      <c r="C4" s="2">
        <v>73.192634999999996</v>
      </c>
      <c r="D4" s="2">
        <v>5.5</v>
      </c>
      <c r="E4" s="2" t="s">
        <v>0</v>
      </c>
      <c r="F4" s="2">
        <v>323.01519292700999</v>
      </c>
      <c r="G4" s="2">
        <v>46.235112847293202</v>
      </c>
      <c r="H4" s="2" t="e" cm="1">
        <f t="array" aca="1" ref="H4" ca="1">calc_tithi_new(A4)</f>
        <v>#NAME?</v>
      </c>
      <c r="I4" s="2" t="e" cm="1">
        <f t="array" aca="1" ref="I4" ca="1">calculate_tithi_excel_new(_xlfn.HSTACK(A4,F4:G4))</f>
        <v>#NAME?</v>
      </c>
    </row>
    <row r="6" spans="1:13" x14ac:dyDescent="0.25">
      <c r="H6" s="2" t="str" cm="1">
        <f t="array" ref="H6:L7">get_panchang(A4:D4)</f>
        <v>number</v>
      </c>
      <c r="I6" s="2" t="str">
        <v>name</v>
      </c>
      <c r="J6" s="2" t="str">
        <v>paksha</v>
      </c>
      <c r="K6" s="2" t="str">
        <v>completes_at</v>
      </c>
      <c r="L6" s="2" t="str">
        <v>left_precentage</v>
      </c>
    </row>
    <row r="7" spans="1:13" x14ac:dyDescent="0.25">
      <c r="H7" s="3">
        <v>7</v>
      </c>
      <c r="I7" s="3" t="str">
        <v>Saptami</v>
      </c>
      <c r="J7" s="3" t="str">
        <v>shukla</v>
      </c>
      <c r="K7" s="3" t="str">
        <v>12-02-2019 16:33:29</v>
      </c>
      <c r="L7" s="3">
        <v>15.11</v>
      </c>
    </row>
    <row r="9" spans="1:13" x14ac:dyDescent="0.25">
      <c r="A9" s="4" cm="1">
        <f t="array" ref="A9:C9">A4:C4</f>
        <v>43508.535092592596</v>
      </c>
      <c r="B9" s="2">
        <v>22.310696</v>
      </c>
      <c r="C9" s="2">
        <v>73.192634999999996</v>
      </c>
      <c r="D9" s="2" t="str">
        <f>E4</f>
        <v>Asia/Kolkata</v>
      </c>
      <c r="H9" s="2" t="str" cm="1">
        <f t="array" ref="H9:I11">get_sunrise_sunset(_xlfn.HSTACK(A9:B9,C9:D9))</f>
        <v>Key</v>
      </c>
      <c r="I9" s="2" t="str">
        <v>Value</v>
      </c>
    </row>
    <row r="10" spans="1:13" x14ac:dyDescent="0.25">
      <c r="H10" s="2" t="str">
        <v>sunrise</v>
      </c>
      <c r="I10" s="4">
        <v>43508.300266203703</v>
      </c>
    </row>
    <row r="11" spans="1:13" x14ac:dyDescent="0.25">
      <c r="H11" s="2" t="str">
        <v>sunset</v>
      </c>
      <c r="I11" s="4">
        <v>43508.773136574076</v>
      </c>
    </row>
    <row r="14" spans="1:13" x14ac:dyDescent="0.25">
      <c r="A14" s="1">
        <v>40615.553842592592</v>
      </c>
      <c r="B14" s="2" cm="1">
        <f t="array" ref="B14:D14">B4:D4</f>
        <v>22.310696</v>
      </c>
      <c r="C14" s="2">
        <v>73.192634999999996</v>
      </c>
      <c r="D14" s="2">
        <v>5.5</v>
      </c>
      <c r="F14" s="2">
        <v>352.22496125823699</v>
      </c>
      <c r="G14" s="2">
        <v>87.077467671465897</v>
      </c>
      <c r="H14" s="2" t="str" cm="1">
        <f t="array" ref="H14">calc_tithi_new(A14)</f>
        <v>Shukla Ashtami</v>
      </c>
      <c r="I14" s="2" t="str" cm="1">
        <f t="array" ref="I14">calculate_tithi_excel_new(_xlfn.HSTACK(A14,F14:G14))</f>
        <v>Shukla Ashtami</v>
      </c>
    </row>
    <row r="15" spans="1:13" x14ac:dyDescent="0.25">
      <c r="A15" s="1" cm="1">
        <f t="array" ref="A15:C15">A14:C14</f>
        <v>40615.553842592592</v>
      </c>
      <c r="B15" s="2">
        <v>22.310696</v>
      </c>
      <c r="C15" s="2">
        <v>73.192634999999996</v>
      </c>
      <c r="D15" s="2" t="str">
        <f>D9</f>
        <v>Asia/Kolkata</v>
      </c>
      <c r="H15" s="2" t="str" cm="1">
        <f t="array" ref="H15:L16">get_panchang(A14:D14)</f>
        <v>number</v>
      </c>
      <c r="I15" s="2" t="str">
        <v>name</v>
      </c>
      <c r="J15" s="2" t="str">
        <v>paksha</v>
      </c>
      <c r="K15" s="2" t="str">
        <v>completes_at</v>
      </c>
      <c r="L15" s="2" t="str">
        <v>left_precentage</v>
      </c>
    </row>
    <row r="16" spans="1:13" x14ac:dyDescent="0.25">
      <c r="H16" s="2">
        <v>8</v>
      </c>
      <c r="I16" s="2" t="str">
        <v>Ashtami</v>
      </c>
      <c r="J16" s="2" t="str">
        <v>shukla</v>
      </c>
      <c r="K16" s="2" t="str">
        <v>13-03-2011 18:05:36</v>
      </c>
      <c r="L16" s="2">
        <v>19.75</v>
      </c>
    </row>
    <row r="17" spans="1:13" x14ac:dyDescent="0.25">
      <c r="H17" s="2" t="str" cm="1">
        <f t="array" ref="H17:I19">get_sunrise_sunset(A15:D15)</f>
        <v>Key</v>
      </c>
      <c r="I17" s="2" t="str">
        <v>Value</v>
      </c>
    </row>
    <row r="18" spans="1:13" x14ac:dyDescent="0.25">
      <c r="H18" s="2" t="str">
        <v>sunrise</v>
      </c>
      <c r="I18" s="4">
        <v>40615.284548611111</v>
      </c>
    </row>
    <row r="19" spans="1:13" x14ac:dyDescent="0.25">
      <c r="H19" s="2" t="str">
        <v>sunset</v>
      </c>
      <c r="I19" s="4">
        <v>40615.782465277778</v>
      </c>
    </row>
    <row r="20" spans="1:13" x14ac:dyDescent="0.25">
      <c r="H20" s="2" t="str" cm="1">
        <f t="array" ref="H20:M21">lunar_month(A14:D14)</f>
        <v>lunar_month_number</v>
      </c>
      <c r="I20" s="2" t="str">
        <v>lunar_month_name</v>
      </c>
      <c r="J20" s="2" t="str">
        <v>lunar_month_full_name</v>
      </c>
      <c r="K20" s="2" t="str">
        <v>adhika</v>
      </c>
      <c r="L20" s="2" t="str">
        <v>nija</v>
      </c>
      <c r="M20" s="2" t="str">
        <v>kshaya</v>
      </c>
    </row>
    <row r="21" spans="1:13" x14ac:dyDescent="0.25">
      <c r="H21" s="2">
        <v>5</v>
      </c>
      <c r="I21" s="2" t="str">
        <v>Phagan</v>
      </c>
      <c r="J21" s="2" t="str">
        <v>Phagan</v>
      </c>
      <c r="K21" s="2">
        <v>0</v>
      </c>
      <c r="L21" s="2">
        <v>0</v>
      </c>
      <c r="M21" s="2">
        <v>0</v>
      </c>
    </row>
    <row r="23" spans="1:13" x14ac:dyDescent="0.25">
      <c r="A23" s="4">
        <f>I18</f>
        <v>40615.284548611111</v>
      </c>
      <c r="F23" s="2">
        <v>351.95866929354702</v>
      </c>
      <c r="G23" s="2">
        <v>82.718371009967598</v>
      </c>
      <c r="H23" s="2" t="str" cm="1">
        <f t="array" ref="H23">calc_tithi_new(A23)</f>
        <v>Shukla Ashtami</v>
      </c>
      <c r="I23" s="2" t="str" cm="1">
        <f t="array" ref="I23">calculate_tithi_excel_new(_xlfn.HSTACK(A23,F23:G23))</f>
        <v>Shukla Ashtami</v>
      </c>
    </row>
    <row r="26" spans="1:13" x14ac:dyDescent="0.25">
      <c r="A26" s="4">
        <v>45518.333333333336</v>
      </c>
      <c r="B26" s="2" cm="1">
        <f t="array" ref="B26:D26">_xlfn.ANCHORARRAY(B14)</f>
        <v>22.310696</v>
      </c>
      <c r="C26" s="2">
        <v>73.192634999999996</v>
      </c>
      <c r="D26" s="2">
        <v>5.5</v>
      </c>
      <c r="H26" s="2" t="str" cm="1">
        <f t="array" ref="H26:L27">get_panchang(A26:D26)</f>
        <v>number</v>
      </c>
      <c r="I26" s="2" t="str">
        <v>name</v>
      </c>
      <c r="J26" s="2" t="str">
        <v>paksha</v>
      </c>
      <c r="K26" s="2" t="str">
        <v>completes_at</v>
      </c>
      <c r="L26" s="2" t="str">
        <v>left_precentage</v>
      </c>
    </row>
    <row r="27" spans="1:13" x14ac:dyDescent="0.25">
      <c r="H27" s="2">
        <v>9</v>
      </c>
      <c r="I27" s="2" t="str">
        <v>Navami</v>
      </c>
      <c r="J27" s="2" t="str">
        <v>shukla</v>
      </c>
      <c r="K27" s="2" t="str">
        <v>14-08-2024 11:20:22</v>
      </c>
      <c r="L27" s="2">
        <v>13.42</v>
      </c>
    </row>
    <row r="29" spans="1:13" x14ac:dyDescent="0.25">
      <c r="A29" s="4">
        <v>42962.708333333336</v>
      </c>
      <c r="B29" s="2" cm="1">
        <f t="array" ref="B29:D29">_xlfn.ANCHORARRAY(B26)</f>
        <v>22.310696</v>
      </c>
      <c r="C29" s="2">
        <v>73.192634999999996</v>
      </c>
      <c r="D29" s="2">
        <v>5.5</v>
      </c>
      <c r="G29" s="2" t="str" cm="1">
        <f t="array" ref="G29">calc_tithi_new(A29)</f>
        <v>Krishna Ashtami</v>
      </c>
      <c r="H29" s="2" t="str" cm="1">
        <f t="array" ref="H29:L30">get_panchang(A29:D29)</f>
        <v>number</v>
      </c>
      <c r="I29" s="2" t="str">
        <v>name</v>
      </c>
      <c r="J29" s="2" t="str">
        <v>paksha</v>
      </c>
      <c r="K29" s="2" t="str">
        <v>completes_at</v>
      </c>
      <c r="L29" s="2" t="str">
        <v>left_precentage</v>
      </c>
    </row>
    <row r="30" spans="1:13" x14ac:dyDescent="0.25">
      <c r="H30" s="2">
        <v>23</v>
      </c>
      <c r="I30" s="2" t="str">
        <v>Ashtami</v>
      </c>
      <c r="J30" s="2" t="str">
        <v>krishna</v>
      </c>
      <c r="K30" s="2" t="str">
        <v>15-08-2017 17:09:48</v>
      </c>
      <c r="L30" s="2">
        <v>0.77</v>
      </c>
    </row>
    <row r="31" spans="1:13" x14ac:dyDescent="0.25">
      <c r="H31" s="2" t="s">
        <v>1</v>
      </c>
      <c r="K31" s="4">
        <v>42962.736111111109</v>
      </c>
    </row>
    <row r="32" spans="1:13" x14ac:dyDescent="0.25">
      <c r="A32" s="4">
        <v>42962.75</v>
      </c>
      <c r="G32" s="2" t="str" cm="1">
        <f t="array" ref="G32">calc_tithi_new(A32)</f>
        <v>Krishna Ashtami</v>
      </c>
    </row>
    <row r="33" spans="1:8" x14ac:dyDescent="0.25">
      <c r="A33" s="4">
        <v>42962.770833333336</v>
      </c>
      <c r="G33" s="2" t="str" cm="1">
        <f t="array" ref="G33">calc_tithi_new(A33)</f>
        <v>Krishna Navami</v>
      </c>
    </row>
    <row r="35" spans="1:8" x14ac:dyDescent="0.25">
      <c r="A35" s="4">
        <v>41165.177083333336</v>
      </c>
      <c r="E35" s="2">
        <v>170.38040145190499</v>
      </c>
      <c r="F35" s="2">
        <v>131.38750772314901</v>
      </c>
      <c r="G35" s="2" t="str" cm="1">
        <f t="array" ref="G35">calc_tithi_new(A35)</f>
        <v>Krishna Dwadashi</v>
      </c>
      <c r="H35" s="2" t="str" cm="1">
        <f t="array" ref="H35">calculate_tithi_excel_new(_xlfn.HSTACK(A35,E35:F35))</f>
        <v>Krishna Dwadashi</v>
      </c>
    </row>
    <row r="37" spans="1:8" x14ac:dyDescent="0.25">
      <c r="A37" s="4">
        <v>45520.291666666664</v>
      </c>
      <c r="E37" s="2">
        <v>143.34939518250201</v>
      </c>
      <c r="F37" s="2">
        <v>273.45084098687101</v>
      </c>
      <c r="G37" s="2" t="e" cm="1">
        <f t="array" aca="1" ref="G37" ca="1">calc_tithi_new(A37)</f>
        <v>#NAME?</v>
      </c>
      <c r="H37" s="2" t="str" cm="1">
        <f t="array" ref="H37">calculate_tithi_excel_new(_xlfn.HSTACK(A37,E37:F37))</f>
        <v>Shukla Ekadashi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2024-08-12T09:01:06Z</dcterms:created>
  <dcterms:modified xsi:type="dcterms:W3CDTF">2024-08-18T17:14:25Z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2024-08-12T09:05:15Z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a659fbea-aed1-451b-8a69-50ea5db06cf8</vt:lpwstr>
  </property>
  <property fmtid="{D5CDD505-2E9C-101B-9397-08002B2CF9AE}" pid="8" name="MSIP_Label_defa4170-0d19-0005-0004-bc88714345d2_ContentBits">
    <vt:lpwstr>0</vt:lpwstr>
  </property>
</Properties>
</file>