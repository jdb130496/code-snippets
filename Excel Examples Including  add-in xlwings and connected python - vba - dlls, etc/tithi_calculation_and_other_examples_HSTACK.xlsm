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53" documentId="8_{5882DDF7-4153-4AEB-BF22-4FE9BD9D19EB}" xr6:coauthVersionLast="47" xr6:coauthVersionMax="47" xr10:uidLastSave="{946121A3-E81F-48AB-938D-CA69D54FA88F}"/>
  <bookViews>
    <workbookView xWindow="-120" yWindow="-120" windowWidth="20730" windowHeight="11040" xr2:uid="{F40B0923-5A07-4668-90B6-E66849F6ECF4}"/>
  </bookViews>
  <sheets>
    <sheet name="Sheet1" sheetId="1" r:id="rId1"/>
  </sheets>
  <functionGroups builtInGroupCount="19">
    <functionGroup name="xlwings"/>
  </functionGroups>
  <definedNames>
    <definedName name="_xleta.ROU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oncontr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" l="1" a="1"/>
  <c r="M19" i="1" s="1"/>
  <c r="L19" i="1"/>
  <c r="K19" i="1"/>
  <c r="I19" i="1"/>
  <c r="M17" i="1" a="1"/>
  <c r="M17" i="1" s="1"/>
  <c r="M16" i="1" a="1"/>
  <c r="M16" i="1" s="1"/>
  <c r="M15" i="1" a="1"/>
  <c r="M15" i="1" s="1"/>
  <c r="M14" i="1" a="1"/>
  <c r="M14" i="1" s="1"/>
  <c r="M18" i="1" a="1"/>
  <c r="M18" i="1" s="1"/>
  <c r="I18" i="1"/>
  <c r="K18" i="1" s="1"/>
  <c r="I17" i="1"/>
  <c r="K17" i="1" s="1"/>
  <c r="L17" i="1" s="1"/>
  <c r="I16" i="1"/>
  <c r="K16" i="1" s="1"/>
  <c r="L16" i="1" s="1"/>
  <c r="I15" i="1"/>
  <c r="K15" i="1" s="1"/>
  <c r="L15" i="1" s="1"/>
  <c r="M4" i="1" a="1"/>
  <c r="M4" i="1" s="1"/>
  <c r="I14" i="1"/>
  <c r="K14" i="1" s="1"/>
  <c r="L14" i="1" s="1"/>
  <c r="M9" i="1" a="1"/>
  <c r="M9" i="1" s="1"/>
  <c r="G9" i="1"/>
  <c r="H9" i="1"/>
  <c r="I9" i="1" s="1"/>
  <c r="K9" i="1" s="1"/>
  <c r="L9" i="1" s="1"/>
  <c r="M8" i="1" a="1"/>
  <c r="M8" i="1" s="1"/>
  <c r="H8" i="1"/>
  <c r="G8" i="1"/>
  <c r="M7" i="1" a="1"/>
  <c r="M7" i="1" s="1"/>
  <c r="H7" i="1"/>
  <c r="G7" i="1"/>
  <c r="M6" i="1" a="1"/>
  <c r="M6" i="1" s="1"/>
  <c r="H6" i="1"/>
  <c r="G6" i="1"/>
  <c r="H5" i="1"/>
  <c r="G5" i="1"/>
  <c r="M5" i="1" a="1"/>
  <c r="M5" i="1" s="1"/>
  <c r="H4" i="1"/>
  <c r="G4" i="1"/>
  <c r="I6" i="1" l="1"/>
  <c r="K6" i="1" s="1"/>
  <c r="L6" i="1" s="1"/>
  <c r="I5" i="1"/>
  <c r="K5" i="1" s="1"/>
  <c r="L5" i="1" s="1"/>
  <c r="I8" i="1"/>
  <c r="K8" i="1" s="1"/>
  <c r="L8" i="1" s="1"/>
  <c r="I7" i="1"/>
  <c r="K7" i="1" s="1"/>
  <c r="L7" i="1" s="1"/>
  <c r="L18" i="1"/>
  <c r="M21" i="1"/>
  <c r="I4" i="1"/>
  <c r="K4" i="1" s="1"/>
  <c r="L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<sst xmlns="http://schemas.openxmlformats.org/spreadsheetml/2006/main" count="17" uniqueCount="13">
  <si>
    <t>Sun</t>
  </si>
  <si>
    <t>Moon</t>
  </si>
  <si>
    <t>Degree</t>
  </si>
  <si>
    <t>Minutes</t>
  </si>
  <si>
    <t>Decimal Degree</t>
  </si>
  <si>
    <t>Difference</t>
  </si>
  <si>
    <t>Add</t>
  </si>
  <si>
    <t>Date</t>
  </si>
  <si>
    <t>Time</t>
  </si>
  <si>
    <t>Tithi Number</t>
  </si>
  <si>
    <t>Tithi</t>
  </si>
  <si>
    <t>&lt;&lt;&lt; Testing of calculations on non contiguous ranges</t>
  </si>
  <si>
    <t>New Method: Sun and Moon longitudes directly plugged in from Stellarium, in decimals instead of conversion from degree / minutes as above.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</si>
</sst>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" fontId="0" fillId="0" borderId="0" xfId="0" applyNumberFormat="1"/>
    <xf numFmtId="14" fontId="0" fillId="0" borderId="0" xfId="0" applyNumberFormat="1"/>
    <xf numFmtId="21" fontId="0" fillId="0" borderId="0" xfId="0" applyNumberFormat="1"/>
    <xf numFmtId="1" fontId="0" fillId="0" borderId="0" xfId="0" applyNumberFormat="1"/>
    <xf numFmtId="21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90443-C539-4983-9DC9-C9C3F2868498}">
  <sheetPr codeName="Sheet1"/>
  <dimension ref="A1:N21"/>
  <sheetViews>
    <sheetView tabSelected="1" topLeftCell="A2" workbookViewId="0">
      <selection activeCell="M19" sqref="M19"/>
    </sheetView>
  </sheetViews>
  <sheetFormatPr defaultRowHeight="15" x14ac:dyDescent="0.25"/>
  <cols>
    <col min="1" max="1" width="10.42578125" customWidth="1"/>
    <col min="2" max="2" width="10.42578125" bestFit="1" customWidth="1"/>
    <col min="6" max="6" width="10.42578125" bestFit="1" customWidth="1"/>
    <col min="12" max="12" width="12.42578125" bestFit="1" customWidth="1"/>
  </cols>
  <sheetData>
    <row r="1" spans="1:13" x14ac:dyDescent="0.25">
      <c r="A1" t="s">
        <v>8</v>
      </c>
      <c r="B1" t="s">
        <v>7</v>
      </c>
      <c r="C1" t="s">
        <v>0</v>
      </c>
      <c r="E1" t="s">
        <v>1</v>
      </c>
      <c r="G1" t="s">
        <v>4</v>
      </c>
      <c r="I1" t="s">
        <v>5</v>
      </c>
      <c r="J1" t="s">
        <v>6</v>
      </c>
      <c r="L1" t="s">
        <v>9</v>
      </c>
      <c r="M1" t="s">
        <v>10</v>
      </c>
    </row>
    <row r="2" spans="1:13" x14ac:dyDescent="0.25">
      <c r="C2" t="s">
        <v>2</v>
      </c>
      <c r="D2" t="s">
        <v>3</v>
      </c>
      <c r="E2" t="s">
        <v>2</v>
      </c>
      <c r="F2" t="s">
        <v>3</v>
      </c>
      <c r="G2" t="s">
        <v>0</v>
      </c>
      <c r="H2" t="s">
        <v>1</v>
      </c>
    </row>
    <row r="4" spans="1:13" x14ac:dyDescent="0.25">
      <c r="A4" s="3">
        <v>1.0393518518518519E-2</v>
      </c>
      <c r="B4" s="2">
        <v>43369</v>
      </c>
      <c r="C4">
        <v>182</v>
      </c>
      <c r="D4">
        <v>23</v>
      </c>
      <c r="E4">
        <v>10</v>
      </c>
      <c r="F4">
        <v>8</v>
      </c>
      <c r="G4" s="1">
        <f t="shared" ref="G4:G9" si="0">C4+(D4/60)</f>
        <v>182.38333333333333</v>
      </c>
      <c r="H4">
        <f t="shared" ref="H4:H9" si="1">E4+(F4/60)</f>
        <v>10.133333333333333</v>
      </c>
      <c r="I4" s="1">
        <f t="shared" ref="I4:I19" si="2">H4-G4</f>
        <v>-172.25</v>
      </c>
      <c r="J4">
        <v>360</v>
      </c>
      <c r="K4" s="1">
        <f t="shared" ref="K4:K19" si="3">IF(I4&lt;0,I4+J4,I4)</f>
        <v>187.75</v>
      </c>
      <c r="L4" s="4">
        <f>QUOTIENT(K4,12)+1</f>
        <v>16</v>
      </c>
      <c r="M4" t="str" cm="1">
        <f t="array" ref="M4">calculate_tithi_excel(B4:F4)</f>
        <v>Krishna Pratipada</v>
      </c>
    </row>
    <row r="5" spans="1:13" x14ac:dyDescent="0.25">
      <c r="A5" s="3">
        <v>1.0393518518518519E-2</v>
      </c>
      <c r="B5" s="2">
        <v>43370</v>
      </c>
      <c r="C5">
        <v>183</v>
      </c>
      <c r="D5">
        <v>22</v>
      </c>
      <c r="E5">
        <v>23</v>
      </c>
      <c r="F5">
        <v>10</v>
      </c>
      <c r="G5" s="1">
        <f t="shared" si="0"/>
        <v>183.36666666666667</v>
      </c>
      <c r="H5">
        <f t="shared" si="1"/>
        <v>23.166666666666668</v>
      </c>
      <c r="I5" s="1">
        <f t="shared" si="2"/>
        <v>-160.20000000000002</v>
      </c>
      <c r="J5">
        <v>360</v>
      </c>
      <c r="K5" s="1">
        <f t="shared" si="3"/>
        <v>199.79999999999998</v>
      </c>
      <c r="L5" s="4">
        <f t="shared" ref="L5:L19" si="4">QUOTIENT(K5,12)+1</f>
        <v>17</v>
      </c>
      <c r="M5" t="str" cm="1">
        <f t="array" ref="M5">calculate_tithi_excel(B5:F5)</f>
        <v>Krishna Dwitiya</v>
      </c>
    </row>
    <row r="6" spans="1:13" x14ac:dyDescent="0.25">
      <c r="A6" s="3">
        <v>1.0393518518518519E-2</v>
      </c>
      <c r="B6" s="2">
        <v>43371</v>
      </c>
      <c r="C6">
        <v>184</v>
      </c>
      <c r="D6">
        <v>20</v>
      </c>
      <c r="E6">
        <v>36</v>
      </c>
      <c r="F6">
        <v>25</v>
      </c>
      <c r="G6" s="1">
        <f t="shared" si="0"/>
        <v>184.33333333333334</v>
      </c>
      <c r="H6">
        <f t="shared" si="1"/>
        <v>36.416666666666664</v>
      </c>
      <c r="I6" s="1">
        <f t="shared" si="2"/>
        <v>-147.91666666666669</v>
      </c>
      <c r="J6">
        <v>360</v>
      </c>
      <c r="K6" s="1">
        <f t="shared" si="3"/>
        <v>212.08333333333331</v>
      </c>
      <c r="L6" s="4">
        <f t="shared" si="4"/>
        <v>18</v>
      </c>
      <c r="M6" t="str" cm="1">
        <f t="array" ref="M6">calculate_tithi_excel(B6:F6)</f>
        <v>Krishna Tritiya</v>
      </c>
    </row>
    <row r="7" spans="1:13" x14ac:dyDescent="0.25">
      <c r="A7" s="3">
        <v>0.79166666666666663</v>
      </c>
      <c r="B7" s="2">
        <v>45487</v>
      </c>
      <c r="C7">
        <v>112</v>
      </c>
      <c r="D7">
        <v>15</v>
      </c>
      <c r="E7">
        <v>209</v>
      </c>
      <c r="F7">
        <v>7</v>
      </c>
      <c r="G7" s="1">
        <f t="shared" si="0"/>
        <v>112.25</v>
      </c>
      <c r="H7">
        <f t="shared" si="1"/>
        <v>209.11666666666667</v>
      </c>
      <c r="I7" s="1">
        <f t="shared" si="2"/>
        <v>96.866666666666674</v>
      </c>
      <c r="J7">
        <v>360</v>
      </c>
      <c r="K7" s="1">
        <f t="shared" si="3"/>
        <v>96.866666666666674</v>
      </c>
      <c r="L7" s="4">
        <f t="shared" si="4"/>
        <v>9</v>
      </c>
      <c r="M7" t="str" cm="1">
        <f t="array" ref="M7">calculate_tithi_excel(B7:F7)</f>
        <v>Shukla Navami</v>
      </c>
    </row>
    <row r="8" spans="1:13" x14ac:dyDescent="0.25">
      <c r="A8" s="3">
        <v>0.625</v>
      </c>
      <c r="B8" s="2">
        <v>45487</v>
      </c>
      <c r="C8">
        <v>112</v>
      </c>
      <c r="D8">
        <v>5</v>
      </c>
      <c r="E8">
        <v>207</v>
      </c>
      <c r="F8">
        <v>47</v>
      </c>
      <c r="G8" s="1">
        <f t="shared" si="0"/>
        <v>112.08333333333333</v>
      </c>
      <c r="H8">
        <f t="shared" si="1"/>
        <v>207.78333333333333</v>
      </c>
      <c r="I8" s="1">
        <f t="shared" si="2"/>
        <v>95.7</v>
      </c>
      <c r="J8">
        <v>360</v>
      </c>
      <c r="K8" s="1">
        <f t="shared" si="3"/>
        <v>95.7</v>
      </c>
      <c r="L8" s="4">
        <f t="shared" si="4"/>
        <v>8</v>
      </c>
      <c r="M8" t="str" cm="1">
        <f t="array" ref="M8">calculate_tithi_excel(B8:F8)</f>
        <v>Shukla Ashtami</v>
      </c>
    </row>
    <row r="9" spans="1:13" x14ac:dyDescent="0.25">
      <c r="A9" s="3">
        <v>0.70833333333333337</v>
      </c>
      <c r="B9" s="2">
        <v>45487</v>
      </c>
      <c r="C9">
        <v>112</v>
      </c>
      <c r="D9">
        <v>10</v>
      </c>
      <c r="E9">
        <v>208</v>
      </c>
      <c r="F9">
        <v>31</v>
      </c>
      <c r="G9" s="1">
        <f t="shared" si="0"/>
        <v>112.16666666666667</v>
      </c>
      <c r="H9">
        <f t="shared" si="1"/>
        <v>208.51666666666668</v>
      </c>
      <c r="I9" s="1">
        <f t="shared" si="2"/>
        <v>96.350000000000009</v>
      </c>
      <c r="J9">
        <v>360</v>
      </c>
      <c r="K9" s="1">
        <f t="shared" si="3"/>
        <v>96.350000000000009</v>
      </c>
      <c r="L9" s="4">
        <f t="shared" si="4"/>
        <v>9</v>
      </c>
      <c r="M9" t="str" cm="1">
        <f t="array" ref="M9">calculate_tithi_excel(B9:F9)</f>
        <v>Shukla Navami</v>
      </c>
    </row>
    <row r="10" spans="1:13" x14ac:dyDescent="0.25">
      <c r="A10" s="3"/>
      <c r="B10" s="2"/>
      <c r="G10" s="1"/>
      <c r="I10" s="1"/>
      <c r="K10" s="1"/>
      <c r="L10" s="4"/>
    </row>
    <row r="11" spans="1:13" x14ac:dyDescent="0.25">
      <c r="A11" s="3"/>
      <c r="B11" s="2"/>
      <c r="G11" s="1"/>
      <c r="I11" s="1"/>
      <c r="K11" s="1"/>
      <c r="L11" s="4"/>
    </row>
    <row r="12" spans="1:13" x14ac:dyDescent="0.25">
      <c r="A12" s="3"/>
      <c r="B12" s="2"/>
      <c r="G12" s="1"/>
      <c r="I12" s="1"/>
      <c r="K12" s="1"/>
      <c r="L12" s="4"/>
    </row>
    <row r="13" spans="1:13" x14ac:dyDescent="0.25">
      <c r="A13" s="5" t="s">
        <v>12</v>
      </c>
      <c r="B13" s="2"/>
      <c r="G13" s="1"/>
      <c r="I13" s="1"/>
      <c r="K13" s="1"/>
      <c r="L13" s="4"/>
    </row>
    <row r="14" spans="1:13" x14ac:dyDescent="0.25">
      <c r="A14" s="3">
        <v>0.28333333333333333</v>
      </c>
      <c r="B14" s="2">
        <v>45243</v>
      </c>
      <c r="F14" s="2"/>
      <c r="G14">
        <v>229.77809999999999</v>
      </c>
      <c r="H14">
        <v>222.4699</v>
      </c>
      <c r="I14" s="1">
        <f t="shared" si="2"/>
        <v>-7.3081999999999994</v>
      </c>
      <c r="J14">
        <v>360</v>
      </c>
      <c r="K14" s="1">
        <f t="shared" si="3"/>
        <v>352.6918</v>
      </c>
      <c r="L14" s="4">
        <f t="shared" si="4"/>
        <v>30</v>
      </c>
      <c r="M14" t="str" cm="1">
        <f t="array" ref="M14">calculate_tithi_excel_new(_xlfn.HSTACK(B14,G14,H14))</f>
        <v>Krishna Amavasya</v>
      </c>
    </row>
    <row r="15" spans="1:13" x14ac:dyDescent="0.25">
      <c r="A15" s="3">
        <v>0.41666666666666669</v>
      </c>
      <c r="B15" s="2">
        <v>45243</v>
      </c>
      <c r="G15">
        <v>230.1944</v>
      </c>
      <c r="H15">
        <v>228.32900000000001</v>
      </c>
      <c r="I15" s="1">
        <f t="shared" si="2"/>
        <v>-1.865399999999994</v>
      </c>
      <c r="J15">
        <v>360</v>
      </c>
      <c r="K15" s="1">
        <f t="shared" si="3"/>
        <v>358.13459999999998</v>
      </c>
      <c r="L15" s="4">
        <f t="shared" si="4"/>
        <v>30</v>
      </c>
      <c r="M15" t="str" cm="1">
        <f t="array" ref="M15">calculate_tithi_excel_new(_xlfn.HSTACK(B15,G15,H15))</f>
        <v>Krishna Amavasya</v>
      </c>
    </row>
    <row r="16" spans="1:13" x14ac:dyDescent="0.25">
      <c r="A16" s="3">
        <v>0.60416666666666663</v>
      </c>
      <c r="B16" s="2">
        <v>45243</v>
      </c>
      <c r="G16">
        <v>230.38069999999999</v>
      </c>
      <c r="H16">
        <v>229.84829999999999</v>
      </c>
      <c r="I16" s="1">
        <f t="shared" si="2"/>
        <v>-0.53239999999999554</v>
      </c>
      <c r="J16">
        <v>360</v>
      </c>
      <c r="K16" s="1">
        <f t="shared" si="3"/>
        <v>359.4676</v>
      </c>
      <c r="L16" s="4">
        <f t="shared" si="4"/>
        <v>30</v>
      </c>
      <c r="M16" t="str" cm="1">
        <f t="array" ref="M16">calculate_tithi_excel_new(_xlfn.HSTACK(B16,G16,H16))</f>
        <v>Krishna Amavasya</v>
      </c>
    </row>
    <row r="17" spans="1:14" x14ac:dyDescent="0.25">
      <c r="A17" s="3">
        <v>0.64583333333333337</v>
      </c>
      <c r="B17" s="2">
        <v>45243</v>
      </c>
      <c r="G17">
        <v>230.4221</v>
      </c>
      <c r="H17">
        <v>230.21379999999999</v>
      </c>
      <c r="I17" s="1">
        <f t="shared" si="2"/>
        <v>-0.20830000000000837</v>
      </c>
      <c r="J17">
        <v>360</v>
      </c>
      <c r="K17" s="1">
        <f t="shared" si="3"/>
        <v>359.79169999999999</v>
      </c>
      <c r="L17" s="4">
        <f t="shared" si="4"/>
        <v>30</v>
      </c>
      <c r="M17" t="str" cm="1">
        <f t="array" ref="M17">calculate_tithi_excel_new(_xlfn.HSTACK(B17,G17,H17))</f>
        <v>Krishna Amavasya</v>
      </c>
    </row>
    <row r="18" spans="1:14" x14ac:dyDescent="0.25">
      <c r="A18" s="3">
        <v>0.70833333333333337</v>
      </c>
      <c r="B18" s="2">
        <v>45243</v>
      </c>
      <c r="G18">
        <v>230.4845</v>
      </c>
      <c r="H18">
        <v>230.83580000000001</v>
      </c>
      <c r="I18" s="1">
        <f t="shared" si="2"/>
        <v>0.35130000000000905</v>
      </c>
      <c r="J18">
        <v>360</v>
      </c>
      <c r="K18" s="1">
        <f t="shared" si="3"/>
        <v>0.35130000000000905</v>
      </c>
      <c r="L18" s="4">
        <f t="shared" si="4"/>
        <v>1</v>
      </c>
      <c r="M18" t="str" cm="1">
        <f t="array" ref="M18">calculate_tithi_excel_new(_xlfn.HSTACK(B18,G18,H18))</f>
        <v>Shukla Pratipada</v>
      </c>
    </row>
    <row r="19" spans="1:14" x14ac:dyDescent="0.25">
      <c r="A19" s="3">
        <v>0.42060185185185184</v>
      </c>
      <c r="B19" s="2">
        <v>45323</v>
      </c>
      <c r="G19">
        <v>311.45846621214002</v>
      </c>
      <c r="H19">
        <v>201.03625967265299</v>
      </c>
      <c r="I19" s="1">
        <f t="shared" si="2"/>
        <v>-110.42220653948704</v>
      </c>
      <c r="J19">
        <v>360</v>
      </c>
      <c r="K19" s="1">
        <f t="shared" si="3"/>
        <v>249.57779346051296</v>
      </c>
      <c r="L19" s="4">
        <f t="shared" si="4"/>
        <v>21</v>
      </c>
      <c r="M19" t="str" cm="1">
        <f t="array" ref="M19">calculate_tithi_excel_new(_xlfn.HSTACK(B19,G19,H19))</f>
        <v>Krishna Shashthi</v>
      </c>
    </row>
    <row r="20" spans="1:14" x14ac:dyDescent="0.25">
      <c r="A20" s="3"/>
      <c r="B20" s="2"/>
      <c r="I20" s="1"/>
      <c r="K20" s="1"/>
      <c r="L20" s="4"/>
    </row>
    <row r="21" spans="1:14" x14ac:dyDescent="0.25">
      <c r="M21">
        <f>SUM(_xlfn.HSTACK(G18:H18,J18:K18,L18))</f>
        <v>822.67160000000001</v>
      </c>
      <c r="N2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2024-08-05T04:47:00Z</dcterms:created>
  <dcterms:modified xsi:type="dcterms:W3CDTF">2024-08-09T07:56:01Z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2024-08-06T07:15:46Z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597f5b99-7f94-4cbc-95bd-b34eec9641a9</vt:lpwstr>
  </property>
  <property fmtid="{D5CDD505-2E9C-101B-9397-08002B2CF9AE}" pid="8" name="MSIP_Label_defa4170-0d19-0005-0004-bc88714345d2_ContentBits">
    <vt:lpwstr>0</vt:lpwstr>
  </property>
</Properties>
</file>