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1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796" documentId="8_{5882DDF7-4153-4AEB-BF22-4FE9BD9D19EB}" xr6:coauthVersionLast="47" xr6:coauthVersionMax="47" xr10:uidLastSave="{78AA6D24-B23A-4CC8-9186-2EC46DC98C71}"/>
  <bookViews>
    <workbookView xWindow="-120" yWindow="-120" windowWidth="20730" windowHeight="11040" xr2:uid="{F40B0923-5A07-4668-90B6-E66849F6ECF4}"/>
  </bookViews>
  <sheets>
    <sheet name="Sheet1" sheetId="1" r:id="rId1"/>
    <sheet name="Sheet2" sheetId="2" r:id="rId2"/>
  </sheets>
  <functionGroups builtInGroupCount="19">
    <functionGroup name="xlwings"/>
  </functionGroups>
  <definedNames>
    <definedName name="_xleta.ROUND" hidden="1" xlm="1">#NAME?</definedName>
    <definedName name="_xleta.XLOOKUP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_tithi_new">
          <x14:argumentDescriptions count="1">
            <x14:argumentDescription index="0">Positional argument 1</x14:argumentDescription>
          </x14:argumentDescriptions>
        </x14:definedName>
        <x14:definedName name="calculate_tithi_consolidated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oncontr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2" i="1" l="1" a="1"/>
  <c r="M32" i="1" s="1"/>
  <c r="M21" i="1" a="1"/>
  <c r="M21" i="1" s="1"/>
  <c r="M30" i="1" a="1"/>
  <c r="M30" i="1" s="1"/>
  <c r="M26" i="1" a="1"/>
  <c r="M26" i="1" s="1"/>
  <c r="M24" i="1" a="1"/>
  <c r="M24" i="1" s="1"/>
  <c r="M1" i="2" a="1"/>
  <c r="M1" i="2" s="1"/>
  <c r="N22" i="1" a="1"/>
  <c r="N22" i="1" s="1"/>
  <c r="I30" i="1"/>
  <c r="K30" i="1" s="1"/>
  <c r="L30" i="1" s="1"/>
  <c r="C26" i="1"/>
  <c r="B26" i="1"/>
  <c r="A26" i="1"/>
  <c r="I21" i="1"/>
  <c r="K21" i="1" s="1"/>
  <c r="L21" i="1" s="1"/>
  <c r="N21" i="1" a="1"/>
  <c r="N21" i="1" s="1"/>
  <c r="I22" i="1"/>
  <c r="K22" i="1" s="1"/>
  <c r="L22" i="1" s="1"/>
  <c r="M22" i="1" a="1"/>
  <c r="M22" i="1" s="1"/>
  <c r="M4" i="1" a="1"/>
  <c r="M4" i="1" s="1"/>
  <c r="M14" i="1" a="1"/>
  <c r="M14" i="1" s="1"/>
  <c r="M20" i="1" a="1"/>
  <c r="M20" i="1" s="1"/>
  <c r="I20" i="1"/>
  <c r="K20" i="1" s="1"/>
  <c r="L20" i="1" s="1"/>
  <c r="M19" i="1" a="1"/>
  <c r="M19" i="1" s="1"/>
  <c r="I19" i="1"/>
  <c r="K19" i="1" s="1"/>
  <c r="L19" i="1" s="1"/>
  <c r="M17" i="1" a="1"/>
  <c r="M17" i="1" s="1"/>
  <c r="M16" i="1" a="1"/>
  <c r="M16" i="1" s="1"/>
  <c r="M15" i="1" a="1"/>
  <c r="M15" i="1" s="1"/>
  <c r="M18" i="1" a="1"/>
  <c r="M18" i="1" s="1"/>
  <c r="I18" i="1"/>
  <c r="K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M9" i="1" a="1"/>
  <c r="M9" i="1" s="1"/>
  <c r="G9" i="1"/>
  <c r="H9" i="1"/>
  <c r="M8" i="1" a="1"/>
  <c r="M8" i="1" s="1"/>
  <c r="H8" i="1"/>
  <c r="G8" i="1"/>
  <c r="M7" i="1" a="1"/>
  <c r="M7" i="1" s="1"/>
  <c r="H7" i="1"/>
  <c r="G7" i="1"/>
  <c r="M6" i="1" a="1"/>
  <c r="M6" i="1" s="1"/>
  <c r="H6" i="1"/>
  <c r="G6" i="1"/>
  <c r="H5" i="1"/>
  <c r="G5" i="1"/>
  <c r="M5" i="1" a="1"/>
  <c r="M5" i="1" s="1"/>
  <c r="H4" i="1"/>
  <c r="G4" i="1"/>
  <c r="I9" i="1" l="1"/>
  <c r="K9" i="1" s="1"/>
  <c r="L9" i="1" s="1"/>
  <c r="A30" i="1"/>
  <c r="I6" i="1"/>
  <c r="K6" i="1" s="1"/>
  <c r="L6" i="1" s="1"/>
  <c r="I5" i="1"/>
  <c r="K5" i="1" s="1"/>
  <c r="L5" i="1" s="1"/>
  <c r="I8" i="1"/>
  <c r="K8" i="1" s="1"/>
  <c r="L8" i="1" s="1"/>
  <c r="I7" i="1"/>
  <c r="K7" i="1" s="1"/>
  <c r="L7" i="1" s="1"/>
  <c r="L18" i="1"/>
  <c r="M35" i="1"/>
  <c r="I4" i="1"/>
  <c r="K4" i="1" s="1"/>
  <c r="L4" i="1" s="1"/>
  <c r="N30" i="1" l="1" a="1"/>
  <c r="N3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<sst xmlns="http://schemas.openxmlformats.org/spreadsheetml/2006/main" count="85" uniqueCount="44">
  <si>
    <t>Sun</t>
  </si>
  <si>
    <t>Moon</t>
  </si>
  <si>
    <t>Degree</t>
  </si>
  <si>
    <t>Minutes</t>
  </si>
  <si>
    <t>Decimal Degree</t>
  </si>
  <si>
    <t>Difference</t>
  </si>
  <si>
    <t>Add</t>
  </si>
  <si>
    <t>Date</t>
  </si>
  <si>
    <t>Time</t>
  </si>
  <si>
    <t>Tithi Number</t>
  </si>
  <si>
    <t>Tithi</t>
  </si>
  <si>
    <t>&lt;&lt;&lt; Testing of calculations on non contiguous ranges</t>
  </si>
  <si>
    <t>New Method: Sun and Moon longitudes directly plugged in from Stellarium (Used , in decimals instead of conversion from degree / minutes as above.</t>
  </si>
  <si>
    <t>&lt;&lt;&lt; Directly running javascript by changing date parameter from python</t>
  </si>
  <si>
    <t>Check with old function</t>
  </si>
  <si>
    <t>Asia/Kolkata</t>
  </si>
  <si>
    <t>lunar_month_number</t>
  </si>
  <si>
    <t>lunar_month_name</t>
  </si>
  <si>
    <t>Pushyam</t>
  </si>
  <si>
    <t>Maagham</t>
  </si>
  <si>
    <t>Phalgunam</t>
  </si>
  <si>
    <t>Chaitram</t>
  </si>
  <si>
    <t>Vaisakham</t>
  </si>
  <si>
    <t>Jyeshtam</t>
  </si>
  <si>
    <t>Ashadam</t>
  </si>
  <si>
    <t>Sravanam</t>
  </si>
  <si>
    <t>Bhadrapadam</t>
  </si>
  <si>
    <t>Ashweeyujam</t>
  </si>
  <si>
    <t>Karthikam</t>
  </si>
  <si>
    <t>Maargasiram</t>
  </si>
  <si>
    <t>Original</t>
  </si>
  <si>
    <t>Replaced</t>
  </si>
  <si>
    <t>Paush</t>
  </si>
  <si>
    <t>Maha</t>
  </si>
  <si>
    <t>Phagan</t>
  </si>
  <si>
    <t>Chitra</t>
  </si>
  <si>
    <t>Vaishakh</t>
  </si>
  <si>
    <t>Jeth</t>
  </si>
  <si>
    <t>Ashadh</t>
  </si>
  <si>
    <t>Shravan</t>
  </si>
  <si>
    <t>Bhadarvo</t>
  </si>
  <si>
    <t>Aaso</t>
  </si>
  <si>
    <t>Kartak</t>
  </si>
  <si>
    <t>Magshar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</si>
</sst>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dd/mm/yyyy\ hh:mm:ss"/>
    <numFmt numFmtId="166" formatCode="dd\/mm\/yyyy\ hh:mm:ss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14" fontId="0" fillId="0" borderId="0" xfId="0" applyNumberFormat="1"/>
    <xf numFmtId="21" fontId="0" fillId="0" borderId="0" xfId="0" applyNumberFormat="1"/>
    <xf numFmtId="1" fontId="0" fillId="0" borderId="0" xfId="0" applyNumberFormat="1"/>
    <xf numFmtId="21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0443-C539-4983-9DC9-C9C3F2868498}">
  <sheetPr codeName="Sheet1"/>
  <dimension ref="A1:R80"/>
  <sheetViews>
    <sheetView tabSelected="1" workbookViewId="0">
      <selection activeCell="M1" sqref="M1"/>
    </sheetView>
  </sheetViews>
  <sheetFormatPr defaultRowHeight="15" x14ac:dyDescent="0.25"/>
  <cols>
    <col min="1" max="1" width="18.85546875" customWidth="1"/>
    <col min="2" max="2" width="18.28515625" bestFit="1" customWidth="1"/>
    <col min="6" max="6" width="10.42578125" bestFit="1" customWidth="1"/>
    <col min="7" max="8" width="9.5703125" bestFit="1" customWidth="1"/>
    <col min="12" max="12" width="12.42578125" bestFit="1" customWidth="1"/>
    <col min="13" max="13" width="20.28515625" bestFit="1" customWidth="1"/>
    <col min="14" max="14" width="20.5703125" customWidth="1"/>
    <col min="15" max="15" width="25.5703125" customWidth="1"/>
    <col min="16" max="16" width="19.7109375" customWidth="1"/>
    <col min="17" max="18" width="17.140625" customWidth="1"/>
  </cols>
  <sheetData>
    <row r="1" spans="1:13" x14ac:dyDescent="0.25">
      <c r="A1" t="s">
        <v>8</v>
      </c>
      <c r="B1" t="s">
        <v>7</v>
      </c>
      <c r="C1" t="s">
        <v>0</v>
      </c>
      <c r="E1" t="s">
        <v>1</v>
      </c>
      <c r="G1" t="s">
        <v>4</v>
      </c>
      <c r="I1" t="s">
        <v>5</v>
      </c>
      <c r="J1" t="s">
        <v>6</v>
      </c>
      <c r="L1" t="s">
        <v>9</v>
      </c>
      <c r="M1" t="s">
        <v>10</v>
      </c>
    </row>
    <row r="2" spans="1:13" x14ac:dyDescent="0.25">
      <c r="C2" t="s">
        <v>2</v>
      </c>
      <c r="D2" t="s">
        <v>3</v>
      </c>
      <c r="E2" t="s">
        <v>2</v>
      </c>
      <c r="F2" t="s">
        <v>3</v>
      </c>
      <c r="G2" t="s">
        <v>0</v>
      </c>
      <c r="H2" t="s">
        <v>1</v>
      </c>
    </row>
    <row r="4" spans="1:13" x14ac:dyDescent="0.25">
      <c r="A4" s="3">
        <v>1.0393518518518519E-2</v>
      </c>
      <c r="B4" s="2">
        <v>43369</v>
      </c>
      <c r="C4">
        <v>182</v>
      </c>
      <c r="D4">
        <v>23</v>
      </c>
      <c r="E4">
        <v>10</v>
      </c>
      <c r="F4">
        <v>8</v>
      </c>
      <c r="G4" s="1">
        <f t="shared" ref="G4:G9" si="0">C4+(D4/60)</f>
        <v>182.38333333333333</v>
      </c>
      <c r="H4">
        <f t="shared" ref="H4:H9" si="1">E4+(F4/60)</f>
        <v>10.133333333333333</v>
      </c>
      <c r="I4" s="1">
        <f t="shared" ref="I4:I9" si="2">H4-G4</f>
        <v>-172.25</v>
      </c>
      <c r="J4">
        <v>360</v>
      </c>
      <c r="K4" s="1">
        <f t="shared" ref="K4:K9" si="3">IF(I4&lt;0,I4+J4,I4)</f>
        <v>187.75</v>
      </c>
      <c r="L4" s="4">
        <f t="shared" ref="L4:L9" si="4">QUOTIENT(K4,12)+1</f>
        <v>16</v>
      </c>
      <c r="M4" t="str" cm="1">
        <f t="array" ref="M4">calculate_tithi_excel(B4:F4)</f>
        <v>Krishna Pratipada</v>
      </c>
    </row>
    <row r="5" spans="1:13" x14ac:dyDescent="0.25">
      <c r="A5" s="3">
        <v>1.0393518518518519E-2</v>
      </c>
      <c r="B5" s="2">
        <v>43370</v>
      </c>
      <c r="C5">
        <v>183</v>
      </c>
      <c r="D5">
        <v>22</v>
      </c>
      <c r="E5">
        <v>23</v>
      </c>
      <c r="F5">
        <v>10</v>
      </c>
      <c r="G5" s="1">
        <f t="shared" si="0"/>
        <v>183.36666666666667</v>
      </c>
      <c r="H5">
        <f t="shared" si="1"/>
        <v>23.166666666666668</v>
      </c>
      <c r="I5" s="1">
        <f t="shared" si="2"/>
        <v>-160.20000000000002</v>
      </c>
      <c r="J5">
        <v>360</v>
      </c>
      <c r="K5" s="1">
        <f t="shared" si="3"/>
        <v>199.79999999999998</v>
      </c>
      <c r="L5" s="4">
        <f t="shared" si="4"/>
        <v>17</v>
      </c>
      <c r="M5" t="str" cm="1">
        <f t="array" ref="M5">calculate_tithi_excel(B5:F5)</f>
        <v>Krishna Dwitiya</v>
      </c>
    </row>
    <row r="6" spans="1:13" x14ac:dyDescent="0.25">
      <c r="A6" s="3">
        <v>1.0393518518518519E-2</v>
      </c>
      <c r="B6" s="2">
        <v>43371</v>
      </c>
      <c r="C6">
        <v>184</v>
      </c>
      <c r="D6">
        <v>20</v>
      </c>
      <c r="E6">
        <v>36</v>
      </c>
      <c r="F6">
        <v>25</v>
      </c>
      <c r="G6" s="1">
        <f t="shared" si="0"/>
        <v>184.33333333333334</v>
      </c>
      <c r="H6">
        <f t="shared" si="1"/>
        <v>36.416666666666664</v>
      </c>
      <c r="I6" s="1">
        <f t="shared" si="2"/>
        <v>-147.91666666666669</v>
      </c>
      <c r="J6">
        <v>360</v>
      </c>
      <c r="K6" s="1">
        <f t="shared" si="3"/>
        <v>212.08333333333331</v>
      </c>
      <c r="L6" s="4">
        <f t="shared" si="4"/>
        <v>18</v>
      </c>
      <c r="M6" t="str" cm="1">
        <f t="array" ref="M6">calculate_tithi_excel(B6:F6)</f>
        <v>Krishna Tritiya</v>
      </c>
    </row>
    <row r="7" spans="1:13" x14ac:dyDescent="0.25">
      <c r="A7" s="3">
        <v>0.79166666666666663</v>
      </c>
      <c r="B7" s="2">
        <v>45487</v>
      </c>
      <c r="C7">
        <v>112</v>
      </c>
      <c r="D7">
        <v>15</v>
      </c>
      <c r="E7">
        <v>209</v>
      </c>
      <c r="F7">
        <v>7</v>
      </c>
      <c r="G7" s="1">
        <f t="shared" si="0"/>
        <v>112.25</v>
      </c>
      <c r="H7">
        <f t="shared" si="1"/>
        <v>209.11666666666667</v>
      </c>
      <c r="I7" s="1">
        <f t="shared" si="2"/>
        <v>96.866666666666674</v>
      </c>
      <c r="J7">
        <v>360</v>
      </c>
      <c r="K7" s="1">
        <f t="shared" si="3"/>
        <v>96.866666666666674</v>
      </c>
      <c r="L7" s="4">
        <f t="shared" si="4"/>
        <v>9</v>
      </c>
      <c r="M7" t="str" cm="1">
        <f t="array" ref="M7">calculate_tithi_excel(B7:F7)</f>
        <v>Shukla Navami</v>
      </c>
    </row>
    <row r="8" spans="1:13" x14ac:dyDescent="0.25">
      <c r="A8" s="3">
        <v>0.625</v>
      </c>
      <c r="B8" s="2">
        <v>45487</v>
      </c>
      <c r="C8">
        <v>112</v>
      </c>
      <c r="D8">
        <v>5</v>
      </c>
      <c r="E8">
        <v>207</v>
      </c>
      <c r="F8">
        <v>47</v>
      </c>
      <c r="G8" s="1">
        <f t="shared" si="0"/>
        <v>112.08333333333333</v>
      </c>
      <c r="H8">
        <f t="shared" si="1"/>
        <v>207.78333333333333</v>
      </c>
      <c r="I8" s="1">
        <f t="shared" si="2"/>
        <v>95.7</v>
      </c>
      <c r="J8">
        <v>360</v>
      </c>
      <c r="K8" s="1">
        <f t="shared" si="3"/>
        <v>95.7</v>
      </c>
      <c r="L8" s="4">
        <f t="shared" si="4"/>
        <v>8</v>
      </c>
      <c r="M8" t="str" cm="1">
        <f t="array" ref="M8">calculate_tithi_excel(B8:F8)</f>
        <v>Shukla Ashtami</v>
      </c>
    </row>
    <row r="9" spans="1:13" x14ac:dyDescent="0.25">
      <c r="A9" s="3">
        <v>0.70833333333333337</v>
      </c>
      <c r="B9" s="2">
        <v>45487</v>
      </c>
      <c r="C9">
        <v>112</v>
      </c>
      <c r="D9">
        <v>10</v>
      </c>
      <c r="E9">
        <v>208</v>
      </c>
      <c r="F9">
        <v>31</v>
      </c>
      <c r="G9" s="1">
        <f t="shared" si="0"/>
        <v>112.16666666666667</v>
      </c>
      <c r="H9">
        <f t="shared" si="1"/>
        <v>208.51666666666668</v>
      </c>
      <c r="I9" s="1">
        <f t="shared" si="2"/>
        <v>96.350000000000009</v>
      </c>
      <c r="J9">
        <v>360</v>
      </c>
      <c r="K9" s="1">
        <f t="shared" si="3"/>
        <v>96.350000000000009</v>
      </c>
      <c r="L9" s="4">
        <f t="shared" si="4"/>
        <v>9</v>
      </c>
      <c r="M9" t="str" cm="1">
        <f t="array" ref="M9">calculate_tithi_excel(B9:F9)</f>
        <v>Shukla Navami</v>
      </c>
    </row>
    <row r="10" spans="1:13" x14ac:dyDescent="0.25">
      <c r="A10" s="3"/>
      <c r="B10" s="2"/>
      <c r="G10" s="1"/>
      <c r="I10" s="1"/>
      <c r="K10" s="1"/>
      <c r="L10" s="4"/>
    </row>
    <row r="11" spans="1:13" x14ac:dyDescent="0.25">
      <c r="A11" s="3"/>
      <c r="B11" s="2"/>
      <c r="G11" s="1"/>
      <c r="I11" s="1"/>
      <c r="K11" s="1"/>
      <c r="L11" s="4"/>
    </row>
    <row r="12" spans="1:13" x14ac:dyDescent="0.25">
      <c r="A12" s="3"/>
      <c r="B12" s="2"/>
      <c r="G12" s="1"/>
      <c r="I12" s="1"/>
      <c r="K12" s="1"/>
      <c r="L12" s="4"/>
    </row>
    <row r="13" spans="1:13" x14ac:dyDescent="0.25">
      <c r="A13" s="5" t="s">
        <v>12</v>
      </c>
      <c r="B13" s="2"/>
      <c r="G13" s="1"/>
      <c r="I13" s="1"/>
      <c r="K13" s="1"/>
      <c r="L13" s="4"/>
    </row>
    <row r="14" spans="1:13" x14ac:dyDescent="0.25">
      <c r="A14" s="3">
        <v>0.28333333333333333</v>
      </c>
      <c r="B14" s="2">
        <v>45243</v>
      </c>
      <c r="F14" s="2"/>
      <c r="G14" s="6">
        <v>229.77809999999999</v>
      </c>
      <c r="H14" s="6">
        <v>222.4699</v>
      </c>
      <c r="I14" s="1">
        <f t="shared" ref="I14:I22" si="5">H14-G14</f>
        <v>-7.3081999999999994</v>
      </c>
      <c r="J14">
        <v>360</v>
      </c>
      <c r="K14" s="1">
        <f t="shared" ref="K14:K22" si="6">IF(I14&lt;0,I14+J14,I14)</f>
        <v>352.6918</v>
      </c>
      <c r="L14" s="4">
        <f t="shared" ref="L14:L22" si="7">QUOTIENT(K14,12)+1</f>
        <v>30</v>
      </c>
      <c r="M14" t="str" cm="1">
        <f t="array" ref="M14">calculate_tithi_excel_new(_xlfn.HSTACK(B14,G14,H14))</f>
        <v>Krishna Amavasya</v>
      </c>
    </row>
    <row r="15" spans="1:13" x14ac:dyDescent="0.25">
      <c r="A15" s="3">
        <v>0.41666666666666669</v>
      </c>
      <c r="B15" s="2">
        <v>45243</v>
      </c>
      <c r="G15" s="6">
        <v>230.1944</v>
      </c>
      <c r="H15" s="6">
        <v>228.32900000000001</v>
      </c>
      <c r="I15" s="1">
        <f t="shared" si="5"/>
        <v>-1.865399999999994</v>
      </c>
      <c r="J15">
        <v>360</v>
      </c>
      <c r="K15" s="1">
        <f t="shared" si="6"/>
        <v>358.13459999999998</v>
      </c>
      <c r="L15" s="4">
        <f t="shared" si="7"/>
        <v>30</v>
      </c>
      <c r="M15" t="str" cm="1">
        <f t="array" ref="M15">calculate_tithi_excel_new(_xlfn.HSTACK(B15,G15,H15))</f>
        <v>Krishna Amavasya</v>
      </c>
    </row>
    <row r="16" spans="1:13" x14ac:dyDescent="0.25">
      <c r="A16" s="3">
        <v>0.60416666666666663</v>
      </c>
      <c r="B16" s="2">
        <v>45243</v>
      </c>
      <c r="G16" s="6">
        <v>230.38069999999999</v>
      </c>
      <c r="H16" s="6">
        <v>229.84829999999999</v>
      </c>
      <c r="I16" s="1">
        <f t="shared" si="5"/>
        <v>-0.53239999999999554</v>
      </c>
      <c r="J16">
        <v>360</v>
      </c>
      <c r="K16" s="1">
        <f t="shared" si="6"/>
        <v>359.4676</v>
      </c>
      <c r="L16" s="4">
        <f t="shared" si="7"/>
        <v>30</v>
      </c>
      <c r="M16" t="str" cm="1">
        <f t="array" ref="M16">calculate_tithi_excel_new(_xlfn.HSTACK(B16,G16,H16))</f>
        <v>Krishna Amavasya</v>
      </c>
    </row>
    <row r="17" spans="1:18" x14ac:dyDescent="0.25">
      <c r="A17" s="3">
        <v>0.64583333333333337</v>
      </c>
      <c r="B17" s="2">
        <v>45243</v>
      </c>
      <c r="G17" s="6">
        <v>230.4221</v>
      </c>
      <c r="H17" s="6">
        <v>230.21379999999999</v>
      </c>
      <c r="I17" s="1">
        <f t="shared" si="5"/>
        <v>-0.20830000000000837</v>
      </c>
      <c r="J17">
        <v>360</v>
      </c>
      <c r="K17" s="1">
        <f t="shared" si="6"/>
        <v>359.79169999999999</v>
      </c>
      <c r="L17" s="4">
        <f t="shared" si="7"/>
        <v>30</v>
      </c>
      <c r="M17" t="str" cm="1">
        <f t="array" ref="M17">calculate_tithi_excel_new(_xlfn.HSTACK(B17,G17,H17))</f>
        <v>Krishna Amavasya</v>
      </c>
    </row>
    <row r="18" spans="1:18" x14ac:dyDescent="0.25">
      <c r="A18" s="3">
        <v>0.70833333333333337</v>
      </c>
      <c r="B18" s="2">
        <v>45243</v>
      </c>
      <c r="G18" s="6">
        <v>230.4845</v>
      </c>
      <c r="H18" s="6">
        <v>230.83580000000001</v>
      </c>
      <c r="I18" s="1">
        <f t="shared" si="5"/>
        <v>0.35130000000000905</v>
      </c>
      <c r="J18">
        <v>360</v>
      </c>
      <c r="K18" s="1">
        <f t="shared" si="6"/>
        <v>0.35130000000000905</v>
      </c>
      <c r="L18" s="4">
        <f t="shared" si="7"/>
        <v>1</v>
      </c>
      <c r="M18" t="str" cm="1">
        <f t="array" ref="M18">calculate_tithi_excel_new(_xlfn.HSTACK(B18,G18,H18))</f>
        <v>Shukla Pratipada</v>
      </c>
    </row>
    <row r="19" spans="1:18" x14ac:dyDescent="0.25">
      <c r="A19" s="3">
        <v>0.42060185185185184</v>
      </c>
      <c r="B19" s="2">
        <v>45323</v>
      </c>
      <c r="G19" s="6">
        <v>311.45846621214002</v>
      </c>
      <c r="H19" s="6">
        <v>201.03625967265299</v>
      </c>
      <c r="I19" s="1">
        <f t="shared" si="5"/>
        <v>-110.42220653948704</v>
      </c>
      <c r="J19">
        <v>360</v>
      </c>
      <c r="K19" s="1">
        <f t="shared" si="6"/>
        <v>249.57779346051296</v>
      </c>
      <c r="L19" s="4">
        <f t="shared" si="7"/>
        <v>21</v>
      </c>
      <c r="M19" t="str" cm="1">
        <f t="array" ref="M19">calculate_tithi_excel_new(_xlfn.HSTACK(B19,G19,H19))</f>
        <v>Krishna Shashthi</v>
      </c>
    </row>
    <row r="20" spans="1:18" x14ac:dyDescent="0.25">
      <c r="A20" s="3">
        <v>0.45833333333333331</v>
      </c>
      <c r="B20" s="2">
        <v>45514</v>
      </c>
      <c r="G20" s="6">
        <v>137.74797188714501</v>
      </c>
      <c r="H20" s="6">
        <v>202.14964100597101</v>
      </c>
      <c r="I20" s="1">
        <f t="shared" si="5"/>
        <v>64.401669118825993</v>
      </c>
      <c r="J20">
        <v>360</v>
      </c>
      <c r="K20" s="1">
        <f t="shared" si="6"/>
        <v>64.401669118825993</v>
      </c>
      <c r="L20" s="4">
        <f t="shared" si="7"/>
        <v>6</v>
      </c>
      <c r="M20" t="str" cm="1">
        <f t="array" ref="M20">calculate_tithi_excel_new(_xlfn.HSTACK(B20,G20,H20))</f>
        <v>Shukla Shashthi</v>
      </c>
      <c r="N20" t="s">
        <v>14</v>
      </c>
    </row>
    <row r="21" spans="1:18" x14ac:dyDescent="0.25">
      <c r="A21" s="3"/>
      <c r="B21" s="7">
        <v>45017.503472222219</v>
      </c>
      <c r="G21" s="6">
        <v>10.9546739805113</v>
      </c>
      <c r="H21" s="1">
        <v>136.23098160427901</v>
      </c>
      <c r="I21" s="1">
        <f t="shared" si="5"/>
        <v>125.27630762376771</v>
      </c>
      <c r="J21">
        <v>360</v>
      </c>
      <c r="K21" s="1">
        <f t="shared" si="6"/>
        <v>125.27630762376771</v>
      </c>
      <c r="L21" s="4">
        <f t="shared" si="7"/>
        <v>11</v>
      </c>
      <c r="M21" t="str" cm="1">
        <f t="array" ref="M21">calc_tithi_new(B21)</f>
        <v>Shukla Ekadashi</v>
      </c>
      <c r="N21" t="str" cm="1">
        <f t="array" ref="N21">calculate_tithi_excel_new(_xlfn.HSTACK(B21,G21,H21))</f>
        <v>Shukla Ekadashi</v>
      </c>
      <c r="O21" t="s">
        <v>13</v>
      </c>
    </row>
    <row r="22" spans="1:18" x14ac:dyDescent="0.25">
      <c r="A22" s="3"/>
      <c r="B22" s="7">
        <v>44531.767708333333</v>
      </c>
      <c r="G22" s="6">
        <v>249.24021993011399</v>
      </c>
      <c r="H22" s="6">
        <v>209.72662863015</v>
      </c>
      <c r="I22" s="1">
        <f t="shared" si="5"/>
        <v>-39.513591299963991</v>
      </c>
      <c r="J22">
        <v>360</v>
      </c>
      <c r="K22" s="1">
        <f t="shared" si="6"/>
        <v>320.48640870003601</v>
      </c>
      <c r="L22" s="4">
        <f t="shared" si="7"/>
        <v>27</v>
      </c>
      <c r="M22" t="str" cm="1">
        <f t="array" ref="M22">calculate_tithi_excel_new(_xlfn.HSTACK(B22,G22,H22))</f>
        <v>Krishna Dwadashi</v>
      </c>
      <c r="N22" t="str" cm="1">
        <f t="array" ref="N22">calculate_tithi_excel_new(_xlfn.HSTACK(B22,G22,H22))</f>
        <v>Krishna Dwadashi</v>
      </c>
    </row>
    <row r="24" spans="1:18" x14ac:dyDescent="0.25">
      <c r="A24" s="7">
        <v>42870.548611111109</v>
      </c>
      <c r="B24" s="6">
        <v>22.307200000000002</v>
      </c>
      <c r="C24" s="6">
        <v>73.181200000000004</v>
      </c>
      <c r="D24">
        <v>5.5</v>
      </c>
      <c r="M24" t="str" cm="1">
        <f t="array" ref="M24:Q25">get_panchang(A24:D24)</f>
        <v>number</v>
      </c>
      <c r="N24" t="str">
        <v>name</v>
      </c>
      <c r="O24" t="str">
        <v>paksha</v>
      </c>
      <c r="P24" t="str">
        <v>completes_at</v>
      </c>
      <c r="Q24" t="str">
        <v>left_precentage</v>
      </c>
    </row>
    <row r="25" spans="1:18" x14ac:dyDescent="0.25">
      <c r="M25">
        <v>19</v>
      </c>
      <c r="N25" t="str">
        <v>Chaturthi</v>
      </c>
      <c r="O25" t="str">
        <v>krishna</v>
      </c>
      <c r="P25" s="7" t="str">
        <v>15-05-2017 13:29:01</v>
      </c>
      <c r="Q25" s="1">
        <v>1.22</v>
      </c>
    </row>
    <row r="26" spans="1:18" x14ac:dyDescent="0.25">
      <c r="A26" s="7">
        <f>A24</f>
        <v>42870.548611111109</v>
      </c>
      <c r="B26" s="6">
        <f>B24</f>
        <v>22.307200000000002</v>
      </c>
      <c r="C26" s="6">
        <f>C24</f>
        <v>73.181200000000004</v>
      </c>
      <c r="D26" t="s">
        <v>15</v>
      </c>
      <c r="M26" s="7" t="str" cm="1">
        <f t="array" ref="M26:N28">get_sunrise_sunset(A26:D26)</f>
        <v>Key</v>
      </c>
      <c r="N26" s="7" t="str">
        <v>Value</v>
      </c>
      <c r="P26" s="7"/>
    </row>
    <row r="27" spans="1:18" x14ac:dyDescent="0.25">
      <c r="A27" s="7"/>
      <c r="B27" s="6"/>
      <c r="C27" s="6"/>
      <c r="M27" s="7" t="str">
        <v>sunrise</v>
      </c>
      <c r="N27" s="7">
        <v>42870.249247685184</v>
      </c>
      <c r="P27" s="7"/>
    </row>
    <row r="28" spans="1:18" x14ac:dyDescent="0.25">
      <c r="A28" s="7"/>
      <c r="B28" s="6"/>
      <c r="C28" s="6"/>
      <c r="M28" s="7" t="str">
        <v>sunset</v>
      </c>
      <c r="N28" s="7">
        <v>42870.799363425926</v>
      </c>
      <c r="P28" s="7"/>
    </row>
    <row r="29" spans="1:18" x14ac:dyDescent="0.25">
      <c r="A29" s="7"/>
      <c r="B29" s="6"/>
      <c r="C29" s="6"/>
      <c r="M29" s="7"/>
      <c r="N29" s="7"/>
      <c r="P29" s="7"/>
    </row>
    <row r="30" spans="1:18" x14ac:dyDescent="0.25">
      <c r="A30" s="8">
        <f>N27</f>
        <v>42870.249247685184</v>
      </c>
      <c r="G30">
        <v>54.141643689947799</v>
      </c>
      <c r="H30">
        <v>278.59488335518898</v>
      </c>
      <c r="I30" s="1">
        <f>H30-G30</f>
        <v>224.4532396652412</v>
      </c>
      <c r="J30">
        <v>360</v>
      </c>
      <c r="K30" s="1">
        <f>IF(I30&lt;0,I30+J30,I30)</f>
        <v>224.4532396652412</v>
      </c>
      <c r="L30" s="4">
        <f>QUOTIENT(K30,12)+1</f>
        <v>19</v>
      </c>
      <c r="M30" t="str" cm="1">
        <f t="array" ref="M30">calc_tithi_new(A30)</f>
        <v>Krishna Chaturthi</v>
      </c>
      <c r="N30" t="str" cm="1">
        <f t="array" ref="N30">calculate_tithi_excel_new(_xlfn.HSTACK(A30,G30,H30))</f>
        <v>Krishna Chaturthi</v>
      </c>
      <c r="P30" s="7"/>
    </row>
    <row r="31" spans="1:18" x14ac:dyDescent="0.25">
      <c r="A31" s="8"/>
      <c r="I31" s="1"/>
      <c r="K31" s="1"/>
      <c r="L31" s="4"/>
      <c r="P31" s="7"/>
    </row>
    <row r="32" spans="1:18" x14ac:dyDescent="0.25">
      <c r="A32" s="8">
        <v>42968.548611111109</v>
      </c>
      <c r="B32">
        <v>22.307200000000002</v>
      </c>
      <c r="C32">
        <v>73.181200000000004</v>
      </c>
      <c r="D32">
        <v>5.5</v>
      </c>
      <c r="I32" s="1"/>
      <c r="K32" s="1"/>
      <c r="L32" s="4"/>
      <c r="M32" t="str" cm="1">
        <f t="array" ref="M32:R33">lunar_month(A32:D32)</f>
        <v>lunar_month_number</v>
      </c>
      <c r="N32" t="str">
        <v>lunar_month_name</v>
      </c>
      <c r="O32" t="str">
        <v>lunar_month_full_name</v>
      </c>
      <c r="P32" s="7" t="str">
        <v>adhika</v>
      </c>
      <c r="Q32" t="str">
        <v>nija</v>
      </c>
      <c r="R32" t="str">
        <v>kshaya</v>
      </c>
    </row>
    <row r="33" spans="1:18" x14ac:dyDescent="0.25">
      <c r="A33" s="8"/>
      <c r="I33" s="1"/>
      <c r="K33" s="1"/>
      <c r="L33" s="4"/>
      <c r="M33">
        <v>10</v>
      </c>
      <c r="N33" t="str">
        <v>Shravan</v>
      </c>
      <c r="O33" t="str">
        <v>Shravan</v>
      </c>
      <c r="P33">
        <v>0</v>
      </c>
      <c r="Q33">
        <v>0</v>
      </c>
      <c r="R33">
        <v>0</v>
      </c>
    </row>
    <row r="34" spans="1:18" x14ac:dyDescent="0.25">
      <c r="A34" s="8"/>
      <c r="I34" s="1"/>
      <c r="K34" s="1"/>
      <c r="L34" s="4"/>
      <c r="P34" s="7"/>
    </row>
    <row r="35" spans="1:18" x14ac:dyDescent="0.25">
      <c r="M35">
        <f>SUM(_xlfn.HSTACK(G18:H18,J18:K18,L18))</f>
        <v>822.67160000000001</v>
      </c>
      <c r="N35" t="s">
        <v>11</v>
      </c>
    </row>
    <row r="39" spans="1:18" x14ac:dyDescent="0.25">
      <c r="A39" s="8"/>
      <c r="B39" s="6"/>
      <c r="C39" s="6"/>
    </row>
    <row r="40" spans="1:18" x14ac:dyDescent="0.25">
      <c r="A40" s="8"/>
      <c r="B40" s="6"/>
      <c r="C40" s="6"/>
    </row>
    <row r="41" spans="1:18" x14ac:dyDescent="0.25">
      <c r="M41" t="s">
        <v>16</v>
      </c>
      <c r="N41" t="s">
        <v>17</v>
      </c>
    </row>
    <row r="42" spans="1:18" x14ac:dyDescent="0.25">
      <c r="M42">
        <v>10</v>
      </c>
      <c r="N42" t="s">
        <v>18</v>
      </c>
    </row>
    <row r="43" spans="1:18" x14ac:dyDescent="0.25">
      <c r="M43" t="s">
        <v>16</v>
      </c>
      <c r="N43" t="s">
        <v>17</v>
      </c>
    </row>
    <row r="44" spans="1:18" x14ac:dyDescent="0.25">
      <c r="M44">
        <v>11</v>
      </c>
      <c r="N44" t="s">
        <v>19</v>
      </c>
    </row>
    <row r="45" spans="1:18" x14ac:dyDescent="0.25">
      <c r="M45" t="s">
        <v>16</v>
      </c>
      <c r="N45" t="s">
        <v>17</v>
      </c>
    </row>
    <row r="46" spans="1:18" x14ac:dyDescent="0.25">
      <c r="M46">
        <v>12</v>
      </c>
      <c r="N46" t="s">
        <v>20</v>
      </c>
    </row>
    <row r="47" spans="1:18" x14ac:dyDescent="0.25">
      <c r="M47" t="s">
        <v>16</v>
      </c>
      <c r="N47" t="s">
        <v>17</v>
      </c>
    </row>
    <row r="48" spans="1:18" x14ac:dyDescent="0.25">
      <c r="M48">
        <v>1</v>
      </c>
      <c r="N48" t="s">
        <v>21</v>
      </c>
    </row>
    <row r="49" spans="13:14" x14ac:dyDescent="0.25">
      <c r="M49" t="s">
        <v>16</v>
      </c>
      <c r="N49" t="s">
        <v>17</v>
      </c>
    </row>
    <row r="50" spans="13:14" x14ac:dyDescent="0.25">
      <c r="M50">
        <v>2</v>
      </c>
      <c r="N50" t="s">
        <v>22</v>
      </c>
    </row>
    <row r="51" spans="13:14" x14ac:dyDescent="0.25">
      <c r="M51" t="s">
        <v>16</v>
      </c>
      <c r="N51" t="s">
        <v>17</v>
      </c>
    </row>
    <row r="52" spans="13:14" x14ac:dyDescent="0.25">
      <c r="M52">
        <v>3</v>
      </c>
      <c r="N52" t="s">
        <v>23</v>
      </c>
    </row>
    <row r="53" spans="13:14" x14ac:dyDescent="0.25">
      <c r="M53" t="s">
        <v>16</v>
      </c>
      <c r="N53" t="s">
        <v>17</v>
      </c>
    </row>
    <row r="54" spans="13:14" x14ac:dyDescent="0.25">
      <c r="M54">
        <v>4</v>
      </c>
      <c r="N54" t="s">
        <v>24</v>
      </c>
    </row>
    <row r="55" spans="13:14" x14ac:dyDescent="0.25">
      <c r="M55" t="s">
        <v>16</v>
      </c>
      <c r="N55" t="s">
        <v>17</v>
      </c>
    </row>
    <row r="56" spans="13:14" x14ac:dyDescent="0.25">
      <c r="M56">
        <v>5</v>
      </c>
      <c r="N56" t="s">
        <v>25</v>
      </c>
    </row>
    <row r="57" spans="13:14" x14ac:dyDescent="0.25">
      <c r="M57" t="s">
        <v>16</v>
      </c>
      <c r="N57" t="s">
        <v>17</v>
      </c>
    </row>
    <row r="58" spans="13:14" x14ac:dyDescent="0.25">
      <c r="M58">
        <v>5</v>
      </c>
      <c r="N58" t="s">
        <v>25</v>
      </c>
    </row>
    <row r="59" spans="13:14" x14ac:dyDescent="0.25">
      <c r="M59" t="s">
        <v>16</v>
      </c>
      <c r="N59" t="s">
        <v>17</v>
      </c>
    </row>
    <row r="60" spans="13:14" x14ac:dyDescent="0.25">
      <c r="M60">
        <v>6</v>
      </c>
      <c r="N60" t="s">
        <v>26</v>
      </c>
    </row>
    <row r="61" spans="13:14" x14ac:dyDescent="0.25">
      <c r="M61" t="s">
        <v>16</v>
      </c>
      <c r="N61" t="s">
        <v>17</v>
      </c>
    </row>
    <row r="62" spans="13:14" x14ac:dyDescent="0.25">
      <c r="M62">
        <v>7</v>
      </c>
      <c r="N62" t="s">
        <v>27</v>
      </c>
    </row>
    <row r="63" spans="13:14" x14ac:dyDescent="0.25">
      <c r="M63" t="s">
        <v>16</v>
      </c>
      <c r="N63" t="s">
        <v>17</v>
      </c>
    </row>
    <row r="64" spans="13:14" x14ac:dyDescent="0.25">
      <c r="M64">
        <v>8</v>
      </c>
      <c r="N64" t="s">
        <v>28</v>
      </c>
    </row>
    <row r="65" spans="13:16" x14ac:dyDescent="0.25">
      <c r="M65" t="s">
        <v>16</v>
      </c>
      <c r="N65" t="s">
        <v>17</v>
      </c>
    </row>
    <row r="66" spans="13:16" x14ac:dyDescent="0.25">
      <c r="M66">
        <v>9</v>
      </c>
      <c r="N66" t="s">
        <v>29</v>
      </c>
    </row>
    <row r="67" spans="13:16" x14ac:dyDescent="0.25">
      <c r="M67" t="s">
        <v>30</v>
      </c>
      <c r="O67" t="s">
        <v>31</v>
      </c>
    </row>
    <row r="69" spans="13:16" x14ac:dyDescent="0.25">
      <c r="M69">
        <v>10</v>
      </c>
      <c r="N69" t="s">
        <v>18</v>
      </c>
      <c r="O69">
        <v>3</v>
      </c>
      <c r="P69" t="s">
        <v>32</v>
      </c>
    </row>
    <row r="70" spans="13:16" x14ac:dyDescent="0.25">
      <c r="M70">
        <v>11</v>
      </c>
      <c r="N70" t="s">
        <v>19</v>
      </c>
      <c r="O70">
        <v>4</v>
      </c>
      <c r="P70" t="s">
        <v>33</v>
      </c>
    </row>
    <row r="71" spans="13:16" x14ac:dyDescent="0.25">
      <c r="M71">
        <v>12</v>
      </c>
      <c r="N71" t="s">
        <v>20</v>
      </c>
      <c r="O71">
        <v>5</v>
      </c>
      <c r="P71" t="s">
        <v>34</v>
      </c>
    </row>
    <row r="72" spans="13:16" x14ac:dyDescent="0.25">
      <c r="M72">
        <v>1</v>
      </c>
      <c r="N72" t="s">
        <v>21</v>
      </c>
      <c r="O72">
        <v>6</v>
      </c>
      <c r="P72" t="s">
        <v>35</v>
      </c>
    </row>
    <row r="73" spans="13:16" x14ac:dyDescent="0.25">
      <c r="M73">
        <v>2</v>
      </c>
      <c r="N73" t="s">
        <v>22</v>
      </c>
      <c r="O73">
        <v>7</v>
      </c>
      <c r="P73" t="s">
        <v>36</v>
      </c>
    </row>
    <row r="74" spans="13:16" x14ac:dyDescent="0.25">
      <c r="M74">
        <v>3</v>
      </c>
      <c r="N74" t="s">
        <v>23</v>
      </c>
      <c r="O74">
        <v>8</v>
      </c>
      <c r="P74" t="s">
        <v>37</v>
      </c>
    </row>
    <row r="75" spans="13:16" x14ac:dyDescent="0.25">
      <c r="M75">
        <v>4</v>
      </c>
      <c r="N75" t="s">
        <v>24</v>
      </c>
      <c r="O75">
        <v>9</v>
      </c>
      <c r="P75" t="s">
        <v>38</v>
      </c>
    </row>
    <row r="76" spans="13:16" x14ac:dyDescent="0.25">
      <c r="M76">
        <v>5</v>
      </c>
      <c r="N76" t="s">
        <v>25</v>
      </c>
      <c r="O76">
        <v>10</v>
      </c>
      <c r="P76" t="s">
        <v>39</v>
      </c>
    </row>
    <row r="77" spans="13:16" x14ac:dyDescent="0.25">
      <c r="M77">
        <v>6</v>
      </c>
      <c r="N77" t="s">
        <v>26</v>
      </c>
      <c r="O77">
        <v>11</v>
      </c>
      <c r="P77" t="s">
        <v>40</v>
      </c>
    </row>
    <row r="78" spans="13:16" x14ac:dyDescent="0.25">
      <c r="M78">
        <v>7</v>
      </c>
      <c r="N78" t="s">
        <v>27</v>
      </c>
      <c r="O78">
        <v>12</v>
      </c>
      <c r="P78" t="s">
        <v>41</v>
      </c>
    </row>
    <row r="79" spans="13:16" x14ac:dyDescent="0.25">
      <c r="M79">
        <v>8</v>
      </c>
      <c r="N79" t="s">
        <v>28</v>
      </c>
      <c r="O79">
        <v>1</v>
      </c>
      <c r="P79" t="s">
        <v>42</v>
      </c>
    </row>
    <row r="80" spans="13:16" x14ac:dyDescent="0.25">
      <c r="M80">
        <v>9</v>
      </c>
      <c r="N80" t="s">
        <v>29</v>
      </c>
      <c r="O80">
        <v>2</v>
      </c>
      <c r="P80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EF016-42AD-471A-9815-DF5FD4A0FE5B}">
  <sheetPr codeName="Sheet2"/>
  <dimension ref="A1:M1"/>
  <sheetViews>
    <sheetView workbookViewId="0">
      <selection activeCell="M1" sqref="M1"/>
    </sheetView>
  </sheetViews>
  <sheetFormatPr defaultRowHeight="15" x14ac:dyDescent="0.25"/>
  <cols>
    <col min="1" max="1" width="18.28515625" bestFit="1" customWidth="1"/>
  </cols>
  <sheetData>
    <row r="1" spans="1:13" x14ac:dyDescent="0.25">
      <c r="A1" s="8">
        <v>42931.548611111109</v>
      </c>
      <c r="B1" s="6">
        <v>22.307200000000002</v>
      </c>
      <c r="C1" s="6">
        <v>73.181200000000004</v>
      </c>
      <c r="D1">
        <v>5.5</v>
      </c>
      <c r="M1" t="str" cm="1">
        <f t="array" ref="M1">lunar_month(A1:D1)</f>
        <v>KeyError: 'output'
                          ~~~~~~~~~^^^^^^^^^^
    panchang = json.loads(intoutput["output"])
  File "d:\dev\udf5.py", line 136, in lunar_month
          ^^^^^^^^^^^
    ret = func(*args)
  File "D:\Programs\Python\Lib\site-packages\xlwings\udfs.py", line 502, in call_udf
          ^^^^^^^^^^^^^^^^^^^^^^^^^^^^^^^^^^^^^^^^^^^^^^^^^^^^^^^^^^^^^^^^^
    res = call_udf(script, fname, args, this_workbook, FromVariant(caller))
  File "D:\Programs\Python\Lib\site-packages\xlwings\com_server.py", line 235, in CallUDF
           ^^^^^^^^^^^
    return func(*args)
  File "D:\Programs\Python\Lib\site-packages\win32com\server\policy.py", line 639, in _invokeex_
                     ^^^^^^^^^^^^^^^^^^^^^^^^^^^^^^^^^^^^^^^^^^^^^^^^^^^^^^^
    return S_OK, -1, self._invokeex_(dispid, lcid, wFlags, args, None, None)
  File "D:\Programs\Python\Lib\site-packages\win32com\server\policy.py", line 310, in _invoke_
           ^^^^^^^^^^^^^^^^^^^^^^^^^^^^^^^^^^^^^^^^^
    return self._invoke_(dispid, lcid, wFlags, args)
  File "D:\Programs\Python\Lib\site-packages\win32com\server\policy.py", line 305, in _Invoke_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2024-08-05T04:47:00Z</dcterms:created>
  <dcterms:modified xsi:type="dcterms:W3CDTF">2024-08-18T17:18:09Z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2024-08-06T07:15:46Z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597f5b99-7f94-4cbc-95bd-b34eec9641a9</vt:lpwstr>
  </property>
  <property fmtid="{D5CDD505-2E9C-101B-9397-08002B2CF9AE}" pid="8" name="MSIP_Label_defa4170-0d19-0005-0004-bc88714345d2_ContentBits">
    <vt:lpwstr>0</vt:lpwstr>
  </property>
</Properties>
</file>