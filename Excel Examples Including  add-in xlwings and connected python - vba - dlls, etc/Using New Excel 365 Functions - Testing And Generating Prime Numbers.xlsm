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OneDrive - 0yt2k\Excel Examples Including  add-in xlwings and connected python - vba - dlls, etc\"/>
    </mc:Choice>
  </mc:AlternateContent>
  <xr:revisionPtr revIDLastSave="0" documentId="13_ncr:1_{CC704DB8-45E0-4036-B66E-87EEDFF2FFC9}" xr6:coauthVersionLast="47" xr6:coauthVersionMax="47" xr10:uidLastSave="{00000000-0000-0000-0000-000000000000}"/>
  <bookViews>
    <workbookView xWindow="-120" yWindow="-120" windowWidth="20730" windowHeight="11040" xr2:uid="{2AD59D25-92F8-44A8-9234-960F3A5B0721}"/>
  </bookViews>
  <sheets>
    <sheet name="Sheet1" sheetId="1" r:id="rId1"/>
    <sheet name="Sheet2" sheetId="2" r:id="rId2"/>
  </sheets>
  <functionGroups builtInGroupCount="19">
    <functionGroup name="Custom Functions"/>
  </functionGroups>
  <definedNames>
    <definedName name="_xleta.N" hidden="1" xlm="1">#NAME?</definedName>
    <definedName name="_xlpm.a" hidden="1" xlm="1">#NAME?</definedName>
    <definedName name="_xlpm.all_factors" hidden="1" xlm="1">#NAME?</definedName>
    <definedName name="_xlpm.b" hidden="1" xlm="1">#NAME?</definedName>
    <definedName name="_xlpm.c" hidden="1" xlm="1">#NAME?</definedName>
    <definedName name="_xlpm.current" hidden="1" xlm="1">#NAME?</definedName>
    <definedName name="_xlpm.d" hidden="1" xlm="1">#NAME?</definedName>
    <definedName name="_xlpm.divisors" hidden="1" xlm="1">#NAME?</definedName>
    <definedName name="_xlpm.divs" hidden="1" xlm="1">#NAME?</definedName>
    <definedName name="_xlpm.f" hidden="1" xlm="1">#NAME?</definedName>
    <definedName name="_xlpm.factor" hidden="1" xlm="1">#NAME?</definedName>
    <definedName name="_xlpm.factor_pairs" hidden="1" xlm="1">#NAME?</definedName>
    <definedName name="_xlpm.factors" hidden="1" xlm="1">#NAME?</definedName>
    <definedName name="_xlpm.g" hidden="1" xlm="1">#NAME?</definedName>
    <definedName name="_xlpm.gcd" hidden="1" xlm="1">#NAME?</definedName>
    <definedName name="_xlpm.i" hidden="1" xlm="1">#NAME?</definedName>
    <definedName name="_xlpm.input" hidden="1" xlm="1">#NAME?</definedName>
    <definedName name="_xlpm.inputRange" hidden="1" xlm="1">#NAME?</definedName>
    <definedName name="_xlpm.isPrime" hidden="1" xlm="1">#NAME?</definedName>
    <definedName name="_xlpm.l" hidden="1" xlm="1">#NAME?</definedName>
    <definedName name="_xlpm.max_check" hidden="1" xlm="1">#NAME?</definedName>
    <definedName name="_xlpm.max_div" hidden="1" xlm="1">#NAME?</definedName>
    <definedName name="_xlpm.maxDiv" hidden="1" xlm="1">#NAME?</definedName>
    <definedName name="_xlpm.maxDivisor" hidden="1" xlm="1">#NAME?</definedName>
    <definedName name="_xlpm.n" hidden="1" xlm="1">#NAME?</definedName>
    <definedName name="_xlpm.num" hidden="1" xlm="1">#NAME?</definedName>
    <definedName name="_xlpm.nums" hidden="1" xlm="1">#NAME?</definedName>
    <definedName name="_xlpm.prime_factors" hidden="1" xlm="1">#NAME?</definedName>
    <definedName name="_xlpm.r" hidden="1" xlm="1">#NAME?</definedName>
    <definedName name="_xlpm.remaining" hidden="1" xlm="1">#NAME?</definedName>
    <definedName name="_xlpm.result" hidden="1" xlm="1">#NAME?</definedName>
    <definedName name="_xlpm.s" hidden="1" xlm="1">#NAME?</definedName>
    <definedName name="_xlpm.sqrt_n" hidden="1" xlm="1">#NAME?</definedName>
    <definedName name="_xlpm.sumDivisible" hidden="1" xlm="1">#NAME?</definedName>
    <definedName name="_xlpm.test_divisors" hidden="1" xlm="1">#NAME?</definedName>
    <definedName name="_xlpm.test_values" hidden="1" xlm="1">#NAME?</definedName>
    <definedName name="_xlpm.u" hidden="1" xlm="1">#NAME?</definedName>
    <definedName name="_xlpm.x" hidden="1" xlm="1">#NAME?</definedName>
    <definedName name="_xlpm.y" hidden="1" xlm="1">#NAME?</definedName>
    <definedName name="PrimeFactors">_xlfn.LAMBDA(_xlpm.input,     _xlfn.MAKEARRAY(         ROWS(_xlpm.input),         1,         _xlfn.LAMBDA(_xlpm.r,_xlpm.c,             PrimeFactorsHelper(INDEX(_xlpm.input,_xlpm.r),2,"")         )     ) )</definedName>
    <definedName name="PrimeFactorsHelper">_xlfn.LAMBDA(_xlpm.n,_xlpm.i,_xlpm.factors,     IF(         _xlpm.n = 1,         _xlpm.factors,         IF(             MOD(_xlpm.n, _xlpm.i) = 0,             PrimeFactorsHelper(_xlpm.n / _xlpm.i, _xlpm.i, _xlpm.factors &amp; _xlpm.i &amp; ","),             IF(_xlpm.i * _xlpm.i &gt; _xlpm.n,                  _xlpm.factors &amp; _xlpm.n &amp; ",",                  PrimeFactorsHelper(_xlpm.n, _xlpm.i + 1, _xlpm.factors)             )         )     ) )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">
          <x14:argumentDescriptions count="1">
            <x14:argumentDescription index="0">Positional argument 1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6" i="1" l="1" a="1"/>
  <c r="K186" i="1" s="1"/>
  <c r="H184" i="1"/>
  <c r="K184" i="1" a="1"/>
  <c r="K184" i="1" s="1"/>
  <c r="K185" i="1" s="1"/>
  <c r="AX10" i="1" a="1"/>
  <c r="AX10" i="1" s="1"/>
  <c r="AN10" i="1" a="1"/>
  <c r="AN10" i="1" s="1"/>
  <c r="B1" i="2" a="1"/>
  <c r="B1" i="2" s="1"/>
  <c r="X10" i="1" a="1"/>
  <c r="X10" i="1" s="1"/>
  <c r="K10" i="1" a="1"/>
  <c r="B9" i="1"/>
  <c r="A10" i="1" s="1" a="1"/>
  <c r="E2" i="1" s="1"/>
  <c r="K10" i="1" l="1"/>
  <c r="T10" i="1" s="1" a="1"/>
  <c r="T10" i="1" s="1"/>
  <c r="U10" i="1" s="1" a="1"/>
  <c r="U10" i="1" s="1"/>
  <c r="I2" i="1"/>
  <c r="A10" i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l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J2" i="1" l="1"/>
  <c r="A4" i="1" s="1" a="1"/>
  <c r="A4" i="1" s="1"/>
  <c r="K2" i="1"/>
  <c r="L2" i="1"/>
  <c r="M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<sst xmlns="http://schemas.openxmlformats.org/spreadsheetml/2006/main" count="38" uniqueCount="35">
  <si>
    <t>Lower</t>
  </si>
  <si>
    <t>Upper</t>
  </si>
  <si>
    <t>&lt;&lt;&lt; Generated Prime Numbers between above range</t>
  </si>
  <si>
    <t>Finding prime factors for range of numbers</t>
  </si>
  <si>
    <t>Generating prime numbers between range of numbers</t>
  </si>
  <si>
    <t>Testing whether a number is prime</t>
  </si>
  <si>
    <t>&lt;&lt;&lt; Check</t>
  </si>
  <si>
    <t>Names Manager: Helper Function:</t>
  </si>
  <si>
    <t>// Name: PrimeFactorsHelper</t>
  </si>
  <si>
    <t>=LAMBDA(n,i,factors,</t>
  </si>
  <si>
    <t xml:space="preserve">    IF(</t>
  </si>
  <si>
    <t xml:space="preserve">        n = 1,</t>
  </si>
  <si>
    <t xml:space="preserve">        factors,</t>
  </si>
  <si>
    <t xml:space="preserve">        IF(</t>
  </si>
  <si>
    <t xml:space="preserve">            MOD(n, i) = 0,</t>
  </si>
  <si>
    <t xml:space="preserve">            PrimeFactorsHelper(n / i, i, factors &amp; i &amp; ","),</t>
  </si>
  <si>
    <t xml:space="preserve">            IF(i * i &gt; n, </t>
  </si>
  <si>
    <t xml:space="preserve">                factors &amp; n &amp; ",", </t>
  </si>
  <si>
    <t xml:space="preserve">                PrimeFactorsHelper(n, i + 1, factors)</t>
  </si>
  <si>
    <t xml:space="preserve">            )</t>
  </si>
  <si>
    <t xml:space="preserve">        )</t>
  </si>
  <si>
    <t xml:space="preserve">    )</t>
  </si>
  <si>
    <t>)</t>
  </si>
  <si>
    <t>Names Manager: Main Function</t>
  </si>
  <si>
    <t>// Name: PrimeFactors</t>
  </si>
  <si>
    <t>=LAMBDA(input,</t>
  </si>
  <si>
    <t xml:space="preserve">    MAKEARRAY(</t>
  </si>
  <si>
    <t xml:space="preserve">        ROWS(input),</t>
  </si>
  <si>
    <t xml:space="preserve">        1,</t>
  </si>
  <si>
    <t xml:space="preserve">        LAMBDA(r,c,</t>
  </si>
  <si>
    <t xml:space="preserve">            PrimeFactorsHelper(INDEX(input,r),2,"")</t>
  </si>
  <si>
    <t>Excel Native Function Approach&gt;&gt;&gt;&gt;&gt;</t>
  </si>
  <si>
    <t>For Returning Prime Factors&gt;&gt;&gt;&gt;&gt;</t>
  </si>
  <si>
    <t>2,3,4,5,</t>
  </si>
  <si>
    <t>6,7,8,9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</si>
</sst>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C1173-4244-4BF6-B6AB-E7101123A0F1}">
  <sheetPr codeName="Sheet1"/>
  <dimension ref="A1:AX762"/>
  <sheetViews>
    <sheetView tabSelected="1" topLeftCell="A139" workbookViewId="0">
      <selection activeCell="K139" sqref="K139"/>
    </sheetView>
  </sheetViews>
  <sheetFormatPr defaultRowHeight="15" x14ac:dyDescent="0.25"/>
  <cols>
    <col min="1" max="4" width="9.140625" style="2"/>
    <col min="5" max="5" width="11" style="2" bestFit="1" customWidth="1"/>
    <col min="6" max="16384" width="9.140625" style="2"/>
  </cols>
  <sheetData>
    <row r="1" spans="1:50" x14ac:dyDescent="0.25">
      <c r="A1" s="1" t="s">
        <v>5</v>
      </c>
      <c r="AG1" s="4" t="s">
        <v>31</v>
      </c>
      <c r="AH1" s="1" t="s">
        <v>7</v>
      </c>
    </row>
    <row r="2" spans="1:50" x14ac:dyDescent="0.25">
      <c r="A2" s="2">
        <v>29</v>
      </c>
      <c r="B2" s="2">
        <v>17</v>
      </c>
      <c r="E2" s="2">
        <f>A8353</f>
        <v>0</v>
      </c>
      <c r="F2" s="2">
        <v>31</v>
      </c>
      <c r="I2" s="2">
        <f>K180</f>
        <v>1000171</v>
      </c>
      <c r="J2" s="2">
        <f>L16</f>
        <v>34483</v>
      </c>
      <c r="K2" s="2">
        <f>L10</f>
        <v>9901</v>
      </c>
      <c r="L2" s="2">
        <f>M15</f>
        <v>71429</v>
      </c>
      <c r="M2" s="2">
        <f>L20</f>
        <v>333337</v>
      </c>
      <c r="AG2" s="4" t="s">
        <v>32</v>
      </c>
      <c r="AH2" s="2" t="s">
        <v>8</v>
      </c>
    </row>
    <row r="3" spans="1:50" x14ac:dyDescent="0.25">
      <c r="B3" s="2">
        <v>29</v>
      </c>
      <c r="M3" s="2">
        <v>97</v>
      </c>
      <c r="AH3" s="2" t="s">
        <v>9</v>
      </c>
    </row>
    <row r="4" spans="1:50" x14ac:dyDescent="0.25">
      <c r="A4" s="2" t="b" cm="1">
        <f t="array" ref="A4:Z5">_xlfn.LET(_xlpm.inputRange,A2:Z3,_xlfn.MAP(_xlpm.inputRange,_xlfn.LAMBDA(_xlpm.num,IF(OR(_xlpm.num&lt;=1,_xlpm.num=""),FALSE,IF(_xlpm.num=2,TRUE,IF(MOD(_xlpm.num,2)=0,FALSE,_xlfn.LET(_xlpm.maxDiv,INT(SQRT(_xlpm.num)),_xlpm.divs,_xlfn.SEQUENCE(ROUNDUP(_xlpm.maxDiv/2,0),1,3,2),AND(MOD(_xlpm.num,_xlpm.divs)&lt;&gt;0))))))))</f>
        <v>1</v>
      </c>
      <c r="B4" s="2" t="b">
        <v>1</v>
      </c>
      <c r="C4" s="2" t="b">
        <v>0</v>
      </c>
      <c r="D4" s="2" t="b">
        <v>0</v>
      </c>
      <c r="E4" s="2" t="b">
        <v>0</v>
      </c>
      <c r="F4" s="2" t="b">
        <v>1</v>
      </c>
      <c r="G4" s="2" t="b">
        <v>0</v>
      </c>
      <c r="H4" s="2" t="b">
        <v>0</v>
      </c>
      <c r="I4" s="2" t="b">
        <v>1</v>
      </c>
      <c r="J4" s="2" t="b">
        <v>1</v>
      </c>
      <c r="K4" s="2" t="b">
        <v>1</v>
      </c>
      <c r="L4" s="2" t="b">
        <v>1</v>
      </c>
      <c r="M4" s="2" t="b">
        <v>1</v>
      </c>
      <c r="N4" s="2" t="b">
        <v>0</v>
      </c>
      <c r="O4" s="2" t="b">
        <v>0</v>
      </c>
      <c r="P4" s="2" t="b">
        <v>0</v>
      </c>
      <c r="Q4" s="2" t="b">
        <v>0</v>
      </c>
      <c r="R4" s="2" t="b">
        <v>0</v>
      </c>
      <c r="S4" s="2" t="b">
        <v>0</v>
      </c>
      <c r="T4" s="2" t="b">
        <v>0</v>
      </c>
      <c r="U4" s="2" t="b">
        <v>0</v>
      </c>
      <c r="V4" s="2" t="b">
        <v>0</v>
      </c>
      <c r="W4" s="2" t="b">
        <v>0</v>
      </c>
      <c r="X4" s="2" t="b">
        <v>0</v>
      </c>
      <c r="Y4" s="2" t="b">
        <v>0</v>
      </c>
      <c r="Z4" s="2" t="b">
        <v>0</v>
      </c>
      <c r="AH4" s="2" t="s">
        <v>10</v>
      </c>
    </row>
    <row r="5" spans="1:50" x14ac:dyDescent="0.25">
      <c r="A5" s="2" t="b">
        <v>0</v>
      </c>
      <c r="B5" s="2" t="b">
        <v>1</v>
      </c>
      <c r="C5" s="2" t="b">
        <v>0</v>
      </c>
      <c r="D5" s="2" t="b">
        <v>0</v>
      </c>
      <c r="E5" s="2" t="b">
        <v>0</v>
      </c>
      <c r="F5" s="2" t="b">
        <v>0</v>
      </c>
      <c r="G5" s="2" t="b">
        <v>0</v>
      </c>
      <c r="H5" s="2" t="b">
        <v>0</v>
      </c>
      <c r="I5" s="2" t="b">
        <v>0</v>
      </c>
      <c r="J5" s="2" t="b">
        <v>0</v>
      </c>
      <c r="K5" s="2" t="b">
        <v>0</v>
      </c>
      <c r="L5" s="2" t="b">
        <v>0</v>
      </c>
      <c r="M5" s="2" t="b">
        <v>1</v>
      </c>
      <c r="N5" s="2" t="b">
        <v>0</v>
      </c>
      <c r="O5" s="2" t="b">
        <v>0</v>
      </c>
      <c r="P5" s="2" t="b">
        <v>0</v>
      </c>
      <c r="Q5" s="2" t="b">
        <v>0</v>
      </c>
      <c r="R5" s="2" t="b">
        <v>0</v>
      </c>
      <c r="S5" s="2" t="b">
        <v>0</v>
      </c>
      <c r="T5" s="2" t="b">
        <v>0</v>
      </c>
      <c r="U5" s="2" t="b">
        <v>0</v>
      </c>
      <c r="V5" s="2" t="b">
        <v>0</v>
      </c>
      <c r="W5" s="2" t="b">
        <v>0</v>
      </c>
      <c r="X5" s="2" t="b">
        <v>0</v>
      </c>
      <c r="Y5" s="2" t="b">
        <v>0</v>
      </c>
      <c r="Z5" s="2" t="b">
        <v>0</v>
      </c>
      <c r="AH5" s="2" t="s">
        <v>11</v>
      </c>
    </row>
    <row r="6" spans="1:50" x14ac:dyDescent="0.25">
      <c r="AH6" s="2" t="s">
        <v>12</v>
      </c>
    </row>
    <row r="7" spans="1:50" x14ac:dyDescent="0.25">
      <c r="A7" s="1" t="s">
        <v>4</v>
      </c>
      <c r="AH7" s="2" t="s">
        <v>13</v>
      </c>
    </row>
    <row r="8" spans="1:50" x14ac:dyDescent="0.25">
      <c r="A8" s="3" t="s">
        <v>0</v>
      </c>
      <c r="B8" s="3" t="s">
        <v>1</v>
      </c>
      <c r="H8" s="1" t="s">
        <v>3</v>
      </c>
      <c r="AH8" s="2" t="s">
        <v>14</v>
      </c>
    </row>
    <row r="9" spans="1:50" x14ac:dyDescent="0.25">
      <c r="A9" s="3">
        <v>1000001</v>
      </c>
      <c r="B9" s="3">
        <f>A9+10000</f>
        <v>1010001</v>
      </c>
      <c r="AH9" s="2" t="s">
        <v>15</v>
      </c>
    </row>
    <row r="10" spans="1:50" x14ac:dyDescent="0.25">
      <c r="A10" s="2" cm="1">
        <f t="array" ref="A10:A762">_xlfn.LET(_xlpm.l,A9,_xlpm.u,B9,_xlpm.s,_xlfn.SEQUENCE(_xlpm.u-_xlpm.l+1,,_xlpm.l),_xlfn._xlws.FILTER(_xlpm.s,_xlfn.MAP(_xlpm.s,_xlfn.LAMBDA(_xlpm.n,IF(_xlpm.n&lt;2,FALSE,IF(_xlpm.n=2,TRUE,IF(MOD(_xlpm.n,2)=0,FALSE,_xlfn.LET(_xlpm.d,INT(SQRT(_xlpm.n)),_xlpm.r,_xlfn.SEQUENCE(_xlpm.d,,3,2),AND(MOD(_xlpm.n,_xlpm.r)&lt;&gt;0)))))))))</f>
        <v>1000003</v>
      </c>
      <c r="B10" s="2" t="s">
        <v>2</v>
      </c>
      <c r="H10" s="2">
        <f>A10-2</f>
        <v>1000001</v>
      </c>
      <c r="K10" s="2" cm="1">
        <f t="array" ref="K10:S182">prime_factors(H10:H182)</f>
        <v>101</v>
      </c>
      <c r="L10" s="2">
        <v>9901</v>
      </c>
      <c r="M10" s="2" t="str">
        <v/>
      </c>
      <c r="N10" s="2" t="str">
        <v/>
      </c>
      <c r="O10" s="2" t="str">
        <v/>
      </c>
      <c r="P10" s="2" t="str">
        <v/>
      </c>
      <c r="Q10" s="2" t="str">
        <v/>
      </c>
      <c r="R10" s="2" t="str">
        <v/>
      </c>
      <c r="S10" s="2" t="str">
        <v/>
      </c>
      <c r="T10" s="2" cm="1">
        <f t="array" ref="T10:T182">_xlfn.BYROW(_xlfn.ANCHORARRAY(K10),_xlfn.LAMBDA(_xlpm.x,PRODUCT(_xlpm.x)))</f>
        <v>1000001</v>
      </c>
      <c r="U10" s="1" t="b" cm="1">
        <f t="array" ref="U10">SUM((H10:H182=_xlfn.ANCHORARRAY(T10))*1)=COUNT(_xlfn.ANCHORARRAY(T10))</f>
        <v>1</v>
      </c>
      <c r="V10" s="1" t="s">
        <v>6</v>
      </c>
      <c r="X10" s="2" cm="1">
        <f t="array" ref="X10:AF182">IFERROR(VALUE(_xlfn.DROP(IFERROR(_xlfn.REDUCE("",PrimeFactors(H10:H182),_xlfn.LAMBDA(_xlpm.x,_xlpm.y,_xlfn.VSTACK(_xlpm.x,_xlfn.TEXTSPLIT(_xlpm.y,",")))),""),1,-1)),"")</f>
        <v>101</v>
      </c>
      <c r="Y10" s="2">
        <v>9901</v>
      </c>
      <c r="Z10" s="2" t="str">
        <v/>
      </c>
      <c r="AA10" s="2" t="str">
        <v/>
      </c>
      <c r="AB10" s="2" t="str">
        <v/>
      </c>
      <c r="AC10" s="2" t="str">
        <v/>
      </c>
      <c r="AD10" s="2" t="str">
        <v/>
      </c>
      <c r="AE10" s="2" t="str">
        <v/>
      </c>
      <c r="AF10" s="2" t="str">
        <v/>
      </c>
      <c r="AH10" s="2" t="s">
        <v>16</v>
      </c>
      <c r="AN10" s="2" cm="1">
        <f t="array" ref="AN10:AV182">IFERROR(VALUE(_xlfn.DROP(SPLIT_TEXT(PrimeFactors(H10:H182),","),,-1)),"")</f>
        <v>101</v>
      </c>
      <c r="AO10" s="2">
        <v>9901</v>
      </c>
      <c r="AP10" s="2" t="str">
        <v/>
      </c>
      <c r="AQ10" s="2" t="str">
        <v/>
      </c>
      <c r="AR10" s="2" t="str">
        <v/>
      </c>
      <c r="AS10" s="2" t="str">
        <v/>
      </c>
      <c r="AT10" s="2" t="str">
        <v/>
      </c>
      <c r="AU10" s="2" t="str">
        <v/>
      </c>
      <c r="AV10" s="2" t="str">
        <v/>
      </c>
      <c r="AX10" s="2" t="b" cm="1">
        <f t="array" ref="AX10">SUM((H10:H182=_xlfn.BYROW(_xlfn.ANCHORARRAY(AN10),_xlfn.LAMBDA(_xlpm.a,PRODUCT(_xlpm.a))))*1)=COUNT(_xlfn.BYROW(_xlfn.ANCHORARRAY(AN10),_xlfn.LAMBDA(_xlpm.a,PRODUCT(_xlpm.a))))</f>
        <v>1</v>
      </c>
    </row>
    <row r="11" spans="1:50" x14ac:dyDescent="0.25">
      <c r="A11" s="2">
        <v>1000033</v>
      </c>
      <c r="H11" s="2">
        <f>H10+1</f>
        <v>1000002</v>
      </c>
      <c r="K11" s="2">
        <v>2</v>
      </c>
      <c r="L11" s="2">
        <v>3</v>
      </c>
      <c r="M11" s="2">
        <v>166667</v>
      </c>
      <c r="N11" s="2" t="str">
        <v/>
      </c>
      <c r="O11" s="2" t="str">
        <v/>
      </c>
      <c r="P11" s="2" t="str">
        <v/>
      </c>
      <c r="Q11" s="2" t="str">
        <v/>
      </c>
      <c r="R11" s="2" t="str">
        <v/>
      </c>
      <c r="S11" s="2" t="str">
        <v/>
      </c>
      <c r="T11" s="2">
        <v>1000002</v>
      </c>
      <c r="X11" s="2">
        <v>2</v>
      </c>
      <c r="Y11" s="2">
        <v>3</v>
      </c>
      <c r="Z11" s="2">
        <v>166667</v>
      </c>
      <c r="AA11" s="2" t="str">
        <v/>
      </c>
      <c r="AB11" s="2" t="str">
        <v/>
      </c>
      <c r="AC11" s="2" t="str">
        <v/>
      </c>
      <c r="AD11" s="2" t="str">
        <v/>
      </c>
      <c r="AE11" s="2" t="str">
        <v/>
      </c>
      <c r="AF11" s="2" t="str">
        <v/>
      </c>
      <c r="AH11" s="2" t="s">
        <v>17</v>
      </c>
      <c r="AN11" s="2">
        <v>2</v>
      </c>
      <c r="AO11" s="2">
        <v>3</v>
      </c>
      <c r="AP11" s="2">
        <v>166667</v>
      </c>
      <c r="AQ11" s="2" t="str">
        <v/>
      </c>
      <c r="AR11" s="2" t="str">
        <v/>
      </c>
      <c r="AS11" s="2" t="str">
        <v/>
      </c>
      <c r="AT11" s="2" t="str">
        <v/>
      </c>
      <c r="AU11" s="2" t="str">
        <v/>
      </c>
      <c r="AV11" s="2" t="str">
        <v/>
      </c>
    </row>
    <row r="12" spans="1:50" x14ac:dyDescent="0.25">
      <c r="A12" s="2">
        <v>1000037</v>
      </c>
      <c r="H12" s="2">
        <f t="shared" ref="H12:H75" si="0">H11+1</f>
        <v>1000003</v>
      </c>
      <c r="K12" s="2">
        <v>1000003</v>
      </c>
      <c r="L12" s="2" t="str">
        <v/>
      </c>
      <c r="M12" s="2" t="str">
        <v/>
      </c>
      <c r="N12" s="2" t="str">
        <v/>
      </c>
      <c r="O12" s="2" t="str">
        <v/>
      </c>
      <c r="P12" s="2" t="str">
        <v/>
      </c>
      <c r="Q12" s="2" t="str">
        <v/>
      </c>
      <c r="R12" s="2" t="str">
        <v/>
      </c>
      <c r="S12" s="2" t="str">
        <v/>
      </c>
      <c r="T12" s="2">
        <v>1000003</v>
      </c>
      <c r="X12" s="2">
        <v>1000003</v>
      </c>
      <c r="Y12" s="2" t="str">
        <v/>
      </c>
      <c r="Z12" s="2" t="str">
        <v/>
      </c>
      <c r="AA12" s="2" t="str">
        <v/>
      </c>
      <c r="AB12" s="2" t="str">
        <v/>
      </c>
      <c r="AC12" s="2" t="str">
        <v/>
      </c>
      <c r="AD12" s="2" t="str">
        <v/>
      </c>
      <c r="AE12" s="2" t="str">
        <v/>
      </c>
      <c r="AF12" s="2" t="str">
        <v/>
      </c>
      <c r="AH12" s="2" t="s">
        <v>18</v>
      </c>
      <c r="AN12" s="2">
        <v>1000003</v>
      </c>
      <c r="AO12" s="2" t="str">
        <v/>
      </c>
      <c r="AP12" s="2" t="str">
        <v/>
      </c>
      <c r="AQ12" s="2" t="str">
        <v/>
      </c>
      <c r="AR12" s="2" t="str">
        <v/>
      </c>
      <c r="AS12" s="2" t="str">
        <v/>
      </c>
      <c r="AT12" s="2" t="str">
        <v/>
      </c>
      <c r="AU12" s="2" t="str">
        <v/>
      </c>
      <c r="AV12" s="2" t="str">
        <v/>
      </c>
    </row>
    <row r="13" spans="1:50" x14ac:dyDescent="0.25">
      <c r="A13" s="2">
        <v>1000039</v>
      </c>
      <c r="H13" s="2">
        <f t="shared" si="0"/>
        <v>1000004</v>
      </c>
      <c r="K13" s="2">
        <v>2</v>
      </c>
      <c r="L13" s="2">
        <v>2</v>
      </c>
      <c r="M13" s="2">
        <v>53</v>
      </c>
      <c r="N13" s="2">
        <v>53</v>
      </c>
      <c r="O13" s="2">
        <v>89</v>
      </c>
      <c r="P13" s="2" t="str">
        <v/>
      </c>
      <c r="Q13" s="2" t="str">
        <v/>
      </c>
      <c r="R13" s="2" t="str">
        <v/>
      </c>
      <c r="S13" s="2" t="str">
        <v/>
      </c>
      <c r="T13" s="2">
        <v>1000004</v>
      </c>
      <c r="X13" s="2">
        <v>2</v>
      </c>
      <c r="Y13" s="2">
        <v>2</v>
      </c>
      <c r="Z13" s="2">
        <v>53</v>
      </c>
      <c r="AA13" s="2">
        <v>53</v>
      </c>
      <c r="AB13" s="2">
        <v>89</v>
      </c>
      <c r="AC13" s="2" t="str">
        <v/>
      </c>
      <c r="AD13" s="2" t="str">
        <v/>
      </c>
      <c r="AE13" s="2" t="str">
        <v/>
      </c>
      <c r="AF13" s="2" t="str">
        <v/>
      </c>
      <c r="AH13" s="2" t="s">
        <v>19</v>
      </c>
      <c r="AN13" s="2">
        <v>2</v>
      </c>
      <c r="AO13" s="2">
        <v>2</v>
      </c>
      <c r="AP13" s="2">
        <v>53</v>
      </c>
      <c r="AQ13" s="2">
        <v>53</v>
      </c>
      <c r="AR13" s="2">
        <v>89</v>
      </c>
      <c r="AS13" s="2" t="str">
        <v/>
      </c>
      <c r="AT13" s="2" t="str">
        <v/>
      </c>
      <c r="AU13" s="2" t="str">
        <v/>
      </c>
      <c r="AV13" s="2" t="str">
        <v/>
      </c>
    </row>
    <row r="14" spans="1:50" x14ac:dyDescent="0.25">
      <c r="A14" s="2">
        <v>1000081</v>
      </c>
      <c r="H14" s="2">
        <f t="shared" si="0"/>
        <v>1000005</v>
      </c>
      <c r="K14" s="2">
        <v>3</v>
      </c>
      <c r="L14" s="2">
        <v>5</v>
      </c>
      <c r="M14" s="2">
        <v>163</v>
      </c>
      <c r="N14" s="2">
        <v>409</v>
      </c>
      <c r="O14" s="2" t="str">
        <v/>
      </c>
      <c r="P14" s="2" t="str">
        <v/>
      </c>
      <c r="Q14" s="2" t="str">
        <v/>
      </c>
      <c r="R14" s="2" t="str">
        <v/>
      </c>
      <c r="S14" s="2" t="str">
        <v/>
      </c>
      <c r="T14" s="2">
        <v>1000005</v>
      </c>
      <c r="X14" s="2">
        <v>3</v>
      </c>
      <c r="Y14" s="2">
        <v>5</v>
      </c>
      <c r="Z14" s="2">
        <v>163</v>
      </c>
      <c r="AA14" s="2">
        <v>409</v>
      </c>
      <c r="AB14" s="2" t="str">
        <v/>
      </c>
      <c r="AC14" s="2" t="str">
        <v/>
      </c>
      <c r="AD14" s="2" t="str">
        <v/>
      </c>
      <c r="AE14" s="2" t="str">
        <v/>
      </c>
      <c r="AF14" s="2" t="str">
        <v/>
      </c>
      <c r="AH14" s="2" t="s">
        <v>20</v>
      </c>
      <c r="AN14" s="2">
        <v>3</v>
      </c>
      <c r="AO14" s="2">
        <v>5</v>
      </c>
      <c r="AP14" s="2">
        <v>163</v>
      </c>
      <c r="AQ14" s="2">
        <v>409</v>
      </c>
      <c r="AR14" s="2" t="str">
        <v/>
      </c>
      <c r="AS14" s="2" t="str">
        <v/>
      </c>
      <c r="AT14" s="2" t="str">
        <v/>
      </c>
      <c r="AU14" s="2" t="str">
        <v/>
      </c>
      <c r="AV14" s="2" t="str">
        <v/>
      </c>
    </row>
    <row r="15" spans="1:50" x14ac:dyDescent="0.25">
      <c r="A15" s="2">
        <v>1000099</v>
      </c>
      <c r="H15" s="2">
        <f t="shared" si="0"/>
        <v>1000006</v>
      </c>
      <c r="K15" s="2">
        <v>2</v>
      </c>
      <c r="L15" s="2">
        <v>7</v>
      </c>
      <c r="M15" s="2">
        <v>71429</v>
      </c>
      <c r="N15" s="2" t="str">
        <v/>
      </c>
      <c r="O15" s="2" t="str">
        <v/>
      </c>
      <c r="P15" s="2" t="str">
        <v/>
      </c>
      <c r="Q15" s="2" t="str">
        <v/>
      </c>
      <c r="R15" s="2" t="str">
        <v/>
      </c>
      <c r="S15" s="2" t="str">
        <v/>
      </c>
      <c r="T15" s="2">
        <v>1000006</v>
      </c>
      <c r="X15" s="2">
        <v>2</v>
      </c>
      <c r="Y15" s="2">
        <v>7</v>
      </c>
      <c r="Z15" s="2">
        <v>71429</v>
      </c>
      <c r="AA15" s="2" t="str">
        <v/>
      </c>
      <c r="AB15" s="2" t="str">
        <v/>
      </c>
      <c r="AC15" s="2" t="str">
        <v/>
      </c>
      <c r="AD15" s="2" t="str">
        <v/>
      </c>
      <c r="AE15" s="2" t="str">
        <v/>
      </c>
      <c r="AF15" s="2" t="str">
        <v/>
      </c>
      <c r="AH15" s="2" t="s">
        <v>21</v>
      </c>
      <c r="AN15" s="2">
        <v>2</v>
      </c>
      <c r="AO15" s="2">
        <v>7</v>
      </c>
      <c r="AP15" s="2">
        <v>71429</v>
      </c>
      <c r="AQ15" s="2" t="str">
        <v/>
      </c>
      <c r="AR15" s="2" t="str">
        <v/>
      </c>
      <c r="AS15" s="2" t="str">
        <v/>
      </c>
      <c r="AT15" s="2" t="str">
        <v/>
      </c>
      <c r="AU15" s="2" t="str">
        <v/>
      </c>
      <c r="AV15" s="2" t="str">
        <v/>
      </c>
    </row>
    <row r="16" spans="1:50" x14ac:dyDescent="0.25">
      <c r="A16" s="2">
        <v>1000117</v>
      </c>
      <c r="H16" s="2">
        <f t="shared" si="0"/>
        <v>1000007</v>
      </c>
      <c r="K16" s="2">
        <v>29</v>
      </c>
      <c r="L16" s="2">
        <v>34483</v>
      </c>
      <c r="M16" s="2" t="str">
        <v/>
      </c>
      <c r="N16" s="2" t="str">
        <v/>
      </c>
      <c r="O16" s="2" t="str">
        <v/>
      </c>
      <c r="P16" s="2" t="str">
        <v/>
      </c>
      <c r="Q16" s="2" t="str">
        <v/>
      </c>
      <c r="R16" s="2" t="str">
        <v/>
      </c>
      <c r="S16" s="2" t="str">
        <v/>
      </c>
      <c r="T16" s="2">
        <v>1000007</v>
      </c>
      <c r="X16" s="2">
        <v>29</v>
      </c>
      <c r="Y16" s="2">
        <v>34483</v>
      </c>
      <c r="Z16" s="2" t="str">
        <v/>
      </c>
      <c r="AA16" s="2" t="str">
        <v/>
      </c>
      <c r="AB16" s="2" t="str">
        <v/>
      </c>
      <c r="AC16" s="2" t="str">
        <v/>
      </c>
      <c r="AD16" s="2" t="str">
        <v/>
      </c>
      <c r="AE16" s="2" t="str">
        <v/>
      </c>
      <c r="AF16" s="2" t="str">
        <v/>
      </c>
      <c r="AH16" s="2" t="s">
        <v>22</v>
      </c>
      <c r="AN16" s="2">
        <v>29</v>
      </c>
      <c r="AO16" s="2">
        <v>34483</v>
      </c>
      <c r="AP16" s="2" t="str">
        <v/>
      </c>
      <c r="AQ16" s="2" t="str">
        <v/>
      </c>
      <c r="AR16" s="2" t="str">
        <v/>
      </c>
      <c r="AS16" s="2" t="str">
        <v/>
      </c>
      <c r="AT16" s="2" t="str">
        <v/>
      </c>
      <c r="AU16" s="2" t="str">
        <v/>
      </c>
      <c r="AV16" s="2" t="str">
        <v/>
      </c>
    </row>
    <row r="17" spans="1:48" x14ac:dyDescent="0.25">
      <c r="A17" s="2">
        <v>1000121</v>
      </c>
      <c r="H17" s="2">
        <f t="shared" si="0"/>
        <v>1000008</v>
      </c>
      <c r="K17" s="2">
        <v>2</v>
      </c>
      <c r="L17" s="2">
        <v>2</v>
      </c>
      <c r="M17" s="2">
        <v>2</v>
      </c>
      <c r="N17" s="2">
        <v>3</v>
      </c>
      <c r="O17" s="2">
        <v>3</v>
      </c>
      <c r="P17" s="2">
        <v>17</v>
      </c>
      <c r="Q17" s="2">
        <v>19</v>
      </c>
      <c r="R17" s="2">
        <v>43</v>
      </c>
      <c r="S17" s="2" t="str">
        <v/>
      </c>
      <c r="T17" s="2">
        <v>1000008</v>
      </c>
      <c r="X17" s="2">
        <v>2</v>
      </c>
      <c r="Y17" s="2">
        <v>2</v>
      </c>
      <c r="Z17" s="2">
        <v>2</v>
      </c>
      <c r="AA17" s="2">
        <v>3</v>
      </c>
      <c r="AB17" s="2">
        <v>3</v>
      </c>
      <c r="AC17" s="2">
        <v>17</v>
      </c>
      <c r="AD17" s="2">
        <v>19</v>
      </c>
      <c r="AE17" s="2">
        <v>43</v>
      </c>
      <c r="AF17" s="2" t="str">
        <v/>
      </c>
      <c r="AN17" s="2">
        <v>2</v>
      </c>
      <c r="AO17" s="2">
        <v>2</v>
      </c>
      <c r="AP17" s="2">
        <v>2</v>
      </c>
      <c r="AQ17" s="2">
        <v>3</v>
      </c>
      <c r="AR17" s="2">
        <v>3</v>
      </c>
      <c r="AS17" s="2">
        <v>17</v>
      </c>
      <c r="AT17" s="2">
        <v>19</v>
      </c>
      <c r="AU17" s="2">
        <v>43</v>
      </c>
      <c r="AV17" s="2" t="str">
        <v/>
      </c>
    </row>
    <row r="18" spans="1:48" x14ac:dyDescent="0.25">
      <c r="A18" s="2">
        <v>1000133</v>
      </c>
      <c r="H18" s="2">
        <f t="shared" si="0"/>
        <v>1000009</v>
      </c>
      <c r="K18" s="2">
        <v>293</v>
      </c>
      <c r="L18" s="2">
        <v>3413</v>
      </c>
      <c r="M18" s="2" t="str">
        <v/>
      </c>
      <c r="N18" s="2" t="str">
        <v/>
      </c>
      <c r="O18" s="2" t="str">
        <v/>
      </c>
      <c r="P18" s="2" t="str">
        <v/>
      </c>
      <c r="Q18" s="2" t="str">
        <v/>
      </c>
      <c r="R18" s="2" t="str">
        <v/>
      </c>
      <c r="S18" s="2" t="str">
        <v/>
      </c>
      <c r="T18" s="2">
        <v>1000009</v>
      </c>
      <c r="X18" s="2">
        <v>293</v>
      </c>
      <c r="Y18" s="2">
        <v>3413</v>
      </c>
      <c r="Z18" s="2" t="str">
        <v/>
      </c>
      <c r="AA18" s="2" t="str">
        <v/>
      </c>
      <c r="AB18" s="2" t="str">
        <v/>
      </c>
      <c r="AC18" s="2" t="str">
        <v/>
      </c>
      <c r="AD18" s="2" t="str">
        <v/>
      </c>
      <c r="AE18" s="2" t="str">
        <v/>
      </c>
      <c r="AF18" s="2" t="str">
        <v/>
      </c>
      <c r="AH18" s="1" t="s">
        <v>23</v>
      </c>
      <c r="AN18" s="2">
        <v>293</v>
      </c>
      <c r="AO18" s="2">
        <v>3413</v>
      </c>
      <c r="AP18" s="2" t="str">
        <v/>
      </c>
      <c r="AQ18" s="2" t="str">
        <v/>
      </c>
      <c r="AR18" s="2" t="str">
        <v/>
      </c>
      <c r="AS18" s="2" t="str">
        <v/>
      </c>
      <c r="AT18" s="2" t="str">
        <v/>
      </c>
      <c r="AU18" s="2" t="str">
        <v/>
      </c>
      <c r="AV18" s="2" t="str">
        <v/>
      </c>
    </row>
    <row r="19" spans="1:48" x14ac:dyDescent="0.25">
      <c r="A19" s="2">
        <v>1000151</v>
      </c>
      <c r="H19" s="2">
        <f t="shared" si="0"/>
        <v>1000010</v>
      </c>
      <c r="K19" s="2">
        <v>2</v>
      </c>
      <c r="L19" s="2">
        <v>5</v>
      </c>
      <c r="M19" s="2">
        <v>11</v>
      </c>
      <c r="N19" s="2">
        <v>9091</v>
      </c>
      <c r="O19" s="2" t="str">
        <v/>
      </c>
      <c r="P19" s="2" t="str">
        <v/>
      </c>
      <c r="Q19" s="2" t="str">
        <v/>
      </c>
      <c r="R19" s="2" t="str">
        <v/>
      </c>
      <c r="S19" s="2" t="str">
        <v/>
      </c>
      <c r="T19" s="2">
        <v>1000010</v>
      </c>
      <c r="X19" s="2">
        <v>2</v>
      </c>
      <c r="Y19" s="2">
        <v>5</v>
      </c>
      <c r="Z19" s="2">
        <v>11</v>
      </c>
      <c r="AA19" s="2">
        <v>9091</v>
      </c>
      <c r="AB19" s="2" t="str">
        <v/>
      </c>
      <c r="AC19" s="2" t="str">
        <v/>
      </c>
      <c r="AD19" s="2" t="str">
        <v/>
      </c>
      <c r="AE19" s="2" t="str">
        <v/>
      </c>
      <c r="AF19" s="2" t="str">
        <v/>
      </c>
      <c r="AH19" s="2" t="s">
        <v>24</v>
      </c>
      <c r="AN19" s="2">
        <v>2</v>
      </c>
      <c r="AO19" s="2">
        <v>5</v>
      </c>
      <c r="AP19" s="2">
        <v>11</v>
      </c>
      <c r="AQ19" s="2">
        <v>9091</v>
      </c>
      <c r="AR19" s="2" t="str">
        <v/>
      </c>
      <c r="AS19" s="2" t="str">
        <v/>
      </c>
      <c r="AT19" s="2" t="str">
        <v/>
      </c>
      <c r="AU19" s="2" t="str">
        <v/>
      </c>
      <c r="AV19" s="2" t="str">
        <v/>
      </c>
    </row>
    <row r="20" spans="1:48" x14ac:dyDescent="0.25">
      <c r="A20" s="2">
        <v>1000159</v>
      </c>
      <c r="H20" s="2">
        <f t="shared" si="0"/>
        <v>1000011</v>
      </c>
      <c r="K20" s="2">
        <v>3</v>
      </c>
      <c r="L20" s="2">
        <v>333337</v>
      </c>
      <c r="M20" s="2" t="str">
        <v/>
      </c>
      <c r="N20" s="2" t="str">
        <v/>
      </c>
      <c r="O20" s="2" t="str">
        <v/>
      </c>
      <c r="P20" s="2" t="str">
        <v/>
      </c>
      <c r="Q20" s="2" t="str">
        <v/>
      </c>
      <c r="R20" s="2" t="str">
        <v/>
      </c>
      <c r="S20" s="2" t="str">
        <v/>
      </c>
      <c r="T20" s="2">
        <v>1000011</v>
      </c>
      <c r="X20" s="2">
        <v>3</v>
      </c>
      <c r="Y20" s="2">
        <v>333337</v>
      </c>
      <c r="Z20" s="2" t="str">
        <v/>
      </c>
      <c r="AA20" s="2" t="str">
        <v/>
      </c>
      <c r="AB20" s="2" t="str">
        <v/>
      </c>
      <c r="AC20" s="2" t="str">
        <v/>
      </c>
      <c r="AD20" s="2" t="str">
        <v/>
      </c>
      <c r="AE20" s="2" t="str">
        <v/>
      </c>
      <c r="AF20" s="2" t="str">
        <v/>
      </c>
      <c r="AH20" s="2" t="s">
        <v>25</v>
      </c>
      <c r="AN20" s="2">
        <v>3</v>
      </c>
      <c r="AO20" s="2">
        <v>333337</v>
      </c>
      <c r="AP20" s="2" t="str">
        <v/>
      </c>
      <c r="AQ20" s="2" t="str">
        <v/>
      </c>
      <c r="AR20" s="2" t="str">
        <v/>
      </c>
      <c r="AS20" s="2" t="str">
        <v/>
      </c>
      <c r="AT20" s="2" t="str">
        <v/>
      </c>
      <c r="AU20" s="2" t="str">
        <v/>
      </c>
      <c r="AV20" s="2" t="str">
        <v/>
      </c>
    </row>
    <row r="21" spans="1:48" x14ac:dyDescent="0.25">
      <c r="A21" s="2">
        <v>1000171</v>
      </c>
      <c r="H21" s="2">
        <f t="shared" si="0"/>
        <v>1000012</v>
      </c>
      <c r="K21" s="2">
        <v>2</v>
      </c>
      <c r="L21" s="2">
        <v>2</v>
      </c>
      <c r="M21" s="2">
        <v>13</v>
      </c>
      <c r="N21" s="2">
        <v>19231</v>
      </c>
      <c r="O21" s="2" t="str">
        <v/>
      </c>
      <c r="P21" s="2" t="str">
        <v/>
      </c>
      <c r="Q21" s="2" t="str">
        <v/>
      </c>
      <c r="R21" s="2" t="str">
        <v/>
      </c>
      <c r="S21" s="2" t="str">
        <v/>
      </c>
      <c r="T21" s="2">
        <v>1000012</v>
      </c>
      <c r="X21" s="2">
        <v>2</v>
      </c>
      <c r="Y21" s="2">
        <v>2</v>
      </c>
      <c r="Z21" s="2">
        <v>13</v>
      </c>
      <c r="AA21" s="2">
        <v>19231</v>
      </c>
      <c r="AB21" s="2" t="str">
        <v/>
      </c>
      <c r="AC21" s="2" t="str">
        <v/>
      </c>
      <c r="AD21" s="2" t="str">
        <v/>
      </c>
      <c r="AE21" s="2" t="str">
        <v/>
      </c>
      <c r="AF21" s="2" t="str">
        <v/>
      </c>
      <c r="AH21" s="2" t="s">
        <v>26</v>
      </c>
      <c r="AN21" s="2">
        <v>2</v>
      </c>
      <c r="AO21" s="2">
        <v>2</v>
      </c>
      <c r="AP21" s="2">
        <v>13</v>
      </c>
      <c r="AQ21" s="2">
        <v>19231</v>
      </c>
      <c r="AR21" s="2" t="str">
        <v/>
      </c>
      <c r="AS21" s="2" t="str">
        <v/>
      </c>
      <c r="AT21" s="2" t="str">
        <v/>
      </c>
      <c r="AU21" s="2" t="str">
        <v/>
      </c>
      <c r="AV21" s="2" t="str">
        <v/>
      </c>
    </row>
    <row r="22" spans="1:48" x14ac:dyDescent="0.25">
      <c r="A22" s="2">
        <v>1000183</v>
      </c>
      <c r="H22" s="2">
        <f t="shared" si="0"/>
        <v>1000013</v>
      </c>
      <c r="K22" s="2">
        <v>7</v>
      </c>
      <c r="L22" s="2">
        <v>373</v>
      </c>
      <c r="M22" s="2">
        <v>383</v>
      </c>
      <c r="N22" s="2" t="str">
        <v/>
      </c>
      <c r="O22" s="2" t="str">
        <v/>
      </c>
      <c r="P22" s="2" t="str">
        <v/>
      </c>
      <c r="Q22" s="2" t="str">
        <v/>
      </c>
      <c r="R22" s="2" t="str">
        <v/>
      </c>
      <c r="S22" s="2" t="str">
        <v/>
      </c>
      <c r="T22" s="2">
        <v>1000013</v>
      </c>
      <c r="X22" s="2">
        <v>7</v>
      </c>
      <c r="Y22" s="2">
        <v>373</v>
      </c>
      <c r="Z22" s="2">
        <v>383</v>
      </c>
      <c r="AA22" s="2" t="str">
        <v/>
      </c>
      <c r="AB22" s="2" t="str">
        <v/>
      </c>
      <c r="AC22" s="2" t="str">
        <v/>
      </c>
      <c r="AD22" s="2" t="str">
        <v/>
      </c>
      <c r="AE22" s="2" t="str">
        <v/>
      </c>
      <c r="AF22" s="2" t="str">
        <v/>
      </c>
      <c r="AH22" s="2" t="s">
        <v>27</v>
      </c>
      <c r="AN22" s="2">
        <v>7</v>
      </c>
      <c r="AO22" s="2">
        <v>373</v>
      </c>
      <c r="AP22" s="2">
        <v>383</v>
      </c>
      <c r="AQ22" s="2" t="str">
        <v/>
      </c>
      <c r="AR22" s="2" t="str">
        <v/>
      </c>
      <c r="AS22" s="2" t="str">
        <v/>
      </c>
      <c r="AT22" s="2" t="str">
        <v/>
      </c>
      <c r="AU22" s="2" t="str">
        <v/>
      </c>
      <c r="AV22" s="2" t="str">
        <v/>
      </c>
    </row>
    <row r="23" spans="1:48" x14ac:dyDescent="0.25">
      <c r="A23" s="2">
        <v>1000187</v>
      </c>
      <c r="H23" s="2">
        <f t="shared" si="0"/>
        <v>1000014</v>
      </c>
      <c r="K23" s="2">
        <v>2</v>
      </c>
      <c r="L23" s="2">
        <v>3</v>
      </c>
      <c r="M23" s="2">
        <v>166669</v>
      </c>
      <c r="N23" s="2" t="str">
        <v/>
      </c>
      <c r="O23" s="2" t="str">
        <v/>
      </c>
      <c r="P23" s="2" t="str">
        <v/>
      </c>
      <c r="Q23" s="2" t="str">
        <v/>
      </c>
      <c r="R23" s="2" t="str">
        <v/>
      </c>
      <c r="S23" s="2" t="str">
        <v/>
      </c>
      <c r="T23" s="2">
        <v>1000014</v>
      </c>
      <c r="X23" s="2">
        <v>2</v>
      </c>
      <c r="Y23" s="2">
        <v>3</v>
      </c>
      <c r="Z23" s="2">
        <v>166669</v>
      </c>
      <c r="AA23" s="2" t="str">
        <v/>
      </c>
      <c r="AB23" s="2" t="str">
        <v/>
      </c>
      <c r="AC23" s="2" t="str">
        <v/>
      </c>
      <c r="AD23" s="2" t="str">
        <v/>
      </c>
      <c r="AE23" s="2" t="str">
        <v/>
      </c>
      <c r="AF23" s="2" t="str">
        <v/>
      </c>
      <c r="AH23" s="2" t="s">
        <v>28</v>
      </c>
      <c r="AN23" s="2">
        <v>2</v>
      </c>
      <c r="AO23" s="2">
        <v>3</v>
      </c>
      <c r="AP23" s="2">
        <v>166669</v>
      </c>
      <c r="AQ23" s="2" t="str">
        <v/>
      </c>
      <c r="AR23" s="2" t="str">
        <v/>
      </c>
      <c r="AS23" s="2" t="str">
        <v/>
      </c>
      <c r="AT23" s="2" t="str">
        <v/>
      </c>
      <c r="AU23" s="2" t="str">
        <v/>
      </c>
      <c r="AV23" s="2" t="str">
        <v/>
      </c>
    </row>
    <row r="24" spans="1:48" x14ac:dyDescent="0.25">
      <c r="A24" s="2">
        <v>1000193</v>
      </c>
      <c r="H24" s="2">
        <f t="shared" si="0"/>
        <v>1000015</v>
      </c>
      <c r="K24" s="2">
        <v>5</v>
      </c>
      <c r="L24" s="2">
        <v>200003</v>
      </c>
      <c r="M24" s="2" t="str">
        <v/>
      </c>
      <c r="N24" s="2" t="str">
        <v/>
      </c>
      <c r="O24" s="2" t="str">
        <v/>
      </c>
      <c r="P24" s="2" t="str">
        <v/>
      </c>
      <c r="Q24" s="2" t="str">
        <v/>
      </c>
      <c r="R24" s="2" t="str">
        <v/>
      </c>
      <c r="S24" s="2" t="str">
        <v/>
      </c>
      <c r="T24" s="2">
        <v>1000015</v>
      </c>
      <c r="X24" s="2">
        <v>5</v>
      </c>
      <c r="Y24" s="2">
        <v>200003</v>
      </c>
      <c r="Z24" s="2" t="str">
        <v/>
      </c>
      <c r="AA24" s="2" t="str">
        <v/>
      </c>
      <c r="AB24" s="2" t="str">
        <v/>
      </c>
      <c r="AC24" s="2" t="str">
        <v/>
      </c>
      <c r="AD24" s="2" t="str">
        <v/>
      </c>
      <c r="AE24" s="2" t="str">
        <v/>
      </c>
      <c r="AF24" s="2" t="str">
        <v/>
      </c>
      <c r="AH24" s="2" t="s">
        <v>29</v>
      </c>
      <c r="AN24" s="2">
        <v>5</v>
      </c>
      <c r="AO24" s="2">
        <v>200003</v>
      </c>
      <c r="AP24" s="2" t="str">
        <v/>
      </c>
      <c r="AQ24" s="2" t="str">
        <v/>
      </c>
      <c r="AR24" s="2" t="str">
        <v/>
      </c>
      <c r="AS24" s="2" t="str">
        <v/>
      </c>
      <c r="AT24" s="2" t="str">
        <v/>
      </c>
      <c r="AU24" s="2" t="str">
        <v/>
      </c>
      <c r="AV24" s="2" t="str">
        <v/>
      </c>
    </row>
    <row r="25" spans="1:48" x14ac:dyDescent="0.25">
      <c r="A25" s="2">
        <v>1000199</v>
      </c>
      <c r="H25" s="2">
        <f t="shared" si="0"/>
        <v>1000016</v>
      </c>
      <c r="K25" s="2">
        <v>2</v>
      </c>
      <c r="L25" s="2">
        <v>2</v>
      </c>
      <c r="M25" s="2">
        <v>2</v>
      </c>
      <c r="N25" s="2">
        <v>2</v>
      </c>
      <c r="O25" s="2">
        <v>62501</v>
      </c>
      <c r="P25" s="2" t="str">
        <v/>
      </c>
      <c r="Q25" s="2" t="str">
        <v/>
      </c>
      <c r="R25" s="2" t="str">
        <v/>
      </c>
      <c r="S25" s="2" t="str">
        <v/>
      </c>
      <c r="T25" s="2">
        <v>1000016</v>
      </c>
      <c r="X25" s="2">
        <v>2</v>
      </c>
      <c r="Y25" s="2">
        <v>2</v>
      </c>
      <c r="Z25" s="2">
        <v>2</v>
      </c>
      <c r="AA25" s="2">
        <v>2</v>
      </c>
      <c r="AB25" s="2">
        <v>62501</v>
      </c>
      <c r="AC25" s="2" t="str">
        <v/>
      </c>
      <c r="AD25" s="2" t="str">
        <v/>
      </c>
      <c r="AE25" s="2" t="str">
        <v/>
      </c>
      <c r="AF25" s="2" t="str">
        <v/>
      </c>
      <c r="AH25" s="2" t="s">
        <v>30</v>
      </c>
      <c r="AN25" s="2">
        <v>2</v>
      </c>
      <c r="AO25" s="2">
        <v>2</v>
      </c>
      <c r="AP25" s="2">
        <v>2</v>
      </c>
      <c r="AQ25" s="2">
        <v>2</v>
      </c>
      <c r="AR25" s="2">
        <v>62501</v>
      </c>
      <c r="AS25" s="2" t="str">
        <v/>
      </c>
      <c r="AT25" s="2" t="str">
        <v/>
      </c>
      <c r="AU25" s="2" t="str">
        <v/>
      </c>
      <c r="AV25" s="2" t="str">
        <v/>
      </c>
    </row>
    <row r="26" spans="1:48" x14ac:dyDescent="0.25">
      <c r="A26" s="2">
        <v>1000211</v>
      </c>
      <c r="H26" s="2">
        <f t="shared" si="0"/>
        <v>1000017</v>
      </c>
      <c r="K26" s="2">
        <v>3</v>
      </c>
      <c r="L26" s="2">
        <v>3</v>
      </c>
      <c r="M26" s="2">
        <v>23</v>
      </c>
      <c r="N26" s="2">
        <v>4831</v>
      </c>
      <c r="O26" s="2" t="str">
        <v/>
      </c>
      <c r="P26" s="2" t="str">
        <v/>
      </c>
      <c r="Q26" s="2" t="str">
        <v/>
      </c>
      <c r="R26" s="2" t="str">
        <v/>
      </c>
      <c r="S26" s="2" t="str">
        <v/>
      </c>
      <c r="T26" s="2">
        <v>1000017</v>
      </c>
      <c r="X26" s="2">
        <v>3</v>
      </c>
      <c r="Y26" s="2">
        <v>3</v>
      </c>
      <c r="Z26" s="2">
        <v>23</v>
      </c>
      <c r="AA26" s="2">
        <v>4831</v>
      </c>
      <c r="AB26" s="2" t="str">
        <v/>
      </c>
      <c r="AC26" s="2" t="str">
        <v/>
      </c>
      <c r="AD26" s="2" t="str">
        <v/>
      </c>
      <c r="AE26" s="2" t="str">
        <v/>
      </c>
      <c r="AF26" s="2" t="str">
        <v/>
      </c>
      <c r="AH26" s="2" t="s">
        <v>20</v>
      </c>
      <c r="AN26" s="2">
        <v>3</v>
      </c>
      <c r="AO26" s="2">
        <v>3</v>
      </c>
      <c r="AP26" s="2">
        <v>23</v>
      </c>
      <c r="AQ26" s="2">
        <v>4831</v>
      </c>
      <c r="AR26" s="2" t="str">
        <v/>
      </c>
      <c r="AS26" s="2" t="str">
        <v/>
      </c>
      <c r="AT26" s="2" t="str">
        <v/>
      </c>
      <c r="AU26" s="2" t="str">
        <v/>
      </c>
      <c r="AV26" s="2" t="str">
        <v/>
      </c>
    </row>
    <row r="27" spans="1:48" x14ac:dyDescent="0.25">
      <c r="A27" s="2">
        <v>1000213</v>
      </c>
      <c r="H27" s="2">
        <f t="shared" si="0"/>
        <v>1000018</v>
      </c>
      <c r="K27" s="2">
        <v>2</v>
      </c>
      <c r="L27" s="2">
        <v>500009</v>
      </c>
      <c r="M27" s="2" t="str">
        <v/>
      </c>
      <c r="N27" s="2" t="str">
        <v/>
      </c>
      <c r="O27" s="2" t="str">
        <v/>
      </c>
      <c r="P27" s="2" t="str">
        <v/>
      </c>
      <c r="Q27" s="2" t="str">
        <v/>
      </c>
      <c r="R27" s="2" t="str">
        <v/>
      </c>
      <c r="S27" s="2" t="str">
        <v/>
      </c>
      <c r="T27" s="2">
        <v>1000018</v>
      </c>
      <c r="X27" s="2">
        <v>2</v>
      </c>
      <c r="Y27" s="2">
        <v>500009</v>
      </c>
      <c r="Z27" s="2" t="str">
        <v/>
      </c>
      <c r="AA27" s="2" t="str">
        <v/>
      </c>
      <c r="AB27" s="2" t="str">
        <v/>
      </c>
      <c r="AC27" s="2" t="str">
        <v/>
      </c>
      <c r="AD27" s="2" t="str">
        <v/>
      </c>
      <c r="AE27" s="2" t="str">
        <v/>
      </c>
      <c r="AF27" s="2" t="str">
        <v/>
      </c>
      <c r="AH27" s="2" t="s">
        <v>21</v>
      </c>
      <c r="AN27" s="2">
        <v>2</v>
      </c>
      <c r="AO27" s="2">
        <v>500009</v>
      </c>
      <c r="AP27" s="2" t="str">
        <v/>
      </c>
      <c r="AQ27" s="2" t="str">
        <v/>
      </c>
      <c r="AR27" s="2" t="str">
        <v/>
      </c>
      <c r="AS27" s="2" t="str">
        <v/>
      </c>
      <c r="AT27" s="2" t="str">
        <v/>
      </c>
      <c r="AU27" s="2" t="str">
        <v/>
      </c>
      <c r="AV27" s="2" t="str">
        <v/>
      </c>
    </row>
    <row r="28" spans="1:48" x14ac:dyDescent="0.25">
      <c r="A28" s="2">
        <v>1000231</v>
      </c>
      <c r="H28" s="2">
        <f t="shared" si="0"/>
        <v>1000019</v>
      </c>
      <c r="K28" s="2">
        <v>47</v>
      </c>
      <c r="L28" s="2">
        <v>21277</v>
      </c>
      <c r="M28" s="2" t="str">
        <v/>
      </c>
      <c r="N28" s="2" t="str">
        <v/>
      </c>
      <c r="O28" s="2" t="str">
        <v/>
      </c>
      <c r="P28" s="2" t="str">
        <v/>
      </c>
      <c r="Q28" s="2" t="str">
        <v/>
      </c>
      <c r="R28" s="2" t="str">
        <v/>
      </c>
      <c r="S28" s="2" t="str">
        <v/>
      </c>
      <c r="T28" s="2">
        <v>1000019</v>
      </c>
      <c r="X28" s="2">
        <v>47</v>
      </c>
      <c r="Y28" s="2">
        <v>21277</v>
      </c>
      <c r="Z28" s="2" t="str">
        <v/>
      </c>
      <c r="AA28" s="2" t="str">
        <v/>
      </c>
      <c r="AB28" s="2" t="str">
        <v/>
      </c>
      <c r="AC28" s="2" t="str">
        <v/>
      </c>
      <c r="AD28" s="2" t="str">
        <v/>
      </c>
      <c r="AE28" s="2" t="str">
        <v/>
      </c>
      <c r="AF28" s="2" t="str">
        <v/>
      </c>
      <c r="AH28" s="2" t="s">
        <v>22</v>
      </c>
      <c r="AN28" s="2">
        <v>47</v>
      </c>
      <c r="AO28" s="2">
        <v>21277</v>
      </c>
      <c r="AP28" s="2" t="str">
        <v/>
      </c>
      <c r="AQ28" s="2" t="str">
        <v/>
      </c>
      <c r="AR28" s="2" t="str">
        <v/>
      </c>
      <c r="AS28" s="2" t="str">
        <v/>
      </c>
      <c r="AT28" s="2" t="str">
        <v/>
      </c>
      <c r="AU28" s="2" t="str">
        <v/>
      </c>
      <c r="AV28" s="2" t="str">
        <v/>
      </c>
    </row>
    <row r="29" spans="1:48" x14ac:dyDescent="0.25">
      <c r="A29" s="2">
        <v>1000249</v>
      </c>
      <c r="H29" s="2">
        <f t="shared" si="0"/>
        <v>1000020</v>
      </c>
      <c r="K29" s="2">
        <v>2</v>
      </c>
      <c r="L29" s="2">
        <v>2</v>
      </c>
      <c r="M29" s="2">
        <v>3</v>
      </c>
      <c r="N29" s="2">
        <v>5</v>
      </c>
      <c r="O29" s="2">
        <v>7</v>
      </c>
      <c r="P29" s="2">
        <v>2381</v>
      </c>
      <c r="Q29" s="2" t="str">
        <v/>
      </c>
      <c r="R29" s="2" t="str">
        <v/>
      </c>
      <c r="S29" s="2" t="str">
        <v/>
      </c>
      <c r="T29" s="2">
        <v>1000020</v>
      </c>
      <c r="X29" s="2">
        <v>2</v>
      </c>
      <c r="Y29" s="2">
        <v>2</v>
      </c>
      <c r="Z29" s="2">
        <v>3</v>
      </c>
      <c r="AA29" s="2">
        <v>5</v>
      </c>
      <c r="AB29" s="2">
        <v>7</v>
      </c>
      <c r="AC29" s="2">
        <v>2381</v>
      </c>
      <c r="AD29" s="2" t="str">
        <v/>
      </c>
      <c r="AE29" s="2" t="str">
        <v/>
      </c>
      <c r="AF29" s="2" t="str">
        <v/>
      </c>
      <c r="AN29" s="2">
        <v>2</v>
      </c>
      <c r="AO29" s="2">
        <v>2</v>
      </c>
      <c r="AP29" s="2">
        <v>3</v>
      </c>
      <c r="AQ29" s="2">
        <v>5</v>
      </c>
      <c r="AR29" s="2">
        <v>7</v>
      </c>
      <c r="AS29" s="2">
        <v>2381</v>
      </c>
      <c r="AT29" s="2" t="str">
        <v/>
      </c>
      <c r="AU29" s="2" t="str">
        <v/>
      </c>
      <c r="AV29" s="2" t="str">
        <v/>
      </c>
    </row>
    <row r="30" spans="1:48" x14ac:dyDescent="0.25">
      <c r="A30" s="2">
        <v>1000253</v>
      </c>
      <c r="H30" s="2">
        <f t="shared" si="0"/>
        <v>1000021</v>
      </c>
      <c r="K30" s="2">
        <v>11</v>
      </c>
      <c r="L30" s="2">
        <v>90911</v>
      </c>
      <c r="M30" s="2" t="str">
        <v/>
      </c>
      <c r="N30" s="2" t="str">
        <v/>
      </c>
      <c r="O30" s="2" t="str">
        <v/>
      </c>
      <c r="P30" s="2" t="str">
        <v/>
      </c>
      <c r="Q30" s="2" t="str">
        <v/>
      </c>
      <c r="R30" s="2" t="str">
        <v/>
      </c>
      <c r="S30" s="2" t="str">
        <v/>
      </c>
      <c r="T30" s="2">
        <v>1000021</v>
      </c>
      <c r="X30" s="2">
        <v>11</v>
      </c>
      <c r="Y30" s="2">
        <v>90911</v>
      </c>
      <c r="Z30" s="2" t="str">
        <v/>
      </c>
      <c r="AA30" s="2" t="str">
        <v/>
      </c>
      <c r="AB30" s="2" t="str">
        <v/>
      </c>
      <c r="AC30" s="2" t="str">
        <v/>
      </c>
      <c r="AD30" s="2" t="str">
        <v/>
      </c>
      <c r="AE30" s="2" t="str">
        <v/>
      </c>
      <c r="AF30" s="2" t="str">
        <v/>
      </c>
      <c r="AN30" s="2">
        <v>11</v>
      </c>
      <c r="AO30" s="2">
        <v>90911</v>
      </c>
      <c r="AP30" s="2" t="str">
        <v/>
      </c>
      <c r="AQ30" s="2" t="str">
        <v/>
      </c>
      <c r="AR30" s="2" t="str">
        <v/>
      </c>
      <c r="AS30" s="2" t="str">
        <v/>
      </c>
      <c r="AT30" s="2" t="str">
        <v/>
      </c>
      <c r="AU30" s="2" t="str">
        <v/>
      </c>
      <c r="AV30" s="2" t="str">
        <v/>
      </c>
    </row>
    <row r="31" spans="1:48" x14ac:dyDescent="0.25">
      <c r="A31" s="2">
        <v>1000273</v>
      </c>
      <c r="H31" s="2">
        <f t="shared" si="0"/>
        <v>1000022</v>
      </c>
      <c r="K31" s="2">
        <v>2</v>
      </c>
      <c r="L31" s="2">
        <v>107</v>
      </c>
      <c r="M31" s="2">
        <v>4673</v>
      </c>
      <c r="N31" s="2" t="str">
        <v/>
      </c>
      <c r="O31" s="2" t="str">
        <v/>
      </c>
      <c r="P31" s="2" t="str">
        <v/>
      </c>
      <c r="Q31" s="2" t="str">
        <v/>
      </c>
      <c r="R31" s="2" t="str">
        <v/>
      </c>
      <c r="S31" s="2" t="str">
        <v/>
      </c>
      <c r="T31" s="2">
        <v>1000022</v>
      </c>
      <c r="X31" s="2">
        <v>2</v>
      </c>
      <c r="Y31" s="2">
        <v>107</v>
      </c>
      <c r="Z31" s="2">
        <v>4673</v>
      </c>
      <c r="AA31" s="2" t="str">
        <v/>
      </c>
      <c r="AB31" s="2" t="str">
        <v/>
      </c>
      <c r="AC31" s="2" t="str">
        <v/>
      </c>
      <c r="AD31" s="2" t="str">
        <v/>
      </c>
      <c r="AE31" s="2" t="str">
        <v/>
      </c>
      <c r="AF31" s="2" t="str">
        <v/>
      </c>
      <c r="AN31" s="2">
        <v>2</v>
      </c>
      <c r="AO31" s="2">
        <v>107</v>
      </c>
      <c r="AP31" s="2">
        <v>4673</v>
      </c>
      <c r="AQ31" s="2" t="str">
        <v/>
      </c>
      <c r="AR31" s="2" t="str">
        <v/>
      </c>
      <c r="AS31" s="2" t="str">
        <v/>
      </c>
      <c r="AT31" s="2" t="str">
        <v/>
      </c>
      <c r="AU31" s="2" t="str">
        <v/>
      </c>
      <c r="AV31" s="2" t="str">
        <v/>
      </c>
    </row>
    <row r="32" spans="1:48" x14ac:dyDescent="0.25">
      <c r="A32" s="2">
        <v>1000289</v>
      </c>
      <c r="H32" s="2">
        <f t="shared" si="0"/>
        <v>1000023</v>
      </c>
      <c r="K32" s="2">
        <v>3</v>
      </c>
      <c r="L32" s="2">
        <v>333341</v>
      </c>
      <c r="M32" s="2" t="str">
        <v/>
      </c>
      <c r="N32" s="2" t="str">
        <v/>
      </c>
      <c r="O32" s="2" t="str">
        <v/>
      </c>
      <c r="P32" s="2" t="str">
        <v/>
      </c>
      <c r="Q32" s="2" t="str">
        <v/>
      </c>
      <c r="R32" s="2" t="str">
        <v/>
      </c>
      <c r="S32" s="2" t="str">
        <v/>
      </c>
      <c r="T32" s="2">
        <v>1000023</v>
      </c>
      <c r="X32" s="2">
        <v>3</v>
      </c>
      <c r="Y32" s="2">
        <v>333341</v>
      </c>
      <c r="Z32" s="2" t="str">
        <v/>
      </c>
      <c r="AA32" s="2" t="str">
        <v/>
      </c>
      <c r="AB32" s="2" t="str">
        <v/>
      </c>
      <c r="AC32" s="2" t="str">
        <v/>
      </c>
      <c r="AD32" s="2" t="str">
        <v/>
      </c>
      <c r="AE32" s="2" t="str">
        <v/>
      </c>
      <c r="AF32" s="2" t="str">
        <v/>
      </c>
      <c r="AN32" s="2">
        <v>3</v>
      </c>
      <c r="AO32" s="2">
        <v>333341</v>
      </c>
      <c r="AP32" s="2" t="str">
        <v/>
      </c>
      <c r="AQ32" s="2" t="str">
        <v/>
      </c>
      <c r="AR32" s="2" t="str">
        <v/>
      </c>
      <c r="AS32" s="2" t="str">
        <v/>
      </c>
      <c r="AT32" s="2" t="str">
        <v/>
      </c>
      <c r="AU32" s="2" t="str">
        <v/>
      </c>
      <c r="AV32" s="2" t="str">
        <v/>
      </c>
    </row>
    <row r="33" spans="1:48" x14ac:dyDescent="0.25">
      <c r="A33" s="2">
        <v>1000291</v>
      </c>
      <c r="H33" s="2">
        <f t="shared" si="0"/>
        <v>1000024</v>
      </c>
      <c r="K33" s="2">
        <v>2</v>
      </c>
      <c r="L33" s="2">
        <v>2</v>
      </c>
      <c r="M33" s="2">
        <v>2</v>
      </c>
      <c r="N33" s="2">
        <v>125003</v>
      </c>
      <c r="O33" s="2" t="str">
        <v/>
      </c>
      <c r="P33" s="2" t="str">
        <v/>
      </c>
      <c r="Q33" s="2" t="str">
        <v/>
      </c>
      <c r="R33" s="2" t="str">
        <v/>
      </c>
      <c r="S33" s="2" t="str">
        <v/>
      </c>
      <c r="T33" s="2">
        <v>1000024</v>
      </c>
      <c r="X33" s="2">
        <v>2</v>
      </c>
      <c r="Y33" s="2">
        <v>2</v>
      </c>
      <c r="Z33" s="2">
        <v>2</v>
      </c>
      <c r="AA33" s="2">
        <v>125003</v>
      </c>
      <c r="AB33" s="2" t="str">
        <v/>
      </c>
      <c r="AC33" s="2" t="str">
        <v/>
      </c>
      <c r="AD33" s="2" t="str">
        <v/>
      </c>
      <c r="AE33" s="2" t="str">
        <v/>
      </c>
      <c r="AF33" s="2" t="str">
        <v/>
      </c>
      <c r="AN33" s="2">
        <v>2</v>
      </c>
      <c r="AO33" s="2">
        <v>2</v>
      </c>
      <c r="AP33" s="2">
        <v>2</v>
      </c>
      <c r="AQ33" s="2">
        <v>125003</v>
      </c>
      <c r="AR33" s="2" t="str">
        <v/>
      </c>
      <c r="AS33" s="2" t="str">
        <v/>
      </c>
      <c r="AT33" s="2" t="str">
        <v/>
      </c>
      <c r="AU33" s="2" t="str">
        <v/>
      </c>
      <c r="AV33" s="2" t="str">
        <v/>
      </c>
    </row>
    <row r="34" spans="1:48" x14ac:dyDescent="0.25">
      <c r="A34" s="2">
        <v>1000303</v>
      </c>
      <c r="H34" s="2">
        <f t="shared" si="0"/>
        <v>1000025</v>
      </c>
      <c r="K34" s="2">
        <v>5</v>
      </c>
      <c r="L34" s="2">
        <v>5</v>
      </c>
      <c r="M34" s="2">
        <v>13</v>
      </c>
      <c r="N34" s="2">
        <v>17</v>
      </c>
      <c r="O34" s="2">
        <v>181</v>
      </c>
      <c r="P34" s="2" t="str">
        <v/>
      </c>
      <c r="Q34" s="2" t="str">
        <v/>
      </c>
      <c r="R34" s="2" t="str">
        <v/>
      </c>
      <c r="S34" s="2" t="str">
        <v/>
      </c>
      <c r="T34" s="2">
        <v>1000025</v>
      </c>
      <c r="X34" s="2">
        <v>5</v>
      </c>
      <c r="Y34" s="2">
        <v>5</v>
      </c>
      <c r="Z34" s="2">
        <v>13</v>
      </c>
      <c r="AA34" s="2">
        <v>17</v>
      </c>
      <c r="AB34" s="2">
        <v>181</v>
      </c>
      <c r="AC34" s="2" t="str">
        <v/>
      </c>
      <c r="AD34" s="2" t="str">
        <v/>
      </c>
      <c r="AE34" s="2" t="str">
        <v/>
      </c>
      <c r="AF34" s="2" t="str">
        <v/>
      </c>
      <c r="AN34" s="2">
        <v>5</v>
      </c>
      <c r="AO34" s="2">
        <v>5</v>
      </c>
      <c r="AP34" s="2">
        <v>13</v>
      </c>
      <c r="AQ34" s="2">
        <v>17</v>
      </c>
      <c r="AR34" s="2">
        <v>181</v>
      </c>
      <c r="AS34" s="2" t="str">
        <v/>
      </c>
      <c r="AT34" s="2" t="str">
        <v/>
      </c>
      <c r="AU34" s="2" t="str">
        <v/>
      </c>
      <c r="AV34" s="2" t="str">
        <v/>
      </c>
    </row>
    <row r="35" spans="1:48" x14ac:dyDescent="0.25">
      <c r="A35" s="2">
        <v>1000313</v>
      </c>
      <c r="H35" s="2">
        <f t="shared" si="0"/>
        <v>1000026</v>
      </c>
      <c r="K35" s="2">
        <v>2</v>
      </c>
      <c r="L35" s="2">
        <v>3</v>
      </c>
      <c r="M35" s="2">
        <v>3</v>
      </c>
      <c r="N35" s="2">
        <v>3</v>
      </c>
      <c r="O35" s="2">
        <v>3</v>
      </c>
      <c r="P35" s="2">
        <v>6173</v>
      </c>
      <c r="Q35" s="2" t="str">
        <v/>
      </c>
      <c r="R35" s="2" t="str">
        <v/>
      </c>
      <c r="S35" s="2" t="str">
        <v/>
      </c>
      <c r="T35" s="2">
        <v>1000026</v>
      </c>
      <c r="X35" s="2">
        <v>2</v>
      </c>
      <c r="Y35" s="2">
        <v>3</v>
      </c>
      <c r="Z35" s="2">
        <v>3</v>
      </c>
      <c r="AA35" s="2">
        <v>3</v>
      </c>
      <c r="AB35" s="2">
        <v>3</v>
      </c>
      <c r="AC35" s="2">
        <v>6173</v>
      </c>
      <c r="AD35" s="2" t="str">
        <v/>
      </c>
      <c r="AE35" s="2" t="str">
        <v/>
      </c>
      <c r="AF35" s="2" t="str">
        <v/>
      </c>
      <c r="AN35" s="2">
        <v>2</v>
      </c>
      <c r="AO35" s="2">
        <v>3</v>
      </c>
      <c r="AP35" s="2">
        <v>3</v>
      </c>
      <c r="AQ35" s="2">
        <v>3</v>
      </c>
      <c r="AR35" s="2">
        <v>3</v>
      </c>
      <c r="AS35" s="2">
        <v>6173</v>
      </c>
      <c r="AT35" s="2" t="str">
        <v/>
      </c>
      <c r="AU35" s="2" t="str">
        <v/>
      </c>
      <c r="AV35" s="2" t="str">
        <v/>
      </c>
    </row>
    <row r="36" spans="1:48" x14ac:dyDescent="0.25">
      <c r="A36" s="2">
        <v>1000333</v>
      </c>
      <c r="H36" s="2">
        <f t="shared" si="0"/>
        <v>1000027</v>
      </c>
      <c r="K36" s="2">
        <v>7</v>
      </c>
      <c r="L36" s="2">
        <v>19</v>
      </c>
      <c r="M36" s="2">
        <v>73</v>
      </c>
      <c r="N36" s="2">
        <v>103</v>
      </c>
      <c r="O36" s="2" t="str">
        <v/>
      </c>
      <c r="P36" s="2" t="str">
        <v/>
      </c>
      <c r="Q36" s="2" t="str">
        <v/>
      </c>
      <c r="R36" s="2" t="str">
        <v/>
      </c>
      <c r="S36" s="2" t="str">
        <v/>
      </c>
      <c r="T36" s="2">
        <v>1000027</v>
      </c>
      <c r="X36" s="2">
        <v>7</v>
      </c>
      <c r="Y36" s="2">
        <v>19</v>
      </c>
      <c r="Z36" s="2">
        <v>73</v>
      </c>
      <c r="AA36" s="2">
        <v>103</v>
      </c>
      <c r="AB36" s="2" t="str">
        <v/>
      </c>
      <c r="AC36" s="2" t="str">
        <v/>
      </c>
      <c r="AD36" s="2" t="str">
        <v/>
      </c>
      <c r="AE36" s="2" t="str">
        <v/>
      </c>
      <c r="AF36" s="2" t="str">
        <v/>
      </c>
      <c r="AN36" s="2">
        <v>7</v>
      </c>
      <c r="AO36" s="2">
        <v>19</v>
      </c>
      <c r="AP36" s="2">
        <v>73</v>
      </c>
      <c r="AQ36" s="2">
        <v>103</v>
      </c>
      <c r="AR36" s="2" t="str">
        <v/>
      </c>
      <c r="AS36" s="2" t="str">
        <v/>
      </c>
      <c r="AT36" s="2" t="str">
        <v/>
      </c>
      <c r="AU36" s="2" t="str">
        <v/>
      </c>
      <c r="AV36" s="2" t="str">
        <v/>
      </c>
    </row>
    <row r="37" spans="1:48" x14ac:dyDescent="0.25">
      <c r="A37" s="2">
        <v>1000357</v>
      </c>
      <c r="H37" s="2">
        <f t="shared" si="0"/>
        <v>1000028</v>
      </c>
      <c r="K37" s="2">
        <v>2</v>
      </c>
      <c r="L37" s="2">
        <v>2</v>
      </c>
      <c r="M37" s="2">
        <v>250007</v>
      </c>
      <c r="N37" s="2" t="str">
        <v/>
      </c>
      <c r="O37" s="2" t="str">
        <v/>
      </c>
      <c r="P37" s="2" t="str">
        <v/>
      </c>
      <c r="Q37" s="2" t="str">
        <v/>
      </c>
      <c r="R37" s="2" t="str">
        <v/>
      </c>
      <c r="S37" s="2" t="str">
        <v/>
      </c>
      <c r="T37" s="2">
        <v>1000028</v>
      </c>
      <c r="X37" s="2">
        <v>2</v>
      </c>
      <c r="Y37" s="2">
        <v>2</v>
      </c>
      <c r="Z37" s="2">
        <v>250007</v>
      </c>
      <c r="AA37" s="2" t="str">
        <v/>
      </c>
      <c r="AB37" s="2" t="str">
        <v/>
      </c>
      <c r="AC37" s="2" t="str">
        <v/>
      </c>
      <c r="AD37" s="2" t="str">
        <v/>
      </c>
      <c r="AE37" s="2" t="str">
        <v/>
      </c>
      <c r="AF37" s="2" t="str">
        <v/>
      </c>
      <c r="AN37" s="2">
        <v>2</v>
      </c>
      <c r="AO37" s="2">
        <v>2</v>
      </c>
      <c r="AP37" s="2">
        <v>250007</v>
      </c>
      <c r="AQ37" s="2" t="str">
        <v/>
      </c>
      <c r="AR37" s="2" t="str">
        <v/>
      </c>
      <c r="AS37" s="2" t="str">
        <v/>
      </c>
      <c r="AT37" s="2" t="str">
        <v/>
      </c>
      <c r="AU37" s="2" t="str">
        <v/>
      </c>
      <c r="AV37" s="2" t="str">
        <v/>
      </c>
    </row>
    <row r="38" spans="1:48" x14ac:dyDescent="0.25">
      <c r="A38" s="2">
        <v>1000367</v>
      </c>
      <c r="H38" s="2">
        <f t="shared" si="0"/>
        <v>1000029</v>
      </c>
      <c r="K38" s="2">
        <v>3</v>
      </c>
      <c r="L38" s="2">
        <v>31</v>
      </c>
      <c r="M38" s="2">
        <v>10753</v>
      </c>
      <c r="N38" s="2" t="str">
        <v/>
      </c>
      <c r="O38" s="2" t="str">
        <v/>
      </c>
      <c r="P38" s="2" t="str">
        <v/>
      </c>
      <c r="Q38" s="2" t="str">
        <v/>
      </c>
      <c r="R38" s="2" t="str">
        <v/>
      </c>
      <c r="S38" s="2" t="str">
        <v/>
      </c>
      <c r="T38" s="2">
        <v>1000029</v>
      </c>
      <c r="X38" s="2">
        <v>3</v>
      </c>
      <c r="Y38" s="2">
        <v>31</v>
      </c>
      <c r="Z38" s="2">
        <v>10753</v>
      </c>
      <c r="AA38" s="2" t="str">
        <v/>
      </c>
      <c r="AB38" s="2" t="str">
        <v/>
      </c>
      <c r="AC38" s="2" t="str">
        <v/>
      </c>
      <c r="AD38" s="2" t="str">
        <v/>
      </c>
      <c r="AE38" s="2" t="str">
        <v/>
      </c>
      <c r="AF38" s="2" t="str">
        <v/>
      </c>
      <c r="AN38" s="2">
        <v>3</v>
      </c>
      <c r="AO38" s="2">
        <v>31</v>
      </c>
      <c r="AP38" s="2">
        <v>10753</v>
      </c>
      <c r="AQ38" s="2" t="str">
        <v/>
      </c>
      <c r="AR38" s="2" t="str">
        <v/>
      </c>
      <c r="AS38" s="2" t="str">
        <v/>
      </c>
      <c r="AT38" s="2" t="str">
        <v/>
      </c>
      <c r="AU38" s="2" t="str">
        <v/>
      </c>
      <c r="AV38" s="2" t="str">
        <v/>
      </c>
    </row>
    <row r="39" spans="1:48" x14ac:dyDescent="0.25">
      <c r="A39" s="2">
        <v>1000381</v>
      </c>
      <c r="H39" s="2">
        <f t="shared" si="0"/>
        <v>1000030</v>
      </c>
      <c r="K39" s="2">
        <v>2</v>
      </c>
      <c r="L39" s="2">
        <v>5</v>
      </c>
      <c r="M39" s="2">
        <v>100003</v>
      </c>
      <c r="N39" s="2" t="str">
        <v/>
      </c>
      <c r="O39" s="2" t="str">
        <v/>
      </c>
      <c r="P39" s="2" t="str">
        <v/>
      </c>
      <c r="Q39" s="2" t="str">
        <v/>
      </c>
      <c r="R39" s="2" t="str">
        <v/>
      </c>
      <c r="S39" s="2" t="str">
        <v/>
      </c>
      <c r="T39" s="2">
        <v>1000030</v>
      </c>
      <c r="X39" s="2">
        <v>2</v>
      </c>
      <c r="Y39" s="2">
        <v>5</v>
      </c>
      <c r="Z39" s="2">
        <v>100003</v>
      </c>
      <c r="AA39" s="2" t="str">
        <v/>
      </c>
      <c r="AB39" s="2" t="str">
        <v/>
      </c>
      <c r="AC39" s="2" t="str">
        <v/>
      </c>
      <c r="AD39" s="2" t="str">
        <v/>
      </c>
      <c r="AE39" s="2" t="str">
        <v/>
      </c>
      <c r="AF39" s="2" t="str">
        <v/>
      </c>
      <c r="AN39" s="2">
        <v>2</v>
      </c>
      <c r="AO39" s="2">
        <v>5</v>
      </c>
      <c r="AP39" s="2">
        <v>100003</v>
      </c>
      <c r="AQ39" s="2" t="str">
        <v/>
      </c>
      <c r="AR39" s="2" t="str">
        <v/>
      </c>
      <c r="AS39" s="2" t="str">
        <v/>
      </c>
      <c r="AT39" s="2" t="str">
        <v/>
      </c>
      <c r="AU39" s="2" t="str">
        <v/>
      </c>
      <c r="AV39" s="2" t="str">
        <v/>
      </c>
    </row>
    <row r="40" spans="1:48" x14ac:dyDescent="0.25">
      <c r="A40" s="2">
        <v>1000393</v>
      </c>
      <c r="H40" s="2">
        <f t="shared" si="0"/>
        <v>1000031</v>
      </c>
      <c r="K40" s="2">
        <v>41</v>
      </c>
      <c r="L40" s="2">
        <v>24391</v>
      </c>
      <c r="M40" s="2" t="str">
        <v/>
      </c>
      <c r="N40" s="2" t="str">
        <v/>
      </c>
      <c r="O40" s="2" t="str">
        <v/>
      </c>
      <c r="P40" s="2" t="str">
        <v/>
      </c>
      <c r="Q40" s="2" t="str">
        <v/>
      </c>
      <c r="R40" s="2" t="str">
        <v/>
      </c>
      <c r="S40" s="2" t="str">
        <v/>
      </c>
      <c r="T40" s="2">
        <v>1000031</v>
      </c>
      <c r="X40" s="2">
        <v>41</v>
      </c>
      <c r="Y40" s="2">
        <v>24391</v>
      </c>
      <c r="Z40" s="2" t="str">
        <v/>
      </c>
      <c r="AA40" s="2" t="str">
        <v/>
      </c>
      <c r="AB40" s="2" t="str">
        <v/>
      </c>
      <c r="AC40" s="2" t="str">
        <v/>
      </c>
      <c r="AD40" s="2" t="str">
        <v/>
      </c>
      <c r="AE40" s="2" t="str">
        <v/>
      </c>
      <c r="AF40" s="2" t="str">
        <v/>
      </c>
      <c r="AN40" s="2">
        <v>41</v>
      </c>
      <c r="AO40" s="2">
        <v>24391</v>
      </c>
      <c r="AP40" s="2" t="str">
        <v/>
      </c>
      <c r="AQ40" s="2" t="str">
        <v/>
      </c>
      <c r="AR40" s="2" t="str">
        <v/>
      </c>
      <c r="AS40" s="2" t="str">
        <v/>
      </c>
      <c r="AT40" s="2" t="str">
        <v/>
      </c>
      <c r="AU40" s="2" t="str">
        <v/>
      </c>
      <c r="AV40" s="2" t="str">
        <v/>
      </c>
    </row>
    <row r="41" spans="1:48" x14ac:dyDescent="0.25">
      <c r="A41" s="2">
        <v>1000397</v>
      </c>
      <c r="H41" s="2">
        <f t="shared" si="0"/>
        <v>1000032</v>
      </c>
      <c r="K41" s="2">
        <v>2</v>
      </c>
      <c r="L41" s="2">
        <v>2</v>
      </c>
      <c r="M41" s="2">
        <v>2</v>
      </c>
      <c r="N41" s="2">
        <v>2</v>
      </c>
      <c r="O41" s="2">
        <v>2</v>
      </c>
      <c r="P41" s="2">
        <v>3</v>
      </c>
      <c r="Q41" s="2">
        <v>11</v>
      </c>
      <c r="R41" s="2">
        <v>947</v>
      </c>
      <c r="S41" s="2" t="str">
        <v/>
      </c>
      <c r="T41" s="2">
        <v>1000032</v>
      </c>
      <c r="X41" s="2">
        <v>2</v>
      </c>
      <c r="Y41" s="2">
        <v>2</v>
      </c>
      <c r="Z41" s="2">
        <v>2</v>
      </c>
      <c r="AA41" s="2">
        <v>2</v>
      </c>
      <c r="AB41" s="2">
        <v>2</v>
      </c>
      <c r="AC41" s="2">
        <v>3</v>
      </c>
      <c r="AD41" s="2">
        <v>11</v>
      </c>
      <c r="AE41" s="2">
        <v>947</v>
      </c>
      <c r="AF41" s="2" t="str">
        <v/>
      </c>
      <c r="AN41" s="2">
        <v>2</v>
      </c>
      <c r="AO41" s="2">
        <v>2</v>
      </c>
      <c r="AP41" s="2">
        <v>2</v>
      </c>
      <c r="AQ41" s="2">
        <v>2</v>
      </c>
      <c r="AR41" s="2">
        <v>2</v>
      </c>
      <c r="AS41" s="2">
        <v>3</v>
      </c>
      <c r="AT41" s="2">
        <v>11</v>
      </c>
      <c r="AU41" s="2">
        <v>947</v>
      </c>
      <c r="AV41" s="2" t="str">
        <v/>
      </c>
    </row>
    <row r="42" spans="1:48" x14ac:dyDescent="0.25">
      <c r="A42" s="2">
        <v>1000403</v>
      </c>
      <c r="H42" s="2">
        <f t="shared" si="0"/>
        <v>1000033</v>
      </c>
      <c r="K42" s="2">
        <v>1000033</v>
      </c>
      <c r="L42" s="2" t="str">
        <v/>
      </c>
      <c r="M42" s="2" t="str">
        <v/>
      </c>
      <c r="N42" s="2" t="str">
        <v/>
      </c>
      <c r="O42" s="2" t="str">
        <v/>
      </c>
      <c r="P42" s="2" t="str">
        <v/>
      </c>
      <c r="Q42" s="2" t="str">
        <v/>
      </c>
      <c r="R42" s="2" t="str">
        <v/>
      </c>
      <c r="S42" s="2" t="str">
        <v/>
      </c>
      <c r="T42" s="2">
        <v>1000033</v>
      </c>
      <c r="X42" s="2">
        <v>1000033</v>
      </c>
      <c r="Y42" s="2" t="str">
        <v/>
      </c>
      <c r="Z42" s="2" t="str">
        <v/>
      </c>
      <c r="AA42" s="2" t="str">
        <v/>
      </c>
      <c r="AB42" s="2" t="str">
        <v/>
      </c>
      <c r="AC42" s="2" t="str">
        <v/>
      </c>
      <c r="AD42" s="2" t="str">
        <v/>
      </c>
      <c r="AE42" s="2" t="str">
        <v/>
      </c>
      <c r="AF42" s="2" t="str">
        <v/>
      </c>
      <c r="AN42" s="2">
        <v>1000033</v>
      </c>
      <c r="AO42" s="2" t="str">
        <v/>
      </c>
      <c r="AP42" s="2" t="str">
        <v/>
      </c>
      <c r="AQ42" s="2" t="str">
        <v/>
      </c>
      <c r="AR42" s="2" t="str">
        <v/>
      </c>
      <c r="AS42" s="2" t="str">
        <v/>
      </c>
      <c r="AT42" s="2" t="str">
        <v/>
      </c>
      <c r="AU42" s="2" t="str">
        <v/>
      </c>
      <c r="AV42" s="2" t="str">
        <v/>
      </c>
    </row>
    <row r="43" spans="1:48" x14ac:dyDescent="0.25">
      <c r="A43" s="2">
        <v>1000409</v>
      </c>
      <c r="H43" s="2">
        <f t="shared" si="0"/>
        <v>1000034</v>
      </c>
      <c r="K43" s="2">
        <v>2</v>
      </c>
      <c r="L43" s="2">
        <v>7</v>
      </c>
      <c r="M43" s="2">
        <v>61</v>
      </c>
      <c r="N43" s="2">
        <v>1171</v>
      </c>
      <c r="O43" s="2" t="str">
        <v/>
      </c>
      <c r="P43" s="2" t="str">
        <v/>
      </c>
      <c r="Q43" s="2" t="str">
        <v/>
      </c>
      <c r="R43" s="2" t="str">
        <v/>
      </c>
      <c r="S43" s="2" t="str">
        <v/>
      </c>
      <c r="T43" s="2">
        <v>1000034</v>
      </c>
      <c r="X43" s="2">
        <v>2</v>
      </c>
      <c r="Y43" s="2">
        <v>7</v>
      </c>
      <c r="Z43" s="2">
        <v>61</v>
      </c>
      <c r="AA43" s="2">
        <v>1171</v>
      </c>
      <c r="AB43" s="2" t="str">
        <v/>
      </c>
      <c r="AC43" s="2" t="str">
        <v/>
      </c>
      <c r="AD43" s="2" t="str">
        <v/>
      </c>
      <c r="AE43" s="2" t="str">
        <v/>
      </c>
      <c r="AF43" s="2" t="str">
        <v/>
      </c>
      <c r="AN43" s="2">
        <v>2</v>
      </c>
      <c r="AO43" s="2">
        <v>7</v>
      </c>
      <c r="AP43" s="2">
        <v>61</v>
      </c>
      <c r="AQ43" s="2">
        <v>1171</v>
      </c>
      <c r="AR43" s="2" t="str">
        <v/>
      </c>
      <c r="AS43" s="2" t="str">
        <v/>
      </c>
      <c r="AT43" s="2" t="str">
        <v/>
      </c>
      <c r="AU43" s="2" t="str">
        <v/>
      </c>
      <c r="AV43" s="2" t="str">
        <v/>
      </c>
    </row>
    <row r="44" spans="1:48" x14ac:dyDescent="0.25">
      <c r="A44" s="2">
        <v>1000423</v>
      </c>
      <c r="H44" s="2">
        <f t="shared" si="0"/>
        <v>1000035</v>
      </c>
      <c r="K44" s="2">
        <v>3</v>
      </c>
      <c r="L44" s="2">
        <v>3</v>
      </c>
      <c r="M44" s="2">
        <v>5</v>
      </c>
      <c r="N44" s="2">
        <v>71</v>
      </c>
      <c r="O44" s="2">
        <v>313</v>
      </c>
      <c r="P44" s="2" t="str">
        <v/>
      </c>
      <c r="Q44" s="2" t="str">
        <v/>
      </c>
      <c r="R44" s="2" t="str">
        <v/>
      </c>
      <c r="S44" s="2" t="str">
        <v/>
      </c>
      <c r="T44" s="2">
        <v>1000035</v>
      </c>
      <c r="X44" s="2">
        <v>3</v>
      </c>
      <c r="Y44" s="2">
        <v>3</v>
      </c>
      <c r="Z44" s="2">
        <v>5</v>
      </c>
      <c r="AA44" s="2">
        <v>71</v>
      </c>
      <c r="AB44" s="2">
        <v>313</v>
      </c>
      <c r="AC44" s="2" t="str">
        <v/>
      </c>
      <c r="AD44" s="2" t="str">
        <v/>
      </c>
      <c r="AE44" s="2" t="str">
        <v/>
      </c>
      <c r="AF44" s="2" t="str">
        <v/>
      </c>
      <c r="AN44" s="2">
        <v>3</v>
      </c>
      <c r="AO44" s="2">
        <v>3</v>
      </c>
      <c r="AP44" s="2">
        <v>5</v>
      </c>
      <c r="AQ44" s="2">
        <v>71</v>
      </c>
      <c r="AR44" s="2">
        <v>313</v>
      </c>
      <c r="AS44" s="2" t="str">
        <v/>
      </c>
      <c r="AT44" s="2" t="str">
        <v/>
      </c>
      <c r="AU44" s="2" t="str">
        <v/>
      </c>
      <c r="AV44" s="2" t="str">
        <v/>
      </c>
    </row>
    <row r="45" spans="1:48" x14ac:dyDescent="0.25">
      <c r="A45" s="2">
        <v>1000427</v>
      </c>
      <c r="H45" s="2">
        <f t="shared" si="0"/>
        <v>1000036</v>
      </c>
      <c r="K45" s="2">
        <v>2</v>
      </c>
      <c r="L45" s="2">
        <v>2</v>
      </c>
      <c r="M45" s="2">
        <v>29</v>
      </c>
      <c r="N45" s="2">
        <v>37</v>
      </c>
      <c r="O45" s="2">
        <v>233</v>
      </c>
      <c r="P45" s="2" t="str">
        <v/>
      </c>
      <c r="Q45" s="2" t="str">
        <v/>
      </c>
      <c r="R45" s="2" t="str">
        <v/>
      </c>
      <c r="S45" s="2" t="str">
        <v/>
      </c>
      <c r="T45" s="2">
        <v>1000036</v>
      </c>
      <c r="X45" s="2">
        <v>2</v>
      </c>
      <c r="Y45" s="2">
        <v>2</v>
      </c>
      <c r="Z45" s="2">
        <v>29</v>
      </c>
      <c r="AA45" s="2">
        <v>37</v>
      </c>
      <c r="AB45" s="2">
        <v>233</v>
      </c>
      <c r="AC45" s="2" t="str">
        <v/>
      </c>
      <c r="AD45" s="2" t="str">
        <v/>
      </c>
      <c r="AE45" s="2" t="str">
        <v/>
      </c>
      <c r="AF45" s="2" t="str">
        <v/>
      </c>
      <c r="AN45" s="2">
        <v>2</v>
      </c>
      <c r="AO45" s="2">
        <v>2</v>
      </c>
      <c r="AP45" s="2">
        <v>29</v>
      </c>
      <c r="AQ45" s="2">
        <v>37</v>
      </c>
      <c r="AR45" s="2">
        <v>233</v>
      </c>
      <c r="AS45" s="2" t="str">
        <v/>
      </c>
      <c r="AT45" s="2" t="str">
        <v/>
      </c>
      <c r="AU45" s="2" t="str">
        <v/>
      </c>
      <c r="AV45" s="2" t="str">
        <v/>
      </c>
    </row>
    <row r="46" spans="1:48" x14ac:dyDescent="0.25">
      <c r="A46" s="2">
        <v>1000429</v>
      </c>
      <c r="H46" s="2">
        <f t="shared" si="0"/>
        <v>1000037</v>
      </c>
      <c r="K46" s="2">
        <v>1000037</v>
      </c>
      <c r="L46" s="2" t="str">
        <v/>
      </c>
      <c r="M46" s="2" t="str">
        <v/>
      </c>
      <c r="N46" s="2" t="str">
        <v/>
      </c>
      <c r="O46" s="2" t="str">
        <v/>
      </c>
      <c r="P46" s="2" t="str">
        <v/>
      </c>
      <c r="Q46" s="2" t="str">
        <v/>
      </c>
      <c r="R46" s="2" t="str">
        <v/>
      </c>
      <c r="S46" s="2" t="str">
        <v/>
      </c>
      <c r="T46" s="2">
        <v>1000037</v>
      </c>
      <c r="X46" s="2">
        <v>1000037</v>
      </c>
      <c r="Y46" s="2" t="str">
        <v/>
      </c>
      <c r="Z46" s="2" t="str">
        <v/>
      </c>
      <c r="AA46" s="2" t="str">
        <v/>
      </c>
      <c r="AB46" s="2" t="str">
        <v/>
      </c>
      <c r="AC46" s="2" t="str">
        <v/>
      </c>
      <c r="AD46" s="2" t="str">
        <v/>
      </c>
      <c r="AE46" s="2" t="str">
        <v/>
      </c>
      <c r="AF46" s="2" t="str">
        <v/>
      </c>
      <c r="AN46" s="2">
        <v>1000037</v>
      </c>
      <c r="AO46" s="2" t="str">
        <v/>
      </c>
      <c r="AP46" s="2" t="str">
        <v/>
      </c>
      <c r="AQ46" s="2" t="str">
        <v/>
      </c>
      <c r="AR46" s="2" t="str">
        <v/>
      </c>
      <c r="AS46" s="2" t="str">
        <v/>
      </c>
      <c r="AT46" s="2" t="str">
        <v/>
      </c>
      <c r="AU46" s="2" t="str">
        <v/>
      </c>
      <c r="AV46" s="2" t="str">
        <v/>
      </c>
    </row>
    <row r="47" spans="1:48" x14ac:dyDescent="0.25">
      <c r="A47" s="2">
        <v>1000453</v>
      </c>
      <c r="H47" s="2">
        <f t="shared" si="0"/>
        <v>1000038</v>
      </c>
      <c r="K47" s="2">
        <v>2</v>
      </c>
      <c r="L47" s="2">
        <v>3</v>
      </c>
      <c r="M47" s="2">
        <v>13</v>
      </c>
      <c r="N47" s="2">
        <v>12821</v>
      </c>
      <c r="O47" s="2" t="str">
        <v/>
      </c>
      <c r="P47" s="2" t="str">
        <v/>
      </c>
      <c r="Q47" s="2" t="str">
        <v/>
      </c>
      <c r="R47" s="2" t="str">
        <v/>
      </c>
      <c r="S47" s="2" t="str">
        <v/>
      </c>
      <c r="T47" s="2">
        <v>1000038</v>
      </c>
      <c r="X47" s="2">
        <v>2</v>
      </c>
      <c r="Y47" s="2">
        <v>3</v>
      </c>
      <c r="Z47" s="2">
        <v>13</v>
      </c>
      <c r="AA47" s="2">
        <v>12821</v>
      </c>
      <c r="AB47" s="2" t="str">
        <v/>
      </c>
      <c r="AC47" s="2" t="str">
        <v/>
      </c>
      <c r="AD47" s="2" t="str">
        <v/>
      </c>
      <c r="AE47" s="2" t="str">
        <v/>
      </c>
      <c r="AF47" s="2" t="str">
        <v/>
      </c>
      <c r="AN47" s="2">
        <v>2</v>
      </c>
      <c r="AO47" s="2">
        <v>3</v>
      </c>
      <c r="AP47" s="2">
        <v>13</v>
      </c>
      <c r="AQ47" s="2">
        <v>12821</v>
      </c>
      <c r="AR47" s="2" t="str">
        <v/>
      </c>
      <c r="AS47" s="2" t="str">
        <v/>
      </c>
      <c r="AT47" s="2" t="str">
        <v/>
      </c>
      <c r="AU47" s="2" t="str">
        <v/>
      </c>
      <c r="AV47" s="2" t="str">
        <v/>
      </c>
    </row>
    <row r="48" spans="1:48" x14ac:dyDescent="0.25">
      <c r="A48" s="2">
        <v>1000457</v>
      </c>
      <c r="H48" s="2">
        <f t="shared" si="0"/>
        <v>1000039</v>
      </c>
      <c r="K48" s="2">
        <v>1000039</v>
      </c>
      <c r="L48" s="2" t="str">
        <v/>
      </c>
      <c r="M48" s="2" t="str">
        <v/>
      </c>
      <c r="N48" s="2" t="str">
        <v/>
      </c>
      <c r="O48" s="2" t="str">
        <v/>
      </c>
      <c r="P48" s="2" t="str">
        <v/>
      </c>
      <c r="Q48" s="2" t="str">
        <v/>
      </c>
      <c r="R48" s="2" t="str">
        <v/>
      </c>
      <c r="S48" s="2" t="str">
        <v/>
      </c>
      <c r="T48" s="2">
        <v>1000039</v>
      </c>
      <c r="X48" s="2">
        <v>1000039</v>
      </c>
      <c r="Y48" s="2" t="str">
        <v/>
      </c>
      <c r="Z48" s="2" t="str">
        <v/>
      </c>
      <c r="AA48" s="2" t="str">
        <v/>
      </c>
      <c r="AB48" s="2" t="str">
        <v/>
      </c>
      <c r="AC48" s="2" t="str">
        <v/>
      </c>
      <c r="AD48" s="2" t="str">
        <v/>
      </c>
      <c r="AE48" s="2" t="str">
        <v/>
      </c>
      <c r="AF48" s="2" t="str">
        <v/>
      </c>
      <c r="AN48" s="2">
        <v>1000039</v>
      </c>
      <c r="AO48" s="2" t="str">
        <v/>
      </c>
      <c r="AP48" s="2" t="str">
        <v/>
      </c>
      <c r="AQ48" s="2" t="str">
        <v/>
      </c>
      <c r="AR48" s="2" t="str">
        <v/>
      </c>
      <c r="AS48" s="2" t="str">
        <v/>
      </c>
      <c r="AT48" s="2" t="str">
        <v/>
      </c>
      <c r="AU48" s="2" t="str">
        <v/>
      </c>
      <c r="AV48" s="2" t="str">
        <v/>
      </c>
    </row>
    <row r="49" spans="1:48" x14ac:dyDescent="0.25">
      <c r="A49" s="2">
        <v>1000507</v>
      </c>
      <c r="H49" s="2">
        <f t="shared" si="0"/>
        <v>1000040</v>
      </c>
      <c r="K49" s="2">
        <v>2</v>
      </c>
      <c r="L49" s="2">
        <v>2</v>
      </c>
      <c r="M49" s="2">
        <v>2</v>
      </c>
      <c r="N49" s="2">
        <v>5</v>
      </c>
      <c r="O49" s="2">
        <v>23</v>
      </c>
      <c r="P49" s="2">
        <v>1087</v>
      </c>
      <c r="Q49" s="2" t="str">
        <v/>
      </c>
      <c r="R49" s="2" t="str">
        <v/>
      </c>
      <c r="S49" s="2" t="str">
        <v/>
      </c>
      <c r="T49" s="2">
        <v>1000040</v>
      </c>
      <c r="X49" s="2">
        <v>2</v>
      </c>
      <c r="Y49" s="2">
        <v>2</v>
      </c>
      <c r="Z49" s="2">
        <v>2</v>
      </c>
      <c r="AA49" s="2">
        <v>5</v>
      </c>
      <c r="AB49" s="2">
        <v>23</v>
      </c>
      <c r="AC49" s="2">
        <v>1087</v>
      </c>
      <c r="AD49" s="2" t="str">
        <v/>
      </c>
      <c r="AE49" s="2" t="str">
        <v/>
      </c>
      <c r="AF49" s="2" t="str">
        <v/>
      </c>
      <c r="AN49" s="2">
        <v>2</v>
      </c>
      <c r="AO49" s="2">
        <v>2</v>
      </c>
      <c r="AP49" s="2">
        <v>2</v>
      </c>
      <c r="AQ49" s="2">
        <v>5</v>
      </c>
      <c r="AR49" s="2">
        <v>23</v>
      </c>
      <c r="AS49" s="2">
        <v>1087</v>
      </c>
      <c r="AT49" s="2" t="str">
        <v/>
      </c>
      <c r="AU49" s="2" t="str">
        <v/>
      </c>
      <c r="AV49" s="2" t="str">
        <v/>
      </c>
    </row>
    <row r="50" spans="1:48" x14ac:dyDescent="0.25">
      <c r="A50" s="2">
        <v>1000537</v>
      </c>
      <c r="H50" s="2">
        <f t="shared" si="0"/>
        <v>1000041</v>
      </c>
      <c r="K50" s="2">
        <v>3</v>
      </c>
      <c r="L50" s="2">
        <v>7</v>
      </c>
      <c r="M50" s="2">
        <v>7</v>
      </c>
      <c r="N50" s="2">
        <v>6803</v>
      </c>
      <c r="O50" s="2" t="str">
        <v/>
      </c>
      <c r="P50" s="2" t="str">
        <v/>
      </c>
      <c r="Q50" s="2" t="str">
        <v/>
      </c>
      <c r="R50" s="2" t="str">
        <v/>
      </c>
      <c r="S50" s="2" t="str">
        <v/>
      </c>
      <c r="T50" s="2">
        <v>1000041</v>
      </c>
      <c r="X50" s="2">
        <v>3</v>
      </c>
      <c r="Y50" s="2">
        <v>7</v>
      </c>
      <c r="Z50" s="2">
        <v>7</v>
      </c>
      <c r="AA50" s="2">
        <v>6803</v>
      </c>
      <c r="AB50" s="2" t="str">
        <v/>
      </c>
      <c r="AC50" s="2" t="str">
        <v/>
      </c>
      <c r="AD50" s="2" t="str">
        <v/>
      </c>
      <c r="AE50" s="2" t="str">
        <v/>
      </c>
      <c r="AF50" s="2" t="str">
        <v/>
      </c>
      <c r="AN50" s="2">
        <v>3</v>
      </c>
      <c r="AO50" s="2">
        <v>7</v>
      </c>
      <c r="AP50" s="2">
        <v>7</v>
      </c>
      <c r="AQ50" s="2">
        <v>6803</v>
      </c>
      <c r="AR50" s="2" t="str">
        <v/>
      </c>
      <c r="AS50" s="2" t="str">
        <v/>
      </c>
      <c r="AT50" s="2" t="str">
        <v/>
      </c>
      <c r="AU50" s="2" t="str">
        <v/>
      </c>
      <c r="AV50" s="2" t="str">
        <v/>
      </c>
    </row>
    <row r="51" spans="1:48" x14ac:dyDescent="0.25">
      <c r="A51" s="2">
        <v>1000541</v>
      </c>
      <c r="H51" s="2">
        <f t="shared" si="0"/>
        <v>1000042</v>
      </c>
      <c r="K51" s="2">
        <v>2</v>
      </c>
      <c r="L51" s="2">
        <v>17</v>
      </c>
      <c r="M51" s="2">
        <v>67</v>
      </c>
      <c r="N51" s="2">
        <v>439</v>
      </c>
      <c r="O51" s="2" t="str">
        <v/>
      </c>
      <c r="P51" s="2" t="str">
        <v/>
      </c>
      <c r="Q51" s="2" t="str">
        <v/>
      </c>
      <c r="R51" s="2" t="str">
        <v/>
      </c>
      <c r="S51" s="2" t="str">
        <v/>
      </c>
      <c r="T51" s="2">
        <v>1000042</v>
      </c>
      <c r="X51" s="2">
        <v>2</v>
      </c>
      <c r="Y51" s="2">
        <v>17</v>
      </c>
      <c r="Z51" s="2">
        <v>67</v>
      </c>
      <c r="AA51" s="2">
        <v>439</v>
      </c>
      <c r="AB51" s="2" t="str">
        <v/>
      </c>
      <c r="AC51" s="2" t="str">
        <v/>
      </c>
      <c r="AD51" s="2" t="str">
        <v/>
      </c>
      <c r="AE51" s="2" t="str">
        <v/>
      </c>
      <c r="AF51" s="2" t="str">
        <v/>
      </c>
      <c r="AN51" s="2">
        <v>2</v>
      </c>
      <c r="AO51" s="2">
        <v>17</v>
      </c>
      <c r="AP51" s="2">
        <v>67</v>
      </c>
      <c r="AQ51" s="2">
        <v>439</v>
      </c>
      <c r="AR51" s="2" t="str">
        <v/>
      </c>
      <c r="AS51" s="2" t="str">
        <v/>
      </c>
      <c r="AT51" s="2" t="str">
        <v/>
      </c>
      <c r="AU51" s="2" t="str">
        <v/>
      </c>
      <c r="AV51" s="2" t="str">
        <v/>
      </c>
    </row>
    <row r="52" spans="1:48" x14ac:dyDescent="0.25">
      <c r="A52" s="2">
        <v>1000547</v>
      </c>
      <c r="H52" s="2">
        <f t="shared" si="0"/>
        <v>1000043</v>
      </c>
      <c r="K52" s="2">
        <v>11</v>
      </c>
      <c r="L52" s="2">
        <v>229</v>
      </c>
      <c r="M52" s="2">
        <v>397</v>
      </c>
      <c r="N52" s="2" t="str">
        <v/>
      </c>
      <c r="O52" s="2" t="str">
        <v/>
      </c>
      <c r="P52" s="2" t="str">
        <v/>
      </c>
      <c r="Q52" s="2" t="str">
        <v/>
      </c>
      <c r="R52" s="2" t="str">
        <v/>
      </c>
      <c r="S52" s="2" t="str">
        <v/>
      </c>
      <c r="T52" s="2">
        <v>1000043</v>
      </c>
      <c r="X52" s="2">
        <v>11</v>
      </c>
      <c r="Y52" s="2">
        <v>229</v>
      </c>
      <c r="Z52" s="2">
        <v>397</v>
      </c>
      <c r="AA52" s="2" t="str">
        <v/>
      </c>
      <c r="AB52" s="2" t="str">
        <v/>
      </c>
      <c r="AC52" s="2" t="str">
        <v/>
      </c>
      <c r="AD52" s="2" t="str">
        <v/>
      </c>
      <c r="AE52" s="2" t="str">
        <v/>
      </c>
      <c r="AF52" s="2" t="str">
        <v/>
      </c>
      <c r="AN52" s="2">
        <v>11</v>
      </c>
      <c r="AO52" s="2">
        <v>229</v>
      </c>
      <c r="AP52" s="2">
        <v>397</v>
      </c>
      <c r="AQ52" s="2" t="str">
        <v/>
      </c>
      <c r="AR52" s="2" t="str">
        <v/>
      </c>
      <c r="AS52" s="2" t="str">
        <v/>
      </c>
      <c r="AT52" s="2" t="str">
        <v/>
      </c>
      <c r="AU52" s="2" t="str">
        <v/>
      </c>
      <c r="AV52" s="2" t="str">
        <v/>
      </c>
    </row>
    <row r="53" spans="1:48" x14ac:dyDescent="0.25">
      <c r="A53" s="2">
        <v>1000577</v>
      </c>
      <c r="H53" s="2">
        <f t="shared" si="0"/>
        <v>1000044</v>
      </c>
      <c r="K53" s="2">
        <v>2</v>
      </c>
      <c r="L53" s="2">
        <v>2</v>
      </c>
      <c r="M53" s="2">
        <v>3</v>
      </c>
      <c r="N53" s="2">
        <v>3</v>
      </c>
      <c r="O53" s="2">
        <v>27779</v>
      </c>
      <c r="P53" s="2" t="str">
        <v/>
      </c>
      <c r="Q53" s="2" t="str">
        <v/>
      </c>
      <c r="R53" s="2" t="str">
        <v/>
      </c>
      <c r="S53" s="2" t="str">
        <v/>
      </c>
      <c r="T53" s="2">
        <v>1000044</v>
      </c>
      <c r="X53" s="2">
        <v>2</v>
      </c>
      <c r="Y53" s="2">
        <v>2</v>
      </c>
      <c r="Z53" s="2">
        <v>3</v>
      </c>
      <c r="AA53" s="2">
        <v>3</v>
      </c>
      <c r="AB53" s="2">
        <v>27779</v>
      </c>
      <c r="AC53" s="2" t="str">
        <v/>
      </c>
      <c r="AD53" s="2" t="str">
        <v/>
      </c>
      <c r="AE53" s="2" t="str">
        <v/>
      </c>
      <c r="AF53" s="2" t="str">
        <v/>
      </c>
      <c r="AN53" s="2">
        <v>2</v>
      </c>
      <c r="AO53" s="2">
        <v>2</v>
      </c>
      <c r="AP53" s="2">
        <v>3</v>
      </c>
      <c r="AQ53" s="2">
        <v>3</v>
      </c>
      <c r="AR53" s="2">
        <v>27779</v>
      </c>
      <c r="AS53" s="2" t="str">
        <v/>
      </c>
      <c r="AT53" s="2" t="str">
        <v/>
      </c>
      <c r="AU53" s="2" t="str">
        <v/>
      </c>
      <c r="AV53" s="2" t="str">
        <v/>
      </c>
    </row>
    <row r="54" spans="1:48" x14ac:dyDescent="0.25">
      <c r="A54" s="2">
        <v>1000579</v>
      </c>
      <c r="H54" s="2">
        <f t="shared" si="0"/>
        <v>1000045</v>
      </c>
      <c r="K54" s="2">
        <v>5</v>
      </c>
      <c r="L54" s="2">
        <v>200009</v>
      </c>
      <c r="M54" s="2" t="str">
        <v/>
      </c>
      <c r="N54" s="2" t="str">
        <v/>
      </c>
      <c r="O54" s="2" t="str">
        <v/>
      </c>
      <c r="P54" s="2" t="str">
        <v/>
      </c>
      <c r="Q54" s="2" t="str">
        <v/>
      </c>
      <c r="R54" s="2" t="str">
        <v/>
      </c>
      <c r="S54" s="2" t="str">
        <v/>
      </c>
      <c r="T54" s="2">
        <v>1000045</v>
      </c>
      <c r="X54" s="2">
        <v>5</v>
      </c>
      <c r="Y54" s="2">
        <v>200009</v>
      </c>
      <c r="Z54" s="2" t="str">
        <v/>
      </c>
      <c r="AA54" s="2" t="str">
        <v/>
      </c>
      <c r="AB54" s="2" t="str">
        <v/>
      </c>
      <c r="AC54" s="2" t="str">
        <v/>
      </c>
      <c r="AD54" s="2" t="str">
        <v/>
      </c>
      <c r="AE54" s="2" t="str">
        <v/>
      </c>
      <c r="AF54" s="2" t="str">
        <v/>
      </c>
      <c r="AN54" s="2">
        <v>5</v>
      </c>
      <c r="AO54" s="2">
        <v>200009</v>
      </c>
      <c r="AP54" s="2" t="str">
        <v/>
      </c>
      <c r="AQ54" s="2" t="str">
        <v/>
      </c>
      <c r="AR54" s="2" t="str">
        <v/>
      </c>
      <c r="AS54" s="2" t="str">
        <v/>
      </c>
      <c r="AT54" s="2" t="str">
        <v/>
      </c>
      <c r="AU54" s="2" t="str">
        <v/>
      </c>
      <c r="AV54" s="2" t="str">
        <v/>
      </c>
    </row>
    <row r="55" spans="1:48" x14ac:dyDescent="0.25">
      <c r="A55" s="2">
        <v>1000589</v>
      </c>
      <c r="H55" s="2">
        <f t="shared" si="0"/>
        <v>1000046</v>
      </c>
      <c r="K55" s="2">
        <v>2</v>
      </c>
      <c r="L55" s="2">
        <v>19</v>
      </c>
      <c r="M55" s="2">
        <v>26317</v>
      </c>
      <c r="N55" s="2" t="str">
        <v/>
      </c>
      <c r="O55" s="2" t="str">
        <v/>
      </c>
      <c r="P55" s="2" t="str">
        <v/>
      </c>
      <c r="Q55" s="2" t="str">
        <v/>
      </c>
      <c r="R55" s="2" t="str">
        <v/>
      </c>
      <c r="S55" s="2" t="str">
        <v/>
      </c>
      <c r="T55" s="2">
        <v>1000046</v>
      </c>
      <c r="X55" s="2">
        <v>2</v>
      </c>
      <c r="Y55" s="2">
        <v>19</v>
      </c>
      <c r="Z55" s="2">
        <v>26317</v>
      </c>
      <c r="AA55" s="2" t="str">
        <v/>
      </c>
      <c r="AB55" s="2" t="str">
        <v/>
      </c>
      <c r="AC55" s="2" t="str">
        <v/>
      </c>
      <c r="AD55" s="2" t="str">
        <v/>
      </c>
      <c r="AE55" s="2" t="str">
        <v/>
      </c>
      <c r="AF55" s="2" t="str">
        <v/>
      </c>
      <c r="AN55" s="2">
        <v>2</v>
      </c>
      <c r="AO55" s="2">
        <v>19</v>
      </c>
      <c r="AP55" s="2">
        <v>26317</v>
      </c>
      <c r="AQ55" s="2" t="str">
        <v/>
      </c>
      <c r="AR55" s="2" t="str">
        <v/>
      </c>
      <c r="AS55" s="2" t="str">
        <v/>
      </c>
      <c r="AT55" s="2" t="str">
        <v/>
      </c>
      <c r="AU55" s="2" t="str">
        <v/>
      </c>
      <c r="AV55" s="2" t="str">
        <v/>
      </c>
    </row>
    <row r="56" spans="1:48" x14ac:dyDescent="0.25">
      <c r="A56" s="2">
        <v>1000609</v>
      </c>
      <c r="H56" s="2">
        <f t="shared" si="0"/>
        <v>1000047</v>
      </c>
      <c r="K56" s="2">
        <v>3</v>
      </c>
      <c r="L56" s="2">
        <v>333349</v>
      </c>
      <c r="M56" s="2" t="str">
        <v/>
      </c>
      <c r="N56" s="2" t="str">
        <v/>
      </c>
      <c r="O56" s="2" t="str">
        <v/>
      </c>
      <c r="P56" s="2" t="str">
        <v/>
      </c>
      <c r="Q56" s="2" t="str">
        <v/>
      </c>
      <c r="R56" s="2" t="str">
        <v/>
      </c>
      <c r="S56" s="2" t="str">
        <v/>
      </c>
      <c r="T56" s="2">
        <v>1000047</v>
      </c>
      <c r="X56" s="2">
        <v>3</v>
      </c>
      <c r="Y56" s="2">
        <v>333349</v>
      </c>
      <c r="Z56" s="2" t="str">
        <v/>
      </c>
      <c r="AA56" s="2" t="str">
        <v/>
      </c>
      <c r="AB56" s="2" t="str">
        <v/>
      </c>
      <c r="AC56" s="2" t="str">
        <v/>
      </c>
      <c r="AD56" s="2" t="str">
        <v/>
      </c>
      <c r="AE56" s="2" t="str">
        <v/>
      </c>
      <c r="AF56" s="2" t="str">
        <v/>
      </c>
      <c r="AN56" s="2">
        <v>3</v>
      </c>
      <c r="AO56" s="2">
        <v>333349</v>
      </c>
      <c r="AP56" s="2" t="str">
        <v/>
      </c>
      <c r="AQ56" s="2" t="str">
        <v/>
      </c>
      <c r="AR56" s="2" t="str">
        <v/>
      </c>
      <c r="AS56" s="2" t="str">
        <v/>
      </c>
      <c r="AT56" s="2" t="str">
        <v/>
      </c>
      <c r="AU56" s="2" t="str">
        <v/>
      </c>
      <c r="AV56" s="2" t="str">
        <v/>
      </c>
    </row>
    <row r="57" spans="1:48" x14ac:dyDescent="0.25">
      <c r="A57" s="2">
        <v>1000619</v>
      </c>
      <c r="H57" s="2">
        <f t="shared" si="0"/>
        <v>1000048</v>
      </c>
      <c r="K57" s="2">
        <v>2</v>
      </c>
      <c r="L57" s="2">
        <v>2</v>
      </c>
      <c r="M57" s="2">
        <v>2</v>
      </c>
      <c r="N57" s="2">
        <v>2</v>
      </c>
      <c r="O57" s="2">
        <v>7</v>
      </c>
      <c r="P57" s="2">
        <v>8929</v>
      </c>
      <c r="Q57" s="2" t="str">
        <v/>
      </c>
      <c r="R57" s="2" t="str">
        <v/>
      </c>
      <c r="S57" s="2" t="str">
        <v/>
      </c>
      <c r="T57" s="2">
        <v>1000048</v>
      </c>
      <c r="X57" s="2">
        <v>2</v>
      </c>
      <c r="Y57" s="2">
        <v>2</v>
      </c>
      <c r="Z57" s="2">
        <v>2</v>
      </c>
      <c r="AA57" s="2">
        <v>2</v>
      </c>
      <c r="AB57" s="2">
        <v>7</v>
      </c>
      <c r="AC57" s="2">
        <v>8929</v>
      </c>
      <c r="AD57" s="2" t="str">
        <v/>
      </c>
      <c r="AE57" s="2" t="str">
        <v/>
      </c>
      <c r="AF57" s="2" t="str">
        <v/>
      </c>
      <c r="AN57" s="2">
        <v>2</v>
      </c>
      <c r="AO57" s="2">
        <v>2</v>
      </c>
      <c r="AP57" s="2">
        <v>2</v>
      </c>
      <c r="AQ57" s="2">
        <v>2</v>
      </c>
      <c r="AR57" s="2">
        <v>7</v>
      </c>
      <c r="AS57" s="2">
        <v>8929</v>
      </c>
      <c r="AT57" s="2" t="str">
        <v/>
      </c>
      <c r="AU57" s="2" t="str">
        <v/>
      </c>
      <c r="AV57" s="2" t="str">
        <v/>
      </c>
    </row>
    <row r="58" spans="1:48" x14ac:dyDescent="0.25">
      <c r="A58" s="2">
        <v>1000621</v>
      </c>
      <c r="H58" s="2">
        <f t="shared" si="0"/>
        <v>1000049</v>
      </c>
      <c r="K58" s="2">
        <v>353</v>
      </c>
      <c r="L58" s="2">
        <v>2833</v>
      </c>
      <c r="M58" s="2" t="str">
        <v/>
      </c>
      <c r="N58" s="2" t="str">
        <v/>
      </c>
      <c r="O58" s="2" t="str">
        <v/>
      </c>
      <c r="P58" s="2" t="str">
        <v/>
      </c>
      <c r="Q58" s="2" t="str">
        <v/>
      </c>
      <c r="R58" s="2" t="str">
        <v/>
      </c>
      <c r="S58" s="2" t="str">
        <v/>
      </c>
      <c r="T58" s="2">
        <v>1000049</v>
      </c>
      <c r="X58" s="2">
        <v>353</v>
      </c>
      <c r="Y58" s="2">
        <v>2833</v>
      </c>
      <c r="Z58" s="2" t="str">
        <v/>
      </c>
      <c r="AA58" s="2" t="str">
        <v/>
      </c>
      <c r="AB58" s="2" t="str">
        <v/>
      </c>
      <c r="AC58" s="2" t="str">
        <v/>
      </c>
      <c r="AD58" s="2" t="str">
        <v/>
      </c>
      <c r="AE58" s="2" t="str">
        <v/>
      </c>
      <c r="AF58" s="2" t="str">
        <v/>
      </c>
      <c r="AN58" s="2">
        <v>353</v>
      </c>
      <c r="AO58" s="2">
        <v>2833</v>
      </c>
      <c r="AP58" s="2" t="str">
        <v/>
      </c>
      <c r="AQ58" s="2" t="str">
        <v/>
      </c>
      <c r="AR58" s="2" t="str">
        <v/>
      </c>
      <c r="AS58" s="2" t="str">
        <v/>
      </c>
      <c r="AT58" s="2" t="str">
        <v/>
      </c>
      <c r="AU58" s="2" t="str">
        <v/>
      </c>
      <c r="AV58" s="2" t="str">
        <v/>
      </c>
    </row>
    <row r="59" spans="1:48" x14ac:dyDescent="0.25">
      <c r="A59" s="2">
        <v>1000639</v>
      </c>
      <c r="H59" s="2">
        <f t="shared" si="0"/>
        <v>1000050</v>
      </c>
      <c r="K59" s="2">
        <v>2</v>
      </c>
      <c r="L59" s="2">
        <v>3</v>
      </c>
      <c r="M59" s="2">
        <v>5</v>
      </c>
      <c r="N59" s="2">
        <v>5</v>
      </c>
      <c r="O59" s="2">
        <v>59</v>
      </c>
      <c r="P59" s="2">
        <v>113</v>
      </c>
      <c r="Q59" s="2" t="str">
        <v/>
      </c>
      <c r="R59" s="2" t="str">
        <v/>
      </c>
      <c r="S59" s="2" t="str">
        <v/>
      </c>
      <c r="T59" s="2">
        <v>1000050</v>
      </c>
      <c r="X59" s="2">
        <v>2</v>
      </c>
      <c r="Y59" s="2">
        <v>3</v>
      </c>
      <c r="Z59" s="2">
        <v>5</v>
      </c>
      <c r="AA59" s="2">
        <v>5</v>
      </c>
      <c r="AB59" s="2">
        <v>59</v>
      </c>
      <c r="AC59" s="2">
        <v>113</v>
      </c>
      <c r="AD59" s="2" t="str">
        <v/>
      </c>
      <c r="AE59" s="2" t="str">
        <v/>
      </c>
      <c r="AF59" s="2" t="str">
        <v/>
      </c>
      <c r="AN59" s="2">
        <v>2</v>
      </c>
      <c r="AO59" s="2">
        <v>3</v>
      </c>
      <c r="AP59" s="2">
        <v>5</v>
      </c>
      <c r="AQ59" s="2">
        <v>5</v>
      </c>
      <c r="AR59" s="2">
        <v>59</v>
      </c>
      <c r="AS59" s="2">
        <v>113</v>
      </c>
      <c r="AT59" s="2" t="str">
        <v/>
      </c>
      <c r="AU59" s="2" t="str">
        <v/>
      </c>
      <c r="AV59" s="2" t="str">
        <v/>
      </c>
    </row>
    <row r="60" spans="1:48" x14ac:dyDescent="0.25">
      <c r="A60" s="2">
        <v>1000651</v>
      </c>
      <c r="H60" s="2">
        <f t="shared" si="0"/>
        <v>1000051</v>
      </c>
      <c r="K60" s="2">
        <v>13</v>
      </c>
      <c r="L60" s="2">
        <v>43</v>
      </c>
      <c r="M60" s="2">
        <v>1789</v>
      </c>
      <c r="N60" s="2" t="str">
        <v/>
      </c>
      <c r="O60" s="2" t="str">
        <v/>
      </c>
      <c r="P60" s="2" t="str">
        <v/>
      </c>
      <c r="Q60" s="2" t="str">
        <v/>
      </c>
      <c r="R60" s="2" t="str">
        <v/>
      </c>
      <c r="S60" s="2" t="str">
        <v/>
      </c>
      <c r="T60" s="2">
        <v>1000051</v>
      </c>
      <c r="X60" s="2">
        <v>13</v>
      </c>
      <c r="Y60" s="2">
        <v>43</v>
      </c>
      <c r="Z60" s="2">
        <v>1789</v>
      </c>
      <c r="AA60" s="2" t="str">
        <v/>
      </c>
      <c r="AB60" s="2" t="str">
        <v/>
      </c>
      <c r="AC60" s="2" t="str">
        <v/>
      </c>
      <c r="AD60" s="2" t="str">
        <v/>
      </c>
      <c r="AE60" s="2" t="str">
        <v/>
      </c>
      <c r="AF60" s="2" t="str">
        <v/>
      </c>
      <c r="AN60" s="2">
        <v>13</v>
      </c>
      <c r="AO60" s="2">
        <v>43</v>
      </c>
      <c r="AP60" s="2">
        <v>1789</v>
      </c>
      <c r="AQ60" s="2" t="str">
        <v/>
      </c>
      <c r="AR60" s="2" t="str">
        <v/>
      </c>
      <c r="AS60" s="2" t="str">
        <v/>
      </c>
      <c r="AT60" s="2" t="str">
        <v/>
      </c>
      <c r="AU60" s="2" t="str">
        <v/>
      </c>
      <c r="AV60" s="2" t="str">
        <v/>
      </c>
    </row>
    <row r="61" spans="1:48" x14ac:dyDescent="0.25">
      <c r="A61" s="2">
        <v>1000667</v>
      </c>
      <c r="H61" s="2">
        <f t="shared" si="0"/>
        <v>1000052</v>
      </c>
      <c r="K61" s="2">
        <v>2</v>
      </c>
      <c r="L61" s="2">
        <v>2</v>
      </c>
      <c r="M61" s="2">
        <v>250013</v>
      </c>
      <c r="N61" s="2" t="str">
        <v/>
      </c>
      <c r="O61" s="2" t="str">
        <v/>
      </c>
      <c r="P61" s="2" t="str">
        <v/>
      </c>
      <c r="Q61" s="2" t="str">
        <v/>
      </c>
      <c r="R61" s="2" t="str">
        <v/>
      </c>
      <c r="S61" s="2" t="str">
        <v/>
      </c>
      <c r="T61" s="2">
        <v>1000052</v>
      </c>
      <c r="X61" s="2">
        <v>2</v>
      </c>
      <c r="Y61" s="2">
        <v>2</v>
      </c>
      <c r="Z61" s="2">
        <v>250013</v>
      </c>
      <c r="AA61" s="2" t="str">
        <v/>
      </c>
      <c r="AB61" s="2" t="str">
        <v/>
      </c>
      <c r="AC61" s="2" t="str">
        <v/>
      </c>
      <c r="AD61" s="2" t="str">
        <v/>
      </c>
      <c r="AE61" s="2" t="str">
        <v/>
      </c>
      <c r="AF61" s="2" t="str">
        <v/>
      </c>
      <c r="AN61" s="2">
        <v>2</v>
      </c>
      <c r="AO61" s="2">
        <v>2</v>
      </c>
      <c r="AP61" s="2">
        <v>250013</v>
      </c>
      <c r="AQ61" s="2" t="str">
        <v/>
      </c>
      <c r="AR61" s="2" t="str">
        <v/>
      </c>
      <c r="AS61" s="2" t="str">
        <v/>
      </c>
      <c r="AT61" s="2" t="str">
        <v/>
      </c>
      <c r="AU61" s="2" t="str">
        <v/>
      </c>
      <c r="AV61" s="2" t="str">
        <v/>
      </c>
    </row>
    <row r="62" spans="1:48" x14ac:dyDescent="0.25">
      <c r="A62" s="2">
        <v>1000669</v>
      </c>
      <c r="H62" s="2">
        <f t="shared" si="0"/>
        <v>1000053</v>
      </c>
      <c r="K62" s="2">
        <v>3</v>
      </c>
      <c r="L62" s="2">
        <v>3</v>
      </c>
      <c r="M62" s="2">
        <v>3</v>
      </c>
      <c r="N62" s="2">
        <v>37039</v>
      </c>
      <c r="O62" s="2" t="str">
        <v/>
      </c>
      <c r="P62" s="2" t="str">
        <v/>
      </c>
      <c r="Q62" s="2" t="str">
        <v/>
      </c>
      <c r="R62" s="2" t="str">
        <v/>
      </c>
      <c r="S62" s="2" t="str">
        <v/>
      </c>
      <c r="T62" s="2">
        <v>1000053</v>
      </c>
      <c r="X62" s="2">
        <v>3</v>
      </c>
      <c r="Y62" s="2">
        <v>3</v>
      </c>
      <c r="Z62" s="2">
        <v>3</v>
      </c>
      <c r="AA62" s="2">
        <v>37039</v>
      </c>
      <c r="AB62" s="2" t="str">
        <v/>
      </c>
      <c r="AC62" s="2" t="str">
        <v/>
      </c>
      <c r="AD62" s="2" t="str">
        <v/>
      </c>
      <c r="AE62" s="2" t="str">
        <v/>
      </c>
      <c r="AF62" s="2" t="str">
        <v/>
      </c>
      <c r="AN62" s="2">
        <v>3</v>
      </c>
      <c r="AO62" s="2">
        <v>3</v>
      </c>
      <c r="AP62" s="2">
        <v>3</v>
      </c>
      <c r="AQ62" s="2">
        <v>37039</v>
      </c>
      <c r="AR62" s="2" t="str">
        <v/>
      </c>
      <c r="AS62" s="2" t="str">
        <v/>
      </c>
      <c r="AT62" s="2" t="str">
        <v/>
      </c>
      <c r="AU62" s="2" t="str">
        <v/>
      </c>
      <c r="AV62" s="2" t="str">
        <v/>
      </c>
    </row>
    <row r="63" spans="1:48" x14ac:dyDescent="0.25">
      <c r="A63" s="2">
        <v>1000679</v>
      </c>
      <c r="H63" s="2">
        <f t="shared" si="0"/>
        <v>1000054</v>
      </c>
      <c r="K63" s="2">
        <v>2</v>
      </c>
      <c r="L63" s="2">
        <v>11</v>
      </c>
      <c r="M63" s="2">
        <v>131</v>
      </c>
      <c r="N63" s="2">
        <v>347</v>
      </c>
      <c r="O63" s="2" t="str">
        <v/>
      </c>
      <c r="P63" s="2" t="str">
        <v/>
      </c>
      <c r="Q63" s="2" t="str">
        <v/>
      </c>
      <c r="R63" s="2" t="str">
        <v/>
      </c>
      <c r="S63" s="2" t="str">
        <v/>
      </c>
      <c r="T63" s="2">
        <v>1000054</v>
      </c>
      <c r="X63" s="2">
        <v>2</v>
      </c>
      <c r="Y63" s="2">
        <v>11</v>
      </c>
      <c r="Z63" s="2">
        <v>131</v>
      </c>
      <c r="AA63" s="2">
        <v>347</v>
      </c>
      <c r="AB63" s="2" t="str">
        <v/>
      </c>
      <c r="AC63" s="2" t="str">
        <v/>
      </c>
      <c r="AD63" s="2" t="str">
        <v/>
      </c>
      <c r="AE63" s="2" t="str">
        <v/>
      </c>
      <c r="AF63" s="2" t="str">
        <v/>
      </c>
      <c r="AN63" s="2">
        <v>2</v>
      </c>
      <c r="AO63" s="2">
        <v>11</v>
      </c>
      <c r="AP63" s="2">
        <v>131</v>
      </c>
      <c r="AQ63" s="2">
        <v>347</v>
      </c>
      <c r="AR63" s="2" t="str">
        <v/>
      </c>
      <c r="AS63" s="2" t="str">
        <v/>
      </c>
      <c r="AT63" s="2" t="str">
        <v/>
      </c>
      <c r="AU63" s="2" t="str">
        <v/>
      </c>
      <c r="AV63" s="2" t="str">
        <v/>
      </c>
    </row>
    <row r="64" spans="1:48" x14ac:dyDescent="0.25">
      <c r="A64" s="2">
        <v>1000691</v>
      </c>
      <c r="H64" s="2">
        <f t="shared" si="0"/>
        <v>1000055</v>
      </c>
      <c r="K64" s="2">
        <v>5</v>
      </c>
      <c r="L64" s="2">
        <v>7</v>
      </c>
      <c r="M64" s="2">
        <v>28573</v>
      </c>
      <c r="N64" s="2" t="str">
        <v/>
      </c>
      <c r="O64" s="2" t="str">
        <v/>
      </c>
      <c r="P64" s="2" t="str">
        <v/>
      </c>
      <c r="Q64" s="2" t="str">
        <v/>
      </c>
      <c r="R64" s="2" t="str">
        <v/>
      </c>
      <c r="S64" s="2" t="str">
        <v/>
      </c>
      <c r="T64" s="2">
        <v>1000055</v>
      </c>
      <c r="X64" s="2">
        <v>5</v>
      </c>
      <c r="Y64" s="2">
        <v>7</v>
      </c>
      <c r="Z64" s="2">
        <v>28573</v>
      </c>
      <c r="AA64" s="2" t="str">
        <v/>
      </c>
      <c r="AB64" s="2" t="str">
        <v/>
      </c>
      <c r="AC64" s="2" t="str">
        <v/>
      </c>
      <c r="AD64" s="2" t="str">
        <v/>
      </c>
      <c r="AE64" s="2" t="str">
        <v/>
      </c>
      <c r="AF64" s="2" t="str">
        <v/>
      </c>
      <c r="AN64" s="2">
        <v>5</v>
      </c>
      <c r="AO64" s="2">
        <v>7</v>
      </c>
      <c r="AP64" s="2">
        <v>28573</v>
      </c>
      <c r="AQ64" s="2" t="str">
        <v/>
      </c>
      <c r="AR64" s="2" t="str">
        <v/>
      </c>
      <c r="AS64" s="2" t="str">
        <v/>
      </c>
      <c r="AT64" s="2" t="str">
        <v/>
      </c>
      <c r="AU64" s="2" t="str">
        <v/>
      </c>
      <c r="AV64" s="2" t="str">
        <v/>
      </c>
    </row>
    <row r="65" spans="1:48" x14ac:dyDescent="0.25">
      <c r="A65" s="2">
        <v>1000697</v>
      </c>
      <c r="H65" s="2">
        <f t="shared" si="0"/>
        <v>1000056</v>
      </c>
      <c r="K65" s="2">
        <v>2</v>
      </c>
      <c r="L65" s="2">
        <v>2</v>
      </c>
      <c r="M65" s="2">
        <v>2</v>
      </c>
      <c r="N65" s="2">
        <v>3</v>
      </c>
      <c r="O65" s="2">
        <v>41669</v>
      </c>
      <c r="P65" s="2" t="str">
        <v/>
      </c>
      <c r="Q65" s="2" t="str">
        <v/>
      </c>
      <c r="R65" s="2" t="str">
        <v/>
      </c>
      <c r="S65" s="2" t="str">
        <v/>
      </c>
      <c r="T65" s="2">
        <v>1000056</v>
      </c>
      <c r="X65" s="2">
        <v>2</v>
      </c>
      <c r="Y65" s="2">
        <v>2</v>
      </c>
      <c r="Z65" s="2">
        <v>2</v>
      </c>
      <c r="AA65" s="2">
        <v>3</v>
      </c>
      <c r="AB65" s="2">
        <v>41669</v>
      </c>
      <c r="AC65" s="2" t="str">
        <v/>
      </c>
      <c r="AD65" s="2" t="str">
        <v/>
      </c>
      <c r="AE65" s="2" t="str">
        <v/>
      </c>
      <c r="AF65" s="2" t="str">
        <v/>
      </c>
      <c r="AN65" s="2">
        <v>2</v>
      </c>
      <c r="AO65" s="2">
        <v>2</v>
      </c>
      <c r="AP65" s="2">
        <v>2</v>
      </c>
      <c r="AQ65" s="2">
        <v>3</v>
      </c>
      <c r="AR65" s="2">
        <v>41669</v>
      </c>
      <c r="AS65" s="2" t="str">
        <v/>
      </c>
      <c r="AT65" s="2" t="str">
        <v/>
      </c>
      <c r="AU65" s="2" t="str">
        <v/>
      </c>
      <c r="AV65" s="2" t="str">
        <v/>
      </c>
    </row>
    <row r="66" spans="1:48" x14ac:dyDescent="0.25">
      <c r="A66" s="2">
        <v>1000721</v>
      </c>
      <c r="H66" s="2">
        <f t="shared" si="0"/>
        <v>1000057</v>
      </c>
      <c r="K66" s="2">
        <v>53</v>
      </c>
      <c r="L66" s="2">
        <v>18869</v>
      </c>
      <c r="M66" s="2" t="str">
        <v/>
      </c>
      <c r="N66" s="2" t="str">
        <v/>
      </c>
      <c r="O66" s="2" t="str">
        <v/>
      </c>
      <c r="P66" s="2" t="str">
        <v/>
      </c>
      <c r="Q66" s="2" t="str">
        <v/>
      </c>
      <c r="R66" s="2" t="str">
        <v/>
      </c>
      <c r="S66" s="2" t="str">
        <v/>
      </c>
      <c r="T66" s="2">
        <v>1000057</v>
      </c>
      <c r="X66" s="2">
        <v>53</v>
      </c>
      <c r="Y66" s="2">
        <v>18869</v>
      </c>
      <c r="Z66" s="2" t="str">
        <v/>
      </c>
      <c r="AA66" s="2" t="str">
        <v/>
      </c>
      <c r="AB66" s="2" t="str">
        <v/>
      </c>
      <c r="AC66" s="2" t="str">
        <v/>
      </c>
      <c r="AD66" s="2" t="str">
        <v/>
      </c>
      <c r="AE66" s="2" t="str">
        <v/>
      </c>
      <c r="AF66" s="2" t="str">
        <v/>
      </c>
      <c r="AN66" s="2">
        <v>53</v>
      </c>
      <c r="AO66" s="2">
        <v>18869</v>
      </c>
      <c r="AP66" s="2" t="str">
        <v/>
      </c>
      <c r="AQ66" s="2" t="str">
        <v/>
      </c>
      <c r="AR66" s="2" t="str">
        <v/>
      </c>
      <c r="AS66" s="2" t="str">
        <v/>
      </c>
      <c r="AT66" s="2" t="str">
        <v/>
      </c>
      <c r="AU66" s="2" t="str">
        <v/>
      </c>
      <c r="AV66" s="2" t="str">
        <v/>
      </c>
    </row>
    <row r="67" spans="1:48" x14ac:dyDescent="0.25">
      <c r="A67" s="2">
        <v>1000723</v>
      </c>
      <c r="H67" s="2">
        <f t="shared" si="0"/>
        <v>1000058</v>
      </c>
      <c r="K67" s="2">
        <v>2</v>
      </c>
      <c r="L67" s="2">
        <v>500029</v>
      </c>
      <c r="M67" s="2" t="str">
        <v/>
      </c>
      <c r="N67" s="2" t="str">
        <v/>
      </c>
      <c r="O67" s="2" t="str">
        <v/>
      </c>
      <c r="P67" s="2" t="str">
        <v/>
      </c>
      <c r="Q67" s="2" t="str">
        <v/>
      </c>
      <c r="R67" s="2" t="str">
        <v/>
      </c>
      <c r="S67" s="2" t="str">
        <v/>
      </c>
      <c r="T67" s="2">
        <v>1000058</v>
      </c>
      <c r="X67" s="2">
        <v>2</v>
      </c>
      <c r="Y67" s="2">
        <v>500029</v>
      </c>
      <c r="Z67" s="2" t="str">
        <v/>
      </c>
      <c r="AA67" s="2" t="str">
        <v/>
      </c>
      <c r="AB67" s="2" t="str">
        <v/>
      </c>
      <c r="AC67" s="2" t="str">
        <v/>
      </c>
      <c r="AD67" s="2" t="str">
        <v/>
      </c>
      <c r="AE67" s="2" t="str">
        <v/>
      </c>
      <c r="AF67" s="2" t="str">
        <v/>
      </c>
      <c r="AN67" s="2">
        <v>2</v>
      </c>
      <c r="AO67" s="2">
        <v>500029</v>
      </c>
      <c r="AP67" s="2" t="str">
        <v/>
      </c>
      <c r="AQ67" s="2" t="str">
        <v/>
      </c>
      <c r="AR67" s="2" t="str">
        <v/>
      </c>
      <c r="AS67" s="2" t="str">
        <v/>
      </c>
      <c r="AT67" s="2" t="str">
        <v/>
      </c>
      <c r="AU67" s="2" t="str">
        <v/>
      </c>
      <c r="AV67" s="2" t="str">
        <v/>
      </c>
    </row>
    <row r="68" spans="1:48" x14ac:dyDescent="0.25">
      <c r="A68" s="2">
        <v>1000763</v>
      </c>
      <c r="H68" s="2">
        <f t="shared" si="0"/>
        <v>1000059</v>
      </c>
      <c r="K68" s="2">
        <v>3</v>
      </c>
      <c r="L68" s="2">
        <v>17</v>
      </c>
      <c r="M68" s="2">
        <v>19609</v>
      </c>
      <c r="N68" s="2" t="str">
        <v/>
      </c>
      <c r="O68" s="2" t="str">
        <v/>
      </c>
      <c r="P68" s="2" t="str">
        <v/>
      </c>
      <c r="Q68" s="2" t="str">
        <v/>
      </c>
      <c r="R68" s="2" t="str">
        <v/>
      </c>
      <c r="S68" s="2" t="str">
        <v/>
      </c>
      <c r="T68" s="2">
        <v>1000059</v>
      </c>
      <c r="X68" s="2">
        <v>3</v>
      </c>
      <c r="Y68" s="2">
        <v>17</v>
      </c>
      <c r="Z68" s="2">
        <v>19609</v>
      </c>
      <c r="AA68" s="2" t="str">
        <v/>
      </c>
      <c r="AB68" s="2" t="str">
        <v/>
      </c>
      <c r="AC68" s="2" t="str">
        <v/>
      </c>
      <c r="AD68" s="2" t="str">
        <v/>
      </c>
      <c r="AE68" s="2" t="str">
        <v/>
      </c>
      <c r="AF68" s="2" t="str">
        <v/>
      </c>
      <c r="AN68" s="2">
        <v>3</v>
      </c>
      <c r="AO68" s="2">
        <v>17</v>
      </c>
      <c r="AP68" s="2">
        <v>19609</v>
      </c>
      <c r="AQ68" s="2" t="str">
        <v/>
      </c>
      <c r="AR68" s="2" t="str">
        <v/>
      </c>
      <c r="AS68" s="2" t="str">
        <v/>
      </c>
      <c r="AT68" s="2" t="str">
        <v/>
      </c>
      <c r="AU68" s="2" t="str">
        <v/>
      </c>
      <c r="AV68" s="2" t="str">
        <v/>
      </c>
    </row>
    <row r="69" spans="1:48" x14ac:dyDescent="0.25">
      <c r="A69" s="2">
        <v>1000777</v>
      </c>
      <c r="H69" s="2">
        <f t="shared" si="0"/>
        <v>1000060</v>
      </c>
      <c r="K69" s="2">
        <v>2</v>
      </c>
      <c r="L69" s="2">
        <v>2</v>
      </c>
      <c r="M69" s="2">
        <v>5</v>
      </c>
      <c r="N69" s="2">
        <v>31</v>
      </c>
      <c r="O69" s="2">
        <v>1613</v>
      </c>
      <c r="P69" s="2" t="str">
        <v/>
      </c>
      <c r="Q69" s="2" t="str">
        <v/>
      </c>
      <c r="R69" s="2" t="str">
        <v/>
      </c>
      <c r="S69" s="2" t="str">
        <v/>
      </c>
      <c r="T69" s="2">
        <v>1000060</v>
      </c>
      <c r="X69" s="2">
        <v>2</v>
      </c>
      <c r="Y69" s="2">
        <v>2</v>
      </c>
      <c r="Z69" s="2">
        <v>5</v>
      </c>
      <c r="AA69" s="2">
        <v>31</v>
      </c>
      <c r="AB69" s="2">
        <v>1613</v>
      </c>
      <c r="AC69" s="2" t="str">
        <v/>
      </c>
      <c r="AD69" s="2" t="str">
        <v/>
      </c>
      <c r="AE69" s="2" t="str">
        <v/>
      </c>
      <c r="AF69" s="2" t="str">
        <v/>
      </c>
      <c r="AN69" s="2">
        <v>2</v>
      </c>
      <c r="AO69" s="2">
        <v>2</v>
      </c>
      <c r="AP69" s="2">
        <v>5</v>
      </c>
      <c r="AQ69" s="2">
        <v>31</v>
      </c>
      <c r="AR69" s="2">
        <v>1613</v>
      </c>
      <c r="AS69" s="2" t="str">
        <v/>
      </c>
      <c r="AT69" s="2" t="str">
        <v/>
      </c>
      <c r="AU69" s="2" t="str">
        <v/>
      </c>
      <c r="AV69" s="2" t="str">
        <v/>
      </c>
    </row>
    <row r="70" spans="1:48" x14ac:dyDescent="0.25">
      <c r="A70" s="2">
        <v>1000793</v>
      </c>
      <c r="H70" s="2">
        <f t="shared" si="0"/>
        <v>1000061</v>
      </c>
      <c r="K70" s="2">
        <v>79</v>
      </c>
      <c r="L70" s="2">
        <v>12659</v>
      </c>
      <c r="M70" s="2" t="str">
        <v/>
      </c>
      <c r="N70" s="2" t="str">
        <v/>
      </c>
      <c r="O70" s="2" t="str">
        <v/>
      </c>
      <c r="P70" s="2" t="str">
        <v/>
      </c>
      <c r="Q70" s="2" t="str">
        <v/>
      </c>
      <c r="R70" s="2" t="str">
        <v/>
      </c>
      <c r="S70" s="2" t="str">
        <v/>
      </c>
      <c r="T70" s="2">
        <v>1000061</v>
      </c>
      <c r="X70" s="2">
        <v>79</v>
      </c>
      <c r="Y70" s="2">
        <v>12659</v>
      </c>
      <c r="Z70" s="2" t="str">
        <v/>
      </c>
      <c r="AA70" s="2" t="str">
        <v/>
      </c>
      <c r="AB70" s="2" t="str">
        <v/>
      </c>
      <c r="AC70" s="2" t="str">
        <v/>
      </c>
      <c r="AD70" s="2" t="str">
        <v/>
      </c>
      <c r="AE70" s="2" t="str">
        <v/>
      </c>
      <c r="AF70" s="2" t="str">
        <v/>
      </c>
      <c r="AN70" s="2">
        <v>79</v>
      </c>
      <c r="AO70" s="2">
        <v>12659</v>
      </c>
      <c r="AP70" s="2" t="str">
        <v/>
      </c>
      <c r="AQ70" s="2" t="str">
        <v/>
      </c>
      <c r="AR70" s="2" t="str">
        <v/>
      </c>
      <c r="AS70" s="2" t="str">
        <v/>
      </c>
      <c r="AT70" s="2" t="str">
        <v/>
      </c>
      <c r="AU70" s="2" t="str">
        <v/>
      </c>
      <c r="AV70" s="2" t="str">
        <v/>
      </c>
    </row>
    <row r="71" spans="1:48" x14ac:dyDescent="0.25">
      <c r="A71" s="2">
        <v>1000829</v>
      </c>
      <c r="H71" s="2">
        <f t="shared" si="0"/>
        <v>1000062</v>
      </c>
      <c r="K71" s="2">
        <v>2</v>
      </c>
      <c r="L71" s="2">
        <v>3</v>
      </c>
      <c r="M71" s="2">
        <v>3</v>
      </c>
      <c r="N71" s="2">
        <v>7</v>
      </c>
      <c r="O71" s="2">
        <v>7937</v>
      </c>
      <c r="P71" s="2" t="str">
        <v/>
      </c>
      <c r="Q71" s="2" t="str">
        <v/>
      </c>
      <c r="R71" s="2" t="str">
        <v/>
      </c>
      <c r="S71" s="2" t="str">
        <v/>
      </c>
      <c r="T71" s="2">
        <v>1000062</v>
      </c>
      <c r="X71" s="2">
        <v>2</v>
      </c>
      <c r="Y71" s="2">
        <v>3</v>
      </c>
      <c r="Z71" s="2">
        <v>3</v>
      </c>
      <c r="AA71" s="2">
        <v>7</v>
      </c>
      <c r="AB71" s="2">
        <v>7937</v>
      </c>
      <c r="AC71" s="2" t="str">
        <v/>
      </c>
      <c r="AD71" s="2" t="str">
        <v/>
      </c>
      <c r="AE71" s="2" t="str">
        <v/>
      </c>
      <c r="AF71" s="2" t="str">
        <v/>
      </c>
      <c r="AN71" s="2">
        <v>2</v>
      </c>
      <c r="AO71" s="2">
        <v>3</v>
      </c>
      <c r="AP71" s="2">
        <v>3</v>
      </c>
      <c r="AQ71" s="2">
        <v>7</v>
      </c>
      <c r="AR71" s="2">
        <v>7937</v>
      </c>
      <c r="AS71" s="2" t="str">
        <v/>
      </c>
      <c r="AT71" s="2" t="str">
        <v/>
      </c>
      <c r="AU71" s="2" t="str">
        <v/>
      </c>
      <c r="AV71" s="2" t="str">
        <v/>
      </c>
    </row>
    <row r="72" spans="1:48" x14ac:dyDescent="0.25">
      <c r="A72" s="2">
        <v>1000847</v>
      </c>
      <c r="H72" s="2">
        <f t="shared" si="0"/>
        <v>1000063</v>
      </c>
      <c r="K72" s="2">
        <v>23</v>
      </c>
      <c r="L72" s="2">
        <v>43481</v>
      </c>
      <c r="M72" s="2" t="str">
        <v/>
      </c>
      <c r="N72" s="2" t="str">
        <v/>
      </c>
      <c r="O72" s="2" t="str">
        <v/>
      </c>
      <c r="P72" s="2" t="str">
        <v/>
      </c>
      <c r="Q72" s="2" t="str">
        <v/>
      </c>
      <c r="R72" s="2" t="str">
        <v/>
      </c>
      <c r="S72" s="2" t="str">
        <v/>
      </c>
      <c r="T72" s="2">
        <v>1000063</v>
      </c>
      <c r="X72" s="2">
        <v>23</v>
      </c>
      <c r="Y72" s="2">
        <v>43481</v>
      </c>
      <c r="Z72" s="2" t="str">
        <v/>
      </c>
      <c r="AA72" s="2" t="str">
        <v/>
      </c>
      <c r="AB72" s="2" t="str">
        <v/>
      </c>
      <c r="AC72" s="2" t="str">
        <v/>
      </c>
      <c r="AD72" s="2" t="str">
        <v/>
      </c>
      <c r="AE72" s="2" t="str">
        <v/>
      </c>
      <c r="AF72" s="2" t="str">
        <v/>
      </c>
      <c r="AN72" s="2">
        <v>23</v>
      </c>
      <c r="AO72" s="2">
        <v>43481</v>
      </c>
      <c r="AP72" s="2" t="str">
        <v/>
      </c>
      <c r="AQ72" s="2" t="str">
        <v/>
      </c>
      <c r="AR72" s="2" t="str">
        <v/>
      </c>
      <c r="AS72" s="2" t="str">
        <v/>
      </c>
      <c r="AT72" s="2" t="str">
        <v/>
      </c>
      <c r="AU72" s="2" t="str">
        <v/>
      </c>
      <c r="AV72" s="2" t="str">
        <v/>
      </c>
    </row>
    <row r="73" spans="1:48" x14ac:dyDescent="0.25">
      <c r="A73" s="2">
        <v>1000849</v>
      </c>
      <c r="H73" s="2">
        <f t="shared" si="0"/>
        <v>1000064</v>
      </c>
      <c r="K73" s="2">
        <v>2</v>
      </c>
      <c r="L73" s="2">
        <v>2</v>
      </c>
      <c r="M73" s="2">
        <v>2</v>
      </c>
      <c r="N73" s="2">
        <v>2</v>
      </c>
      <c r="O73" s="2">
        <v>2</v>
      </c>
      <c r="P73" s="2">
        <v>2</v>
      </c>
      <c r="Q73" s="2">
        <v>2</v>
      </c>
      <c r="R73" s="2">
        <v>13</v>
      </c>
      <c r="S73" s="2">
        <v>601</v>
      </c>
      <c r="T73" s="2">
        <v>1000064</v>
      </c>
      <c r="X73" s="2">
        <v>2</v>
      </c>
      <c r="Y73" s="2">
        <v>2</v>
      </c>
      <c r="Z73" s="2">
        <v>2</v>
      </c>
      <c r="AA73" s="2">
        <v>2</v>
      </c>
      <c r="AB73" s="2">
        <v>2</v>
      </c>
      <c r="AC73" s="2">
        <v>2</v>
      </c>
      <c r="AD73" s="2">
        <v>2</v>
      </c>
      <c r="AE73" s="2">
        <v>13</v>
      </c>
      <c r="AF73" s="2">
        <v>601</v>
      </c>
      <c r="AN73" s="2">
        <v>2</v>
      </c>
      <c r="AO73" s="2">
        <v>2</v>
      </c>
      <c r="AP73" s="2">
        <v>2</v>
      </c>
      <c r="AQ73" s="2">
        <v>2</v>
      </c>
      <c r="AR73" s="2">
        <v>2</v>
      </c>
      <c r="AS73" s="2">
        <v>2</v>
      </c>
      <c r="AT73" s="2">
        <v>2</v>
      </c>
      <c r="AU73" s="2">
        <v>13</v>
      </c>
      <c r="AV73" s="2">
        <v>601</v>
      </c>
    </row>
    <row r="74" spans="1:48" x14ac:dyDescent="0.25">
      <c r="A74" s="2">
        <v>1000859</v>
      </c>
      <c r="H74" s="2">
        <f t="shared" si="0"/>
        <v>1000065</v>
      </c>
      <c r="K74" s="2">
        <v>3</v>
      </c>
      <c r="L74" s="2">
        <v>5</v>
      </c>
      <c r="M74" s="2">
        <v>11</v>
      </c>
      <c r="N74" s="2">
        <v>11</v>
      </c>
      <c r="O74" s="2">
        <v>19</v>
      </c>
      <c r="P74" s="2">
        <v>29</v>
      </c>
      <c r="Q74" s="2" t="str">
        <v/>
      </c>
      <c r="R74" s="2" t="str">
        <v/>
      </c>
      <c r="S74" s="2" t="str">
        <v/>
      </c>
      <c r="T74" s="2">
        <v>1000065</v>
      </c>
      <c r="X74" s="2">
        <v>3</v>
      </c>
      <c r="Y74" s="2">
        <v>5</v>
      </c>
      <c r="Z74" s="2">
        <v>11</v>
      </c>
      <c r="AA74" s="2">
        <v>11</v>
      </c>
      <c r="AB74" s="2">
        <v>19</v>
      </c>
      <c r="AC74" s="2">
        <v>29</v>
      </c>
      <c r="AD74" s="2" t="str">
        <v/>
      </c>
      <c r="AE74" s="2" t="str">
        <v/>
      </c>
      <c r="AF74" s="2" t="str">
        <v/>
      </c>
      <c r="AN74" s="2">
        <v>3</v>
      </c>
      <c r="AO74" s="2">
        <v>5</v>
      </c>
      <c r="AP74" s="2">
        <v>11</v>
      </c>
      <c r="AQ74" s="2">
        <v>11</v>
      </c>
      <c r="AR74" s="2">
        <v>19</v>
      </c>
      <c r="AS74" s="2">
        <v>29</v>
      </c>
      <c r="AT74" s="2" t="str">
        <v/>
      </c>
      <c r="AU74" s="2" t="str">
        <v/>
      </c>
      <c r="AV74" s="2" t="str">
        <v/>
      </c>
    </row>
    <row r="75" spans="1:48" x14ac:dyDescent="0.25">
      <c r="A75" s="2">
        <v>1000861</v>
      </c>
      <c r="H75" s="2">
        <f t="shared" si="0"/>
        <v>1000066</v>
      </c>
      <c r="K75" s="2">
        <v>2</v>
      </c>
      <c r="L75" s="2">
        <v>47</v>
      </c>
      <c r="M75" s="2">
        <v>10639</v>
      </c>
      <c r="N75" s="2" t="str">
        <v/>
      </c>
      <c r="O75" s="2" t="str">
        <v/>
      </c>
      <c r="P75" s="2" t="str">
        <v/>
      </c>
      <c r="Q75" s="2" t="str">
        <v/>
      </c>
      <c r="R75" s="2" t="str">
        <v/>
      </c>
      <c r="S75" s="2" t="str">
        <v/>
      </c>
      <c r="T75" s="2">
        <v>1000066</v>
      </c>
      <c r="X75" s="2">
        <v>2</v>
      </c>
      <c r="Y75" s="2">
        <v>47</v>
      </c>
      <c r="Z75" s="2">
        <v>10639</v>
      </c>
      <c r="AA75" s="2" t="str">
        <v/>
      </c>
      <c r="AB75" s="2" t="str">
        <v/>
      </c>
      <c r="AC75" s="2" t="str">
        <v/>
      </c>
      <c r="AD75" s="2" t="str">
        <v/>
      </c>
      <c r="AE75" s="2" t="str">
        <v/>
      </c>
      <c r="AF75" s="2" t="str">
        <v/>
      </c>
      <c r="AN75" s="2">
        <v>2</v>
      </c>
      <c r="AO75" s="2">
        <v>47</v>
      </c>
      <c r="AP75" s="2">
        <v>10639</v>
      </c>
      <c r="AQ75" s="2" t="str">
        <v/>
      </c>
      <c r="AR75" s="2" t="str">
        <v/>
      </c>
      <c r="AS75" s="2" t="str">
        <v/>
      </c>
      <c r="AT75" s="2" t="str">
        <v/>
      </c>
      <c r="AU75" s="2" t="str">
        <v/>
      </c>
      <c r="AV75" s="2" t="str">
        <v/>
      </c>
    </row>
    <row r="76" spans="1:48" x14ac:dyDescent="0.25">
      <c r="A76" s="2">
        <v>1000889</v>
      </c>
      <c r="H76" s="2">
        <f t="shared" ref="H76:H139" si="1">H75+1</f>
        <v>1000067</v>
      </c>
      <c r="K76" s="2">
        <v>83</v>
      </c>
      <c r="L76" s="2">
        <v>12049</v>
      </c>
      <c r="M76" s="2" t="str">
        <v/>
      </c>
      <c r="N76" s="2" t="str">
        <v/>
      </c>
      <c r="O76" s="2" t="str">
        <v/>
      </c>
      <c r="P76" s="2" t="str">
        <v/>
      </c>
      <c r="Q76" s="2" t="str">
        <v/>
      </c>
      <c r="R76" s="2" t="str">
        <v/>
      </c>
      <c r="S76" s="2" t="str">
        <v/>
      </c>
      <c r="T76" s="2">
        <v>1000067</v>
      </c>
      <c r="X76" s="2">
        <v>83</v>
      </c>
      <c r="Y76" s="2">
        <v>12049</v>
      </c>
      <c r="Z76" s="2" t="str">
        <v/>
      </c>
      <c r="AA76" s="2" t="str">
        <v/>
      </c>
      <c r="AB76" s="2" t="str">
        <v/>
      </c>
      <c r="AC76" s="2" t="str">
        <v/>
      </c>
      <c r="AD76" s="2" t="str">
        <v/>
      </c>
      <c r="AE76" s="2" t="str">
        <v/>
      </c>
      <c r="AF76" s="2" t="str">
        <v/>
      </c>
      <c r="AN76" s="2">
        <v>83</v>
      </c>
      <c r="AO76" s="2">
        <v>12049</v>
      </c>
      <c r="AP76" s="2" t="str">
        <v/>
      </c>
      <c r="AQ76" s="2" t="str">
        <v/>
      </c>
      <c r="AR76" s="2" t="str">
        <v/>
      </c>
      <c r="AS76" s="2" t="str">
        <v/>
      </c>
      <c r="AT76" s="2" t="str">
        <v/>
      </c>
      <c r="AU76" s="2" t="str">
        <v/>
      </c>
      <c r="AV76" s="2" t="str">
        <v/>
      </c>
    </row>
    <row r="77" spans="1:48" x14ac:dyDescent="0.25">
      <c r="A77" s="2">
        <v>1000907</v>
      </c>
      <c r="H77" s="2">
        <f t="shared" si="1"/>
        <v>1000068</v>
      </c>
      <c r="K77" s="2">
        <v>2</v>
      </c>
      <c r="L77" s="2">
        <v>2</v>
      </c>
      <c r="M77" s="2">
        <v>3</v>
      </c>
      <c r="N77" s="2">
        <v>83339</v>
      </c>
      <c r="O77" s="2" t="str">
        <v/>
      </c>
      <c r="P77" s="2" t="str">
        <v/>
      </c>
      <c r="Q77" s="2" t="str">
        <v/>
      </c>
      <c r="R77" s="2" t="str">
        <v/>
      </c>
      <c r="S77" s="2" t="str">
        <v/>
      </c>
      <c r="T77" s="2">
        <v>1000068</v>
      </c>
      <c r="X77" s="2">
        <v>2</v>
      </c>
      <c r="Y77" s="2">
        <v>2</v>
      </c>
      <c r="Z77" s="2">
        <v>3</v>
      </c>
      <c r="AA77" s="2">
        <v>83339</v>
      </c>
      <c r="AB77" s="2" t="str">
        <v/>
      </c>
      <c r="AC77" s="2" t="str">
        <v/>
      </c>
      <c r="AD77" s="2" t="str">
        <v/>
      </c>
      <c r="AE77" s="2" t="str">
        <v/>
      </c>
      <c r="AF77" s="2" t="str">
        <v/>
      </c>
      <c r="AN77" s="2">
        <v>2</v>
      </c>
      <c r="AO77" s="2">
        <v>2</v>
      </c>
      <c r="AP77" s="2">
        <v>3</v>
      </c>
      <c r="AQ77" s="2">
        <v>83339</v>
      </c>
      <c r="AR77" s="2" t="str">
        <v/>
      </c>
      <c r="AS77" s="2" t="str">
        <v/>
      </c>
      <c r="AT77" s="2" t="str">
        <v/>
      </c>
      <c r="AU77" s="2" t="str">
        <v/>
      </c>
      <c r="AV77" s="2" t="str">
        <v/>
      </c>
    </row>
    <row r="78" spans="1:48" x14ac:dyDescent="0.25">
      <c r="A78" s="2">
        <v>1000919</v>
      </c>
      <c r="H78" s="2">
        <f t="shared" si="1"/>
        <v>1000069</v>
      </c>
      <c r="K78" s="2">
        <v>7</v>
      </c>
      <c r="L78" s="2">
        <v>142867</v>
      </c>
      <c r="M78" s="2" t="str">
        <v/>
      </c>
      <c r="N78" s="2" t="str">
        <v/>
      </c>
      <c r="O78" s="2" t="str">
        <v/>
      </c>
      <c r="P78" s="2" t="str">
        <v/>
      </c>
      <c r="Q78" s="2" t="str">
        <v/>
      </c>
      <c r="R78" s="2" t="str">
        <v/>
      </c>
      <c r="S78" s="2" t="str">
        <v/>
      </c>
      <c r="T78" s="2">
        <v>1000069</v>
      </c>
      <c r="X78" s="2">
        <v>7</v>
      </c>
      <c r="Y78" s="2">
        <v>142867</v>
      </c>
      <c r="Z78" s="2" t="str">
        <v/>
      </c>
      <c r="AA78" s="2" t="str">
        <v/>
      </c>
      <c r="AB78" s="2" t="str">
        <v/>
      </c>
      <c r="AC78" s="2" t="str">
        <v/>
      </c>
      <c r="AD78" s="2" t="str">
        <v/>
      </c>
      <c r="AE78" s="2" t="str">
        <v/>
      </c>
      <c r="AF78" s="2" t="str">
        <v/>
      </c>
      <c r="AN78" s="2">
        <v>7</v>
      </c>
      <c r="AO78" s="2">
        <v>142867</v>
      </c>
      <c r="AP78" s="2" t="str">
        <v/>
      </c>
      <c r="AQ78" s="2" t="str">
        <v/>
      </c>
      <c r="AR78" s="2" t="str">
        <v/>
      </c>
      <c r="AS78" s="2" t="str">
        <v/>
      </c>
      <c r="AT78" s="2" t="str">
        <v/>
      </c>
      <c r="AU78" s="2" t="str">
        <v/>
      </c>
      <c r="AV78" s="2" t="str">
        <v/>
      </c>
    </row>
    <row r="79" spans="1:48" x14ac:dyDescent="0.25">
      <c r="A79" s="2">
        <v>1000921</v>
      </c>
      <c r="H79" s="2">
        <f t="shared" si="1"/>
        <v>1000070</v>
      </c>
      <c r="K79" s="2">
        <v>2</v>
      </c>
      <c r="L79" s="2">
        <v>5</v>
      </c>
      <c r="M79" s="2">
        <v>97</v>
      </c>
      <c r="N79" s="2">
        <v>1031</v>
      </c>
      <c r="O79" s="2" t="str">
        <v/>
      </c>
      <c r="P79" s="2" t="str">
        <v/>
      </c>
      <c r="Q79" s="2" t="str">
        <v/>
      </c>
      <c r="R79" s="2" t="str">
        <v/>
      </c>
      <c r="S79" s="2" t="str">
        <v/>
      </c>
      <c r="T79" s="2">
        <v>1000070</v>
      </c>
      <c r="X79" s="2">
        <v>2</v>
      </c>
      <c r="Y79" s="2">
        <v>5</v>
      </c>
      <c r="Z79" s="2">
        <v>97</v>
      </c>
      <c r="AA79" s="2">
        <v>1031</v>
      </c>
      <c r="AB79" s="2" t="str">
        <v/>
      </c>
      <c r="AC79" s="2" t="str">
        <v/>
      </c>
      <c r="AD79" s="2" t="str">
        <v/>
      </c>
      <c r="AE79" s="2" t="str">
        <v/>
      </c>
      <c r="AF79" s="2" t="str">
        <v/>
      </c>
      <c r="AN79" s="2">
        <v>2</v>
      </c>
      <c r="AO79" s="2">
        <v>5</v>
      </c>
      <c r="AP79" s="2">
        <v>97</v>
      </c>
      <c r="AQ79" s="2">
        <v>1031</v>
      </c>
      <c r="AR79" s="2" t="str">
        <v/>
      </c>
      <c r="AS79" s="2" t="str">
        <v/>
      </c>
      <c r="AT79" s="2" t="str">
        <v/>
      </c>
      <c r="AU79" s="2" t="str">
        <v/>
      </c>
      <c r="AV79" s="2" t="str">
        <v/>
      </c>
    </row>
    <row r="80" spans="1:48" x14ac:dyDescent="0.25">
      <c r="A80" s="2">
        <v>1000931</v>
      </c>
      <c r="H80" s="2">
        <f t="shared" si="1"/>
        <v>1000071</v>
      </c>
      <c r="K80" s="2">
        <v>3</v>
      </c>
      <c r="L80" s="2">
        <v>3</v>
      </c>
      <c r="M80" s="2">
        <v>111119</v>
      </c>
      <c r="N80" s="2" t="str">
        <v/>
      </c>
      <c r="O80" s="2" t="str">
        <v/>
      </c>
      <c r="P80" s="2" t="str">
        <v/>
      </c>
      <c r="Q80" s="2" t="str">
        <v/>
      </c>
      <c r="R80" s="2" t="str">
        <v/>
      </c>
      <c r="S80" s="2" t="str">
        <v/>
      </c>
      <c r="T80" s="2">
        <v>1000071</v>
      </c>
      <c r="X80" s="2">
        <v>3</v>
      </c>
      <c r="Y80" s="2">
        <v>3</v>
      </c>
      <c r="Z80" s="2">
        <v>111119</v>
      </c>
      <c r="AA80" s="2" t="str">
        <v/>
      </c>
      <c r="AB80" s="2" t="str">
        <v/>
      </c>
      <c r="AC80" s="2" t="str">
        <v/>
      </c>
      <c r="AD80" s="2" t="str">
        <v/>
      </c>
      <c r="AE80" s="2" t="str">
        <v/>
      </c>
      <c r="AF80" s="2" t="str">
        <v/>
      </c>
      <c r="AN80" s="2">
        <v>3</v>
      </c>
      <c r="AO80" s="2">
        <v>3</v>
      </c>
      <c r="AP80" s="2">
        <v>111119</v>
      </c>
      <c r="AQ80" s="2" t="str">
        <v/>
      </c>
      <c r="AR80" s="2" t="str">
        <v/>
      </c>
      <c r="AS80" s="2" t="str">
        <v/>
      </c>
      <c r="AT80" s="2" t="str">
        <v/>
      </c>
      <c r="AU80" s="2" t="str">
        <v/>
      </c>
      <c r="AV80" s="2" t="str">
        <v/>
      </c>
    </row>
    <row r="81" spans="1:48" x14ac:dyDescent="0.25">
      <c r="A81" s="2">
        <v>1000969</v>
      </c>
      <c r="H81" s="2">
        <f t="shared" si="1"/>
        <v>1000072</v>
      </c>
      <c r="K81" s="2">
        <v>2</v>
      </c>
      <c r="L81" s="2">
        <v>2</v>
      </c>
      <c r="M81" s="2">
        <v>2</v>
      </c>
      <c r="N81" s="2">
        <v>41</v>
      </c>
      <c r="O81" s="2">
        <v>3049</v>
      </c>
      <c r="P81" s="2" t="str">
        <v/>
      </c>
      <c r="Q81" s="2" t="str">
        <v/>
      </c>
      <c r="R81" s="2" t="str">
        <v/>
      </c>
      <c r="S81" s="2" t="str">
        <v/>
      </c>
      <c r="T81" s="2">
        <v>1000072</v>
      </c>
      <c r="X81" s="2">
        <v>2</v>
      </c>
      <c r="Y81" s="2">
        <v>2</v>
      </c>
      <c r="Z81" s="2">
        <v>2</v>
      </c>
      <c r="AA81" s="2">
        <v>41</v>
      </c>
      <c r="AB81" s="2">
        <v>3049</v>
      </c>
      <c r="AC81" s="2" t="str">
        <v/>
      </c>
      <c r="AD81" s="2" t="str">
        <v/>
      </c>
      <c r="AE81" s="2" t="str">
        <v/>
      </c>
      <c r="AF81" s="2" t="str">
        <v/>
      </c>
      <c r="AN81" s="2">
        <v>2</v>
      </c>
      <c r="AO81" s="2">
        <v>2</v>
      </c>
      <c r="AP81" s="2">
        <v>2</v>
      </c>
      <c r="AQ81" s="2">
        <v>41</v>
      </c>
      <c r="AR81" s="2">
        <v>3049</v>
      </c>
      <c r="AS81" s="2" t="str">
        <v/>
      </c>
      <c r="AT81" s="2" t="str">
        <v/>
      </c>
      <c r="AU81" s="2" t="str">
        <v/>
      </c>
      <c r="AV81" s="2" t="str">
        <v/>
      </c>
    </row>
    <row r="82" spans="1:48" x14ac:dyDescent="0.25">
      <c r="A82" s="2">
        <v>1000973</v>
      </c>
      <c r="H82" s="2">
        <f t="shared" si="1"/>
        <v>1000073</v>
      </c>
      <c r="K82" s="2">
        <v>37</v>
      </c>
      <c r="L82" s="2">
        <v>151</v>
      </c>
      <c r="M82" s="2">
        <v>179</v>
      </c>
      <c r="N82" s="2" t="str">
        <v/>
      </c>
      <c r="O82" s="2" t="str">
        <v/>
      </c>
      <c r="P82" s="2" t="str">
        <v/>
      </c>
      <c r="Q82" s="2" t="str">
        <v/>
      </c>
      <c r="R82" s="2" t="str">
        <v/>
      </c>
      <c r="S82" s="2" t="str">
        <v/>
      </c>
      <c r="T82" s="2">
        <v>1000073</v>
      </c>
      <c r="X82" s="2">
        <v>37</v>
      </c>
      <c r="Y82" s="2">
        <v>151</v>
      </c>
      <c r="Z82" s="2">
        <v>179</v>
      </c>
      <c r="AA82" s="2" t="str">
        <v/>
      </c>
      <c r="AB82" s="2" t="str">
        <v/>
      </c>
      <c r="AC82" s="2" t="str">
        <v/>
      </c>
      <c r="AD82" s="2" t="str">
        <v/>
      </c>
      <c r="AE82" s="2" t="str">
        <v/>
      </c>
      <c r="AF82" s="2" t="str">
        <v/>
      </c>
      <c r="AN82" s="2">
        <v>37</v>
      </c>
      <c r="AO82" s="2">
        <v>151</v>
      </c>
      <c r="AP82" s="2">
        <v>179</v>
      </c>
      <c r="AQ82" s="2" t="str">
        <v/>
      </c>
      <c r="AR82" s="2" t="str">
        <v/>
      </c>
      <c r="AS82" s="2" t="str">
        <v/>
      </c>
      <c r="AT82" s="2" t="str">
        <v/>
      </c>
      <c r="AU82" s="2" t="str">
        <v/>
      </c>
      <c r="AV82" s="2" t="str">
        <v/>
      </c>
    </row>
    <row r="83" spans="1:48" x14ac:dyDescent="0.25">
      <c r="A83" s="2">
        <v>1000981</v>
      </c>
      <c r="H83" s="2">
        <f t="shared" si="1"/>
        <v>1000074</v>
      </c>
      <c r="K83" s="2">
        <v>2</v>
      </c>
      <c r="L83" s="2">
        <v>3</v>
      </c>
      <c r="M83" s="2">
        <v>166679</v>
      </c>
      <c r="N83" s="2" t="str">
        <v/>
      </c>
      <c r="O83" s="2" t="str">
        <v/>
      </c>
      <c r="P83" s="2" t="str">
        <v/>
      </c>
      <c r="Q83" s="2" t="str">
        <v/>
      </c>
      <c r="R83" s="2" t="str">
        <v/>
      </c>
      <c r="S83" s="2" t="str">
        <v/>
      </c>
      <c r="T83" s="2">
        <v>1000074</v>
      </c>
      <c r="X83" s="2">
        <v>2</v>
      </c>
      <c r="Y83" s="2">
        <v>3</v>
      </c>
      <c r="Z83" s="2">
        <v>166679</v>
      </c>
      <c r="AA83" s="2" t="str">
        <v/>
      </c>
      <c r="AB83" s="2" t="str">
        <v/>
      </c>
      <c r="AC83" s="2" t="str">
        <v/>
      </c>
      <c r="AD83" s="2" t="str">
        <v/>
      </c>
      <c r="AE83" s="2" t="str">
        <v/>
      </c>
      <c r="AF83" s="2" t="str">
        <v/>
      </c>
      <c r="AN83" s="2">
        <v>2</v>
      </c>
      <c r="AO83" s="2">
        <v>3</v>
      </c>
      <c r="AP83" s="2">
        <v>166679</v>
      </c>
      <c r="AQ83" s="2" t="str">
        <v/>
      </c>
      <c r="AR83" s="2" t="str">
        <v/>
      </c>
      <c r="AS83" s="2" t="str">
        <v/>
      </c>
      <c r="AT83" s="2" t="str">
        <v/>
      </c>
      <c r="AU83" s="2" t="str">
        <v/>
      </c>
      <c r="AV83" s="2" t="str">
        <v/>
      </c>
    </row>
    <row r="84" spans="1:48" x14ac:dyDescent="0.25">
      <c r="A84" s="2">
        <v>1000999</v>
      </c>
      <c r="H84" s="2">
        <f t="shared" si="1"/>
        <v>1000075</v>
      </c>
      <c r="K84" s="2">
        <v>5</v>
      </c>
      <c r="L84" s="2">
        <v>5</v>
      </c>
      <c r="M84" s="2">
        <v>109</v>
      </c>
      <c r="N84" s="2">
        <v>367</v>
      </c>
      <c r="O84" s="2" t="str">
        <v/>
      </c>
      <c r="P84" s="2" t="str">
        <v/>
      </c>
      <c r="Q84" s="2" t="str">
        <v/>
      </c>
      <c r="R84" s="2" t="str">
        <v/>
      </c>
      <c r="S84" s="2" t="str">
        <v/>
      </c>
      <c r="T84" s="2">
        <v>1000075</v>
      </c>
      <c r="X84" s="2">
        <v>5</v>
      </c>
      <c r="Y84" s="2">
        <v>5</v>
      </c>
      <c r="Z84" s="2">
        <v>109</v>
      </c>
      <c r="AA84" s="2">
        <v>367</v>
      </c>
      <c r="AB84" s="2" t="str">
        <v/>
      </c>
      <c r="AC84" s="2" t="str">
        <v/>
      </c>
      <c r="AD84" s="2" t="str">
        <v/>
      </c>
      <c r="AE84" s="2" t="str">
        <v/>
      </c>
      <c r="AF84" s="2" t="str">
        <v/>
      </c>
      <c r="AN84" s="2">
        <v>5</v>
      </c>
      <c r="AO84" s="2">
        <v>5</v>
      </c>
      <c r="AP84" s="2">
        <v>109</v>
      </c>
      <c r="AQ84" s="2">
        <v>367</v>
      </c>
      <c r="AR84" s="2" t="str">
        <v/>
      </c>
      <c r="AS84" s="2" t="str">
        <v/>
      </c>
      <c r="AT84" s="2" t="str">
        <v/>
      </c>
      <c r="AU84" s="2" t="str">
        <v/>
      </c>
      <c r="AV84" s="2" t="str">
        <v/>
      </c>
    </row>
    <row r="85" spans="1:48" x14ac:dyDescent="0.25">
      <c r="A85" s="2">
        <v>1001003</v>
      </c>
      <c r="H85" s="2">
        <f t="shared" si="1"/>
        <v>1000076</v>
      </c>
      <c r="K85" s="2">
        <v>2</v>
      </c>
      <c r="L85" s="2">
        <v>2</v>
      </c>
      <c r="M85" s="2">
        <v>7</v>
      </c>
      <c r="N85" s="2">
        <v>11</v>
      </c>
      <c r="O85" s="2">
        <v>17</v>
      </c>
      <c r="P85" s="2">
        <v>191</v>
      </c>
      <c r="Q85" s="2" t="str">
        <v/>
      </c>
      <c r="R85" s="2" t="str">
        <v/>
      </c>
      <c r="S85" s="2" t="str">
        <v/>
      </c>
      <c r="T85" s="2">
        <v>1000076</v>
      </c>
      <c r="X85" s="2">
        <v>2</v>
      </c>
      <c r="Y85" s="2">
        <v>2</v>
      </c>
      <c r="Z85" s="2">
        <v>7</v>
      </c>
      <c r="AA85" s="2">
        <v>11</v>
      </c>
      <c r="AB85" s="2">
        <v>17</v>
      </c>
      <c r="AC85" s="2">
        <v>191</v>
      </c>
      <c r="AD85" s="2" t="str">
        <v/>
      </c>
      <c r="AE85" s="2" t="str">
        <v/>
      </c>
      <c r="AF85" s="2" t="str">
        <v/>
      </c>
      <c r="AN85" s="2">
        <v>2</v>
      </c>
      <c r="AO85" s="2">
        <v>2</v>
      </c>
      <c r="AP85" s="2">
        <v>7</v>
      </c>
      <c r="AQ85" s="2">
        <v>11</v>
      </c>
      <c r="AR85" s="2">
        <v>17</v>
      </c>
      <c r="AS85" s="2">
        <v>191</v>
      </c>
      <c r="AT85" s="2" t="str">
        <v/>
      </c>
      <c r="AU85" s="2" t="str">
        <v/>
      </c>
      <c r="AV85" s="2" t="str">
        <v/>
      </c>
    </row>
    <row r="86" spans="1:48" x14ac:dyDescent="0.25">
      <c r="A86" s="2">
        <v>1001017</v>
      </c>
      <c r="H86" s="2">
        <f t="shared" si="1"/>
        <v>1000077</v>
      </c>
      <c r="K86" s="2">
        <v>3</v>
      </c>
      <c r="L86" s="2">
        <v>13</v>
      </c>
      <c r="M86" s="2">
        <v>25643</v>
      </c>
      <c r="N86" s="2" t="str">
        <v/>
      </c>
      <c r="O86" s="2" t="str">
        <v/>
      </c>
      <c r="P86" s="2" t="str">
        <v/>
      </c>
      <c r="Q86" s="2" t="str">
        <v/>
      </c>
      <c r="R86" s="2" t="str">
        <v/>
      </c>
      <c r="S86" s="2" t="str">
        <v/>
      </c>
      <c r="T86" s="2">
        <v>1000077</v>
      </c>
      <c r="X86" s="2">
        <v>3</v>
      </c>
      <c r="Y86" s="2">
        <v>13</v>
      </c>
      <c r="Z86" s="2">
        <v>25643</v>
      </c>
      <c r="AA86" s="2" t="str">
        <v/>
      </c>
      <c r="AB86" s="2" t="str">
        <v/>
      </c>
      <c r="AC86" s="2" t="str">
        <v/>
      </c>
      <c r="AD86" s="2" t="str">
        <v/>
      </c>
      <c r="AE86" s="2" t="str">
        <v/>
      </c>
      <c r="AF86" s="2" t="str">
        <v/>
      </c>
      <c r="AN86" s="2">
        <v>3</v>
      </c>
      <c r="AO86" s="2">
        <v>13</v>
      </c>
      <c r="AP86" s="2">
        <v>25643</v>
      </c>
      <c r="AQ86" s="2" t="str">
        <v/>
      </c>
      <c r="AR86" s="2" t="str">
        <v/>
      </c>
      <c r="AS86" s="2" t="str">
        <v/>
      </c>
      <c r="AT86" s="2" t="str">
        <v/>
      </c>
      <c r="AU86" s="2" t="str">
        <v/>
      </c>
      <c r="AV86" s="2" t="str">
        <v/>
      </c>
    </row>
    <row r="87" spans="1:48" x14ac:dyDescent="0.25">
      <c r="A87" s="2">
        <v>1001023</v>
      </c>
      <c r="H87" s="2">
        <f t="shared" si="1"/>
        <v>1000078</v>
      </c>
      <c r="K87" s="2">
        <v>2</v>
      </c>
      <c r="L87" s="2">
        <v>673</v>
      </c>
      <c r="M87" s="2">
        <v>743</v>
      </c>
      <c r="N87" s="2" t="str">
        <v/>
      </c>
      <c r="O87" s="2" t="str">
        <v/>
      </c>
      <c r="P87" s="2" t="str">
        <v/>
      </c>
      <c r="Q87" s="2" t="str">
        <v/>
      </c>
      <c r="R87" s="2" t="str">
        <v/>
      </c>
      <c r="S87" s="2" t="str">
        <v/>
      </c>
      <c r="T87" s="2">
        <v>1000078</v>
      </c>
      <c r="X87" s="2">
        <v>2</v>
      </c>
      <c r="Y87" s="2">
        <v>673</v>
      </c>
      <c r="Z87" s="2">
        <v>743</v>
      </c>
      <c r="AA87" s="2" t="str">
        <v/>
      </c>
      <c r="AB87" s="2" t="str">
        <v/>
      </c>
      <c r="AC87" s="2" t="str">
        <v/>
      </c>
      <c r="AD87" s="2" t="str">
        <v/>
      </c>
      <c r="AE87" s="2" t="str">
        <v/>
      </c>
      <c r="AF87" s="2" t="str">
        <v/>
      </c>
      <c r="AN87" s="2">
        <v>2</v>
      </c>
      <c r="AO87" s="2">
        <v>673</v>
      </c>
      <c r="AP87" s="2">
        <v>743</v>
      </c>
      <c r="AQ87" s="2" t="str">
        <v/>
      </c>
      <c r="AR87" s="2" t="str">
        <v/>
      </c>
      <c r="AS87" s="2" t="str">
        <v/>
      </c>
      <c r="AT87" s="2" t="str">
        <v/>
      </c>
      <c r="AU87" s="2" t="str">
        <v/>
      </c>
      <c r="AV87" s="2" t="str">
        <v/>
      </c>
    </row>
    <row r="88" spans="1:48" x14ac:dyDescent="0.25">
      <c r="A88" s="2">
        <v>1001027</v>
      </c>
      <c r="H88" s="2">
        <f t="shared" si="1"/>
        <v>1000079</v>
      </c>
      <c r="K88" s="2">
        <v>281</v>
      </c>
      <c r="L88" s="2">
        <v>3559</v>
      </c>
      <c r="M88" s="2" t="str">
        <v/>
      </c>
      <c r="N88" s="2" t="str">
        <v/>
      </c>
      <c r="O88" s="2" t="str">
        <v/>
      </c>
      <c r="P88" s="2" t="str">
        <v/>
      </c>
      <c r="Q88" s="2" t="str">
        <v/>
      </c>
      <c r="R88" s="2" t="str">
        <v/>
      </c>
      <c r="S88" s="2" t="str">
        <v/>
      </c>
      <c r="T88" s="2">
        <v>1000079</v>
      </c>
      <c r="X88" s="2">
        <v>281</v>
      </c>
      <c r="Y88" s="2">
        <v>3559</v>
      </c>
      <c r="Z88" s="2" t="str">
        <v/>
      </c>
      <c r="AA88" s="2" t="str">
        <v/>
      </c>
      <c r="AB88" s="2" t="str">
        <v/>
      </c>
      <c r="AC88" s="2" t="str">
        <v/>
      </c>
      <c r="AD88" s="2" t="str">
        <v/>
      </c>
      <c r="AE88" s="2" t="str">
        <v/>
      </c>
      <c r="AF88" s="2" t="str">
        <v/>
      </c>
      <c r="AN88" s="2">
        <v>281</v>
      </c>
      <c r="AO88" s="2">
        <v>3559</v>
      </c>
      <c r="AP88" s="2" t="str">
        <v/>
      </c>
      <c r="AQ88" s="2" t="str">
        <v/>
      </c>
      <c r="AR88" s="2" t="str">
        <v/>
      </c>
      <c r="AS88" s="2" t="str">
        <v/>
      </c>
      <c r="AT88" s="2" t="str">
        <v/>
      </c>
      <c r="AU88" s="2" t="str">
        <v/>
      </c>
      <c r="AV88" s="2" t="str">
        <v/>
      </c>
    </row>
    <row r="89" spans="1:48" x14ac:dyDescent="0.25">
      <c r="A89" s="2">
        <v>1001041</v>
      </c>
      <c r="H89" s="2">
        <f t="shared" si="1"/>
        <v>1000080</v>
      </c>
      <c r="K89" s="2">
        <v>2</v>
      </c>
      <c r="L89" s="2">
        <v>2</v>
      </c>
      <c r="M89" s="2">
        <v>2</v>
      </c>
      <c r="N89" s="2">
        <v>2</v>
      </c>
      <c r="O89" s="2">
        <v>3</v>
      </c>
      <c r="P89" s="2">
        <v>3</v>
      </c>
      <c r="Q89" s="2">
        <v>3</v>
      </c>
      <c r="R89" s="2">
        <v>5</v>
      </c>
      <c r="S89" s="2">
        <v>463</v>
      </c>
      <c r="T89" s="2">
        <v>1000080</v>
      </c>
      <c r="X89" s="2">
        <v>2</v>
      </c>
      <c r="Y89" s="2">
        <v>2</v>
      </c>
      <c r="Z89" s="2">
        <v>2</v>
      </c>
      <c r="AA89" s="2">
        <v>2</v>
      </c>
      <c r="AB89" s="2">
        <v>3</v>
      </c>
      <c r="AC89" s="2">
        <v>3</v>
      </c>
      <c r="AD89" s="2">
        <v>3</v>
      </c>
      <c r="AE89" s="2">
        <v>5</v>
      </c>
      <c r="AF89" s="2">
        <v>463</v>
      </c>
      <c r="AN89" s="2">
        <v>2</v>
      </c>
      <c r="AO89" s="2">
        <v>2</v>
      </c>
      <c r="AP89" s="2">
        <v>2</v>
      </c>
      <c r="AQ89" s="2">
        <v>2</v>
      </c>
      <c r="AR89" s="2">
        <v>3</v>
      </c>
      <c r="AS89" s="2">
        <v>3</v>
      </c>
      <c r="AT89" s="2">
        <v>3</v>
      </c>
      <c r="AU89" s="2">
        <v>5</v>
      </c>
      <c r="AV89" s="2">
        <v>463</v>
      </c>
    </row>
    <row r="90" spans="1:48" x14ac:dyDescent="0.25">
      <c r="A90" s="2">
        <v>1001069</v>
      </c>
      <c r="H90" s="2">
        <f t="shared" si="1"/>
        <v>1000081</v>
      </c>
      <c r="K90" s="2">
        <v>1000081</v>
      </c>
      <c r="L90" s="2" t="str">
        <v/>
      </c>
      <c r="M90" s="2" t="str">
        <v/>
      </c>
      <c r="N90" s="2" t="str">
        <v/>
      </c>
      <c r="O90" s="2" t="str">
        <v/>
      </c>
      <c r="P90" s="2" t="str">
        <v/>
      </c>
      <c r="Q90" s="2" t="str">
        <v/>
      </c>
      <c r="R90" s="2" t="str">
        <v/>
      </c>
      <c r="S90" s="2" t="str">
        <v/>
      </c>
      <c r="T90" s="2">
        <v>1000081</v>
      </c>
      <c r="X90" s="2">
        <v>1000081</v>
      </c>
      <c r="Y90" s="2" t="str">
        <v/>
      </c>
      <c r="Z90" s="2" t="str">
        <v/>
      </c>
      <c r="AA90" s="2" t="str">
        <v/>
      </c>
      <c r="AB90" s="2" t="str">
        <v/>
      </c>
      <c r="AC90" s="2" t="str">
        <v/>
      </c>
      <c r="AD90" s="2" t="str">
        <v/>
      </c>
      <c r="AE90" s="2" t="str">
        <v/>
      </c>
      <c r="AF90" s="2" t="str">
        <v/>
      </c>
      <c r="AN90" s="2">
        <v>1000081</v>
      </c>
      <c r="AO90" s="2" t="str">
        <v/>
      </c>
      <c r="AP90" s="2" t="str">
        <v/>
      </c>
      <c r="AQ90" s="2" t="str">
        <v/>
      </c>
      <c r="AR90" s="2" t="str">
        <v/>
      </c>
      <c r="AS90" s="2" t="str">
        <v/>
      </c>
      <c r="AT90" s="2" t="str">
        <v/>
      </c>
      <c r="AU90" s="2" t="str">
        <v/>
      </c>
      <c r="AV90" s="2" t="str">
        <v/>
      </c>
    </row>
    <row r="91" spans="1:48" x14ac:dyDescent="0.25">
      <c r="A91" s="2">
        <v>1001081</v>
      </c>
      <c r="H91" s="2">
        <f t="shared" si="1"/>
        <v>1000082</v>
      </c>
      <c r="K91" s="2">
        <v>2</v>
      </c>
      <c r="L91" s="2">
        <v>500041</v>
      </c>
      <c r="M91" s="2" t="str">
        <v/>
      </c>
      <c r="N91" s="2" t="str">
        <v/>
      </c>
      <c r="O91" s="2" t="str">
        <v/>
      </c>
      <c r="P91" s="2" t="str">
        <v/>
      </c>
      <c r="Q91" s="2" t="str">
        <v/>
      </c>
      <c r="R91" s="2" t="str">
        <v/>
      </c>
      <c r="S91" s="2" t="str">
        <v/>
      </c>
      <c r="T91" s="2">
        <v>1000082</v>
      </c>
      <c r="X91" s="2">
        <v>2</v>
      </c>
      <c r="Y91" s="2">
        <v>500041</v>
      </c>
      <c r="Z91" s="2" t="str">
        <v/>
      </c>
      <c r="AA91" s="2" t="str">
        <v/>
      </c>
      <c r="AB91" s="2" t="str">
        <v/>
      </c>
      <c r="AC91" s="2" t="str">
        <v/>
      </c>
      <c r="AD91" s="2" t="str">
        <v/>
      </c>
      <c r="AE91" s="2" t="str">
        <v/>
      </c>
      <c r="AF91" s="2" t="str">
        <v/>
      </c>
      <c r="AN91" s="2">
        <v>2</v>
      </c>
      <c r="AO91" s="2">
        <v>500041</v>
      </c>
      <c r="AP91" s="2" t="str">
        <v/>
      </c>
      <c r="AQ91" s="2" t="str">
        <v/>
      </c>
      <c r="AR91" s="2" t="str">
        <v/>
      </c>
      <c r="AS91" s="2" t="str">
        <v/>
      </c>
      <c r="AT91" s="2" t="str">
        <v/>
      </c>
      <c r="AU91" s="2" t="str">
        <v/>
      </c>
      <c r="AV91" s="2" t="str">
        <v/>
      </c>
    </row>
    <row r="92" spans="1:48" x14ac:dyDescent="0.25">
      <c r="A92" s="2">
        <v>1001087</v>
      </c>
      <c r="H92" s="2">
        <f t="shared" si="1"/>
        <v>1000083</v>
      </c>
      <c r="K92" s="2">
        <v>3</v>
      </c>
      <c r="L92" s="2">
        <v>7</v>
      </c>
      <c r="M92" s="2">
        <v>47623</v>
      </c>
      <c r="N92" s="2" t="str">
        <v/>
      </c>
      <c r="O92" s="2" t="str">
        <v/>
      </c>
      <c r="P92" s="2" t="str">
        <v/>
      </c>
      <c r="Q92" s="2" t="str">
        <v/>
      </c>
      <c r="R92" s="2" t="str">
        <v/>
      </c>
      <c r="S92" s="2" t="str">
        <v/>
      </c>
      <c r="T92" s="2">
        <v>1000083</v>
      </c>
      <c r="X92" s="2">
        <v>3</v>
      </c>
      <c r="Y92" s="2">
        <v>7</v>
      </c>
      <c r="Z92" s="2">
        <v>47623</v>
      </c>
      <c r="AA92" s="2" t="str">
        <v/>
      </c>
      <c r="AB92" s="2" t="str">
        <v/>
      </c>
      <c r="AC92" s="2" t="str">
        <v/>
      </c>
      <c r="AD92" s="2" t="str">
        <v/>
      </c>
      <c r="AE92" s="2" t="str">
        <v/>
      </c>
      <c r="AF92" s="2" t="str">
        <v/>
      </c>
      <c r="AN92" s="2">
        <v>3</v>
      </c>
      <c r="AO92" s="2">
        <v>7</v>
      </c>
      <c r="AP92" s="2">
        <v>47623</v>
      </c>
      <c r="AQ92" s="2" t="str">
        <v/>
      </c>
      <c r="AR92" s="2" t="str">
        <v/>
      </c>
      <c r="AS92" s="2" t="str">
        <v/>
      </c>
      <c r="AT92" s="2" t="str">
        <v/>
      </c>
      <c r="AU92" s="2" t="str">
        <v/>
      </c>
      <c r="AV92" s="2" t="str">
        <v/>
      </c>
    </row>
    <row r="93" spans="1:48" x14ac:dyDescent="0.25">
      <c r="A93" s="2">
        <v>1001089</v>
      </c>
      <c r="H93" s="2">
        <f t="shared" si="1"/>
        <v>1000084</v>
      </c>
      <c r="K93" s="2">
        <v>2</v>
      </c>
      <c r="L93" s="2">
        <v>2</v>
      </c>
      <c r="M93" s="2">
        <v>19</v>
      </c>
      <c r="N93" s="2">
        <v>13159</v>
      </c>
      <c r="O93" s="2" t="str">
        <v/>
      </c>
      <c r="P93" s="2" t="str">
        <v/>
      </c>
      <c r="Q93" s="2" t="str">
        <v/>
      </c>
      <c r="R93" s="2" t="str">
        <v/>
      </c>
      <c r="S93" s="2" t="str">
        <v/>
      </c>
      <c r="T93" s="2">
        <v>1000084</v>
      </c>
      <c r="X93" s="2">
        <v>2</v>
      </c>
      <c r="Y93" s="2">
        <v>2</v>
      </c>
      <c r="Z93" s="2">
        <v>19</v>
      </c>
      <c r="AA93" s="2">
        <v>13159</v>
      </c>
      <c r="AB93" s="2" t="str">
        <v/>
      </c>
      <c r="AC93" s="2" t="str">
        <v/>
      </c>
      <c r="AD93" s="2" t="str">
        <v/>
      </c>
      <c r="AE93" s="2" t="str">
        <v/>
      </c>
      <c r="AF93" s="2" t="str">
        <v/>
      </c>
      <c r="AN93" s="2">
        <v>2</v>
      </c>
      <c r="AO93" s="2">
        <v>2</v>
      </c>
      <c r="AP93" s="2">
        <v>19</v>
      </c>
      <c r="AQ93" s="2">
        <v>13159</v>
      </c>
      <c r="AR93" s="2" t="str">
        <v/>
      </c>
      <c r="AS93" s="2" t="str">
        <v/>
      </c>
      <c r="AT93" s="2" t="str">
        <v/>
      </c>
      <c r="AU93" s="2" t="str">
        <v/>
      </c>
      <c r="AV93" s="2" t="str">
        <v/>
      </c>
    </row>
    <row r="94" spans="1:48" x14ac:dyDescent="0.25">
      <c r="A94" s="2">
        <v>1001093</v>
      </c>
      <c r="H94" s="2">
        <f t="shared" si="1"/>
        <v>1000085</v>
      </c>
      <c r="K94" s="2">
        <v>5</v>
      </c>
      <c r="L94" s="2">
        <v>200017</v>
      </c>
      <c r="M94" s="2" t="str">
        <v/>
      </c>
      <c r="N94" s="2" t="str">
        <v/>
      </c>
      <c r="O94" s="2" t="str">
        <v/>
      </c>
      <c r="P94" s="2" t="str">
        <v/>
      </c>
      <c r="Q94" s="2" t="str">
        <v/>
      </c>
      <c r="R94" s="2" t="str">
        <v/>
      </c>
      <c r="S94" s="2" t="str">
        <v/>
      </c>
      <c r="T94" s="2">
        <v>1000085</v>
      </c>
      <c r="X94" s="2">
        <v>5</v>
      </c>
      <c r="Y94" s="2">
        <v>200017</v>
      </c>
      <c r="Z94" s="2" t="str">
        <v/>
      </c>
      <c r="AA94" s="2" t="str">
        <v/>
      </c>
      <c r="AB94" s="2" t="str">
        <v/>
      </c>
      <c r="AC94" s="2" t="str">
        <v/>
      </c>
      <c r="AD94" s="2" t="str">
        <v/>
      </c>
      <c r="AE94" s="2" t="str">
        <v/>
      </c>
      <c r="AF94" s="2" t="str">
        <v/>
      </c>
      <c r="AN94" s="2">
        <v>5</v>
      </c>
      <c r="AO94" s="2">
        <v>200017</v>
      </c>
      <c r="AP94" s="2" t="str">
        <v/>
      </c>
      <c r="AQ94" s="2" t="str">
        <v/>
      </c>
      <c r="AR94" s="2" t="str">
        <v/>
      </c>
      <c r="AS94" s="2" t="str">
        <v/>
      </c>
      <c r="AT94" s="2" t="str">
        <v/>
      </c>
      <c r="AU94" s="2" t="str">
        <v/>
      </c>
      <c r="AV94" s="2" t="str">
        <v/>
      </c>
    </row>
    <row r="95" spans="1:48" x14ac:dyDescent="0.25">
      <c r="A95" s="2">
        <v>1001107</v>
      </c>
      <c r="H95" s="2">
        <f t="shared" si="1"/>
        <v>1000086</v>
      </c>
      <c r="K95" s="2">
        <v>2</v>
      </c>
      <c r="L95" s="2">
        <v>3</v>
      </c>
      <c r="M95" s="2">
        <v>23</v>
      </c>
      <c r="N95" s="2">
        <v>7247</v>
      </c>
      <c r="O95" s="2" t="str">
        <v/>
      </c>
      <c r="P95" s="2" t="str">
        <v/>
      </c>
      <c r="Q95" s="2" t="str">
        <v/>
      </c>
      <c r="R95" s="2" t="str">
        <v/>
      </c>
      <c r="S95" s="2" t="str">
        <v/>
      </c>
      <c r="T95" s="2">
        <v>1000086</v>
      </c>
      <c r="X95" s="2">
        <v>2</v>
      </c>
      <c r="Y95" s="2">
        <v>3</v>
      </c>
      <c r="Z95" s="2">
        <v>23</v>
      </c>
      <c r="AA95" s="2">
        <v>7247</v>
      </c>
      <c r="AB95" s="2" t="str">
        <v/>
      </c>
      <c r="AC95" s="2" t="str">
        <v/>
      </c>
      <c r="AD95" s="2" t="str">
        <v/>
      </c>
      <c r="AE95" s="2" t="str">
        <v/>
      </c>
      <c r="AF95" s="2" t="str">
        <v/>
      </c>
      <c r="AN95" s="2">
        <v>2</v>
      </c>
      <c r="AO95" s="2">
        <v>3</v>
      </c>
      <c r="AP95" s="2">
        <v>23</v>
      </c>
      <c r="AQ95" s="2">
        <v>7247</v>
      </c>
      <c r="AR95" s="2" t="str">
        <v/>
      </c>
      <c r="AS95" s="2" t="str">
        <v/>
      </c>
      <c r="AT95" s="2" t="str">
        <v/>
      </c>
      <c r="AU95" s="2" t="str">
        <v/>
      </c>
      <c r="AV95" s="2" t="str">
        <v/>
      </c>
    </row>
    <row r="96" spans="1:48" x14ac:dyDescent="0.25">
      <c r="A96" s="2">
        <v>1001123</v>
      </c>
      <c r="H96" s="2">
        <f t="shared" si="1"/>
        <v>1000087</v>
      </c>
      <c r="K96" s="2">
        <v>11</v>
      </c>
      <c r="L96" s="2">
        <v>90917</v>
      </c>
      <c r="M96" s="2" t="str">
        <v/>
      </c>
      <c r="N96" s="2" t="str">
        <v/>
      </c>
      <c r="O96" s="2" t="str">
        <v/>
      </c>
      <c r="P96" s="2" t="str">
        <v/>
      </c>
      <c r="Q96" s="2" t="str">
        <v/>
      </c>
      <c r="R96" s="2" t="str">
        <v/>
      </c>
      <c r="S96" s="2" t="str">
        <v/>
      </c>
      <c r="T96" s="2">
        <v>1000087</v>
      </c>
      <c r="X96" s="2">
        <v>11</v>
      </c>
      <c r="Y96" s="2">
        <v>90917</v>
      </c>
      <c r="Z96" s="2" t="str">
        <v/>
      </c>
      <c r="AA96" s="2" t="str">
        <v/>
      </c>
      <c r="AB96" s="2" t="str">
        <v/>
      </c>
      <c r="AC96" s="2" t="str">
        <v/>
      </c>
      <c r="AD96" s="2" t="str">
        <v/>
      </c>
      <c r="AE96" s="2" t="str">
        <v/>
      </c>
      <c r="AF96" s="2" t="str">
        <v/>
      </c>
      <c r="AN96" s="2">
        <v>11</v>
      </c>
      <c r="AO96" s="2">
        <v>90917</v>
      </c>
      <c r="AP96" s="2" t="str">
        <v/>
      </c>
      <c r="AQ96" s="2" t="str">
        <v/>
      </c>
      <c r="AR96" s="2" t="str">
        <v/>
      </c>
      <c r="AS96" s="2" t="str">
        <v/>
      </c>
      <c r="AT96" s="2" t="str">
        <v/>
      </c>
      <c r="AU96" s="2" t="str">
        <v/>
      </c>
      <c r="AV96" s="2" t="str">
        <v/>
      </c>
    </row>
    <row r="97" spans="1:48" x14ac:dyDescent="0.25">
      <c r="A97" s="2">
        <v>1001153</v>
      </c>
      <c r="H97" s="2">
        <f t="shared" si="1"/>
        <v>1000088</v>
      </c>
      <c r="K97" s="2">
        <v>2</v>
      </c>
      <c r="L97" s="2">
        <v>2</v>
      </c>
      <c r="M97" s="2">
        <v>2</v>
      </c>
      <c r="N97" s="2">
        <v>149</v>
      </c>
      <c r="O97" s="2">
        <v>839</v>
      </c>
      <c r="P97" s="2" t="str">
        <v/>
      </c>
      <c r="Q97" s="2" t="str">
        <v/>
      </c>
      <c r="R97" s="2" t="str">
        <v/>
      </c>
      <c r="S97" s="2" t="str">
        <v/>
      </c>
      <c r="T97" s="2">
        <v>1000088</v>
      </c>
      <c r="X97" s="2">
        <v>2</v>
      </c>
      <c r="Y97" s="2">
        <v>2</v>
      </c>
      <c r="Z97" s="2">
        <v>2</v>
      </c>
      <c r="AA97" s="2">
        <v>149</v>
      </c>
      <c r="AB97" s="2">
        <v>839</v>
      </c>
      <c r="AC97" s="2" t="str">
        <v/>
      </c>
      <c r="AD97" s="2" t="str">
        <v/>
      </c>
      <c r="AE97" s="2" t="str">
        <v/>
      </c>
      <c r="AF97" s="2" t="str">
        <v/>
      </c>
      <c r="AN97" s="2">
        <v>2</v>
      </c>
      <c r="AO97" s="2">
        <v>2</v>
      </c>
      <c r="AP97" s="2">
        <v>2</v>
      </c>
      <c r="AQ97" s="2">
        <v>149</v>
      </c>
      <c r="AR97" s="2">
        <v>839</v>
      </c>
      <c r="AS97" s="2" t="str">
        <v/>
      </c>
      <c r="AT97" s="2" t="str">
        <v/>
      </c>
      <c r="AU97" s="2" t="str">
        <v/>
      </c>
      <c r="AV97" s="2" t="str">
        <v/>
      </c>
    </row>
    <row r="98" spans="1:48" x14ac:dyDescent="0.25">
      <c r="A98" s="2">
        <v>1001159</v>
      </c>
      <c r="H98" s="2">
        <f t="shared" si="1"/>
        <v>1000089</v>
      </c>
      <c r="K98" s="2">
        <v>3</v>
      </c>
      <c r="L98" s="2">
        <v>3</v>
      </c>
      <c r="M98" s="2">
        <v>111121</v>
      </c>
      <c r="N98" s="2" t="str">
        <v/>
      </c>
      <c r="O98" s="2" t="str">
        <v/>
      </c>
      <c r="P98" s="2" t="str">
        <v/>
      </c>
      <c r="Q98" s="2" t="str">
        <v/>
      </c>
      <c r="R98" s="2" t="str">
        <v/>
      </c>
      <c r="S98" s="2" t="str">
        <v/>
      </c>
      <c r="T98" s="2">
        <v>1000089</v>
      </c>
      <c r="X98" s="2">
        <v>3</v>
      </c>
      <c r="Y98" s="2">
        <v>3</v>
      </c>
      <c r="Z98" s="2">
        <v>111121</v>
      </c>
      <c r="AA98" s="2" t="str">
        <v/>
      </c>
      <c r="AB98" s="2" t="str">
        <v/>
      </c>
      <c r="AC98" s="2" t="str">
        <v/>
      </c>
      <c r="AD98" s="2" t="str">
        <v/>
      </c>
      <c r="AE98" s="2" t="str">
        <v/>
      </c>
      <c r="AF98" s="2" t="str">
        <v/>
      </c>
      <c r="AN98" s="2">
        <v>3</v>
      </c>
      <c r="AO98" s="2">
        <v>3</v>
      </c>
      <c r="AP98" s="2">
        <v>111121</v>
      </c>
      <c r="AQ98" s="2" t="str">
        <v/>
      </c>
      <c r="AR98" s="2" t="str">
        <v/>
      </c>
      <c r="AS98" s="2" t="str">
        <v/>
      </c>
      <c r="AT98" s="2" t="str">
        <v/>
      </c>
      <c r="AU98" s="2" t="str">
        <v/>
      </c>
      <c r="AV98" s="2" t="str">
        <v/>
      </c>
    </row>
    <row r="99" spans="1:48" x14ac:dyDescent="0.25">
      <c r="A99" s="2">
        <v>1001173</v>
      </c>
      <c r="H99" s="2">
        <f t="shared" si="1"/>
        <v>1000090</v>
      </c>
      <c r="K99" s="2">
        <v>2</v>
      </c>
      <c r="L99" s="2">
        <v>5</v>
      </c>
      <c r="M99" s="2">
        <v>7</v>
      </c>
      <c r="N99" s="2">
        <v>7</v>
      </c>
      <c r="O99" s="2">
        <v>13</v>
      </c>
      <c r="P99" s="2">
        <v>157</v>
      </c>
      <c r="Q99" s="2" t="str">
        <v/>
      </c>
      <c r="R99" s="2" t="str">
        <v/>
      </c>
      <c r="S99" s="2" t="str">
        <v/>
      </c>
      <c r="T99" s="2">
        <v>1000090</v>
      </c>
      <c r="X99" s="2">
        <v>2</v>
      </c>
      <c r="Y99" s="2">
        <v>5</v>
      </c>
      <c r="Z99" s="2">
        <v>7</v>
      </c>
      <c r="AA99" s="2">
        <v>7</v>
      </c>
      <c r="AB99" s="2">
        <v>13</v>
      </c>
      <c r="AC99" s="2">
        <v>157</v>
      </c>
      <c r="AD99" s="2" t="str">
        <v/>
      </c>
      <c r="AE99" s="2" t="str">
        <v/>
      </c>
      <c r="AF99" s="2" t="str">
        <v/>
      </c>
      <c r="AN99" s="2">
        <v>2</v>
      </c>
      <c r="AO99" s="2">
        <v>5</v>
      </c>
      <c r="AP99" s="2">
        <v>7</v>
      </c>
      <c r="AQ99" s="2">
        <v>7</v>
      </c>
      <c r="AR99" s="2">
        <v>13</v>
      </c>
      <c r="AS99" s="2">
        <v>157</v>
      </c>
      <c r="AT99" s="2" t="str">
        <v/>
      </c>
      <c r="AU99" s="2" t="str">
        <v/>
      </c>
      <c r="AV99" s="2" t="str">
        <v/>
      </c>
    </row>
    <row r="100" spans="1:48" x14ac:dyDescent="0.25">
      <c r="A100" s="2">
        <v>1001177</v>
      </c>
      <c r="H100" s="2">
        <f t="shared" si="1"/>
        <v>1000091</v>
      </c>
      <c r="K100" s="2">
        <v>31</v>
      </c>
      <c r="L100" s="2">
        <v>32261</v>
      </c>
      <c r="M100" s="2" t="str">
        <v/>
      </c>
      <c r="N100" s="2" t="str">
        <v/>
      </c>
      <c r="O100" s="2" t="str">
        <v/>
      </c>
      <c r="P100" s="2" t="str">
        <v/>
      </c>
      <c r="Q100" s="2" t="str">
        <v/>
      </c>
      <c r="R100" s="2" t="str">
        <v/>
      </c>
      <c r="S100" s="2" t="str">
        <v/>
      </c>
      <c r="T100" s="2">
        <v>1000091</v>
      </c>
      <c r="X100" s="2">
        <v>31</v>
      </c>
      <c r="Y100" s="2">
        <v>32261</v>
      </c>
      <c r="Z100" s="2" t="str">
        <v/>
      </c>
      <c r="AA100" s="2" t="str">
        <v/>
      </c>
      <c r="AB100" s="2" t="str">
        <v/>
      </c>
      <c r="AC100" s="2" t="str">
        <v/>
      </c>
      <c r="AD100" s="2" t="str">
        <v/>
      </c>
      <c r="AE100" s="2" t="str">
        <v/>
      </c>
      <c r="AF100" s="2" t="str">
        <v/>
      </c>
      <c r="AN100" s="2">
        <v>31</v>
      </c>
      <c r="AO100" s="2">
        <v>32261</v>
      </c>
      <c r="AP100" s="2" t="str">
        <v/>
      </c>
      <c r="AQ100" s="2" t="str">
        <v/>
      </c>
      <c r="AR100" s="2" t="str">
        <v/>
      </c>
      <c r="AS100" s="2" t="str">
        <v/>
      </c>
      <c r="AT100" s="2" t="str">
        <v/>
      </c>
      <c r="AU100" s="2" t="str">
        <v/>
      </c>
      <c r="AV100" s="2" t="str">
        <v/>
      </c>
    </row>
    <row r="101" spans="1:48" x14ac:dyDescent="0.25">
      <c r="A101" s="2">
        <v>1001191</v>
      </c>
      <c r="H101" s="2">
        <f t="shared" si="1"/>
        <v>1000092</v>
      </c>
      <c r="K101" s="2">
        <v>2</v>
      </c>
      <c r="L101" s="2">
        <v>2</v>
      </c>
      <c r="M101" s="2">
        <v>3</v>
      </c>
      <c r="N101" s="2">
        <v>83341</v>
      </c>
      <c r="O101" s="2" t="str">
        <v/>
      </c>
      <c r="P101" s="2" t="str">
        <v/>
      </c>
      <c r="Q101" s="2" t="str">
        <v/>
      </c>
      <c r="R101" s="2" t="str">
        <v/>
      </c>
      <c r="S101" s="2" t="str">
        <v/>
      </c>
      <c r="T101" s="2">
        <v>1000092</v>
      </c>
      <c r="X101" s="2">
        <v>2</v>
      </c>
      <c r="Y101" s="2">
        <v>2</v>
      </c>
      <c r="Z101" s="2">
        <v>3</v>
      </c>
      <c r="AA101" s="2">
        <v>83341</v>
      </c>
      <c r="AB101" s="2" t="str">
        <v/>
      </c>
      <c r="AC101" s="2" t="str">
        <v/>
      </c>
      <c r="AD101" s="2" t="str">
        <v/>
      </c>
      <c r="AE101" s="2" t="str">
        <v/>
      </c>
      <c r="AF101" s="2" t="str">
        <v/>
      </c>
      <c r="AN101" s="2">
        <v>2</v>
      </c>
      <c r="AO101" s="2">
        <v>2</v>
      </c>
      <c r="AP101" s="2">
        <v>3</v>
      </c>
      <c r="AQ101" s="2">
        <v>83341</v>
      </c>
      <c r="AR101" s="2" t="str">
        <v/>
      </c>
      <c r="AS101" s="2" t="str">
        <v/>
      </c>
      <c r="AT101" s="2" t="str">
        <v/>
      </c>
      <c r="AU101" s="2" t="str">
        <v/>
      </c>
      <c r="AV101" s="2" t="str">
        <v/>
      </c>
    </row>
    <row r="102" spans="1:48" x14ac:dyDescent="0.25">
      <c r="A102" s="2">
        <v>1001197</v>
      </c>
      <c r="H102" s="2">
        <f t="shared" si="1"/>
        <v>1000093</v>
      </c>
      <c r="K102" s="2">
        <v>17</v>
      </c>
      <c r="L102" s="2">
        <v>89</v>
      </c>
      <c r="M102" s="2">
        <v>661</v>
      </c>
      <c r="N102" s="2" t="str">
        <v/>
      </c>
      <c r="O102" s="2" t="str">
        <v/>
      </c>
      <c r="P102" s="2" t="str">
        <v/>
      </c>
      <c r="Q102" s="2" t="str">
        <v/>
      </c>
      <c r="R102" s="2" t="str">
        <v/>
      </c>
      <c r="S102" s="2" t="str">
        <v/>
      </c>
      <c r="T102" s="2">
        <v>1000093</v>
      </c>
      <c r="X102" s="2">
        <v>17</v>
      </c>
      <c r="Y102" s="2">
        <v>89</v>
      </c>
      <c r="Z102" s="2">
        <v>661</v>
      </c>
      <c r="AA102" s="2" t="str">
        <v/>
      </c>
      <c r="AB102" s="2" t="str">
        <v/>
      </c>
      <c r="AC102" s="2" t="str">
        <v/>
      </c>
      <c r="AD102" s="2" t="str">
        <v/>
      </c>
      <c r="AE102" s="2" t="str">
        <v/>
      </c>
      <c r="AF102" s="2" t="str">
        <v/>
      </c>
      <c r="AN102" s="2">
        <v>17</v>
      </c>
      <c r="AO102" s="2">
        <v>89</v>
      </c>
      <c r="AP102" s="2">
        <v>661</v>
      </c>
      <c r="AQ102" s="2" t="str">
        <v/>
      </c>
      <c r="AR102" s="2" t="str">
        <v/>
      </c>
      <c r="AS102" s="2" t="str">
        <v/>
      </c>
      <c r="AT102" s="2" t="str">
        <v/>
      </c>
      <c r="AU102" s="2" t="str">
        <v/>
      </c>
      <c r="AV102" s="2" t="str">
        <v/>
      </c>
    </row>
    <row r="103" spans="1:48" x14ac:dyDescent="0.25">
      <c r="A103" s="2">
        <v>1001219</v>
      </c>
      <c r="H103" s="2">
        <f t="shared" si="1"/>
        <v>1000094</v>
      </c>
      <c r="K103" s="2">
        <v>2</v>
      </c>
      <c r="L103" s="2">
        <v>29</v>
      </c>
      <c r="M103" s="2">
        <v>43</v>
      </c>
      <c r="N103" s="2">
        <v>401</v>
      </c>
      <c r="O103" s="2" t="str">
        <v/>
      </c>
      <c r="P103" s="2" t="str">
        <v/>
      </c>
      <c r="Q103" s="2" t="str">
        <v/>
      </c>
      <c r="R103" s="2" t="str">
        <v/>
      </c>
      <c r="S103" s="2" t="str">
        <v/>
      </c>
      <c r="T103" s="2">
        <v>1000094</v>
      </c>
      <c r="X103" s="2">
        <v>2</v>
      </c>
      <c r="Y103" s="2">
        <v>29</v>
      </c>
      <c r="Z103" s="2">
        <v>43</v>
      </c>
      <c r="AA103" s="2">
        <v>401</v>
      </c>
      <c r="AB103" s="2" t="str">
        <v/>
      </c>
      <c r="AC103" s="2" t="str">
        <v/>
      </c>
      <c r="AD103" s="2" t="str">
        <v/>
      </c>
      <c r="AE103" s="2" t="str">
        <v/>
      </c>
      <c r="AF103" s="2" t="str">
        <v/>
      </c>
      <c r="AN103" s="2">
        <v>2</v>
      </c>
      <c r="AO103" s="2">
        <v>29</v>
      </c>
      <c r="AP103" s="2">
        <v>43</v>
      </c>
      <c r="AQ103" s="2">
        <v>401</v>
      </c>
      <c r="AR103" s="2" t="str">
        <v/>
      </c>
      <c r="AS103" s="2" t="str">
        <v/>
      </c>
      <c r="AT103" s="2" t="str">
        <v/>
      </c>
      <c r="AU103" s="2" t="str">
        <v/>
      </c>
      <c r="AV103" s="2" t="str">
        <v/>
      </c>
    </row>
    <row r="104" spans="1:48" x14ac:dyDescent="0.25">
      <c r="A104" s="2">
        <v>1001237</v>
      </c>
      <c r="H104" s="2">
        <f t="shared" si="1"/>
        <v>1000095</v>
      </c>
      <c r="K104" s="2">
        <v>3</v>
      </c>
      <c r="L104" s="2">
        <v>5</v>
      </c>
      <c r="M104" s="2">
        <v>61</v>
      </c>
      <c r="N104" s="2">
        <v>1093</v>
      </c>
      <c r="O104" s="2" t="str">
        <v/>
      </c>
      <c r="P104" s="2" t="str">
        <v/>
      </c>
      <c r="Q104" s="2" t="str">
        <v/>
      </c>
      <c r="R104" s="2" t="str">
        <v/>
      </c>
      <c r="S104" s="2" t="str">
        <v/>
      </c>
      <c r="T104" s="2">
        <v>1000095</v>
      </c>
      <c r="X104" s="2">
        <v>3</v>
      </c>
      <c r="Y104" s="2">
        <v>5</v>
      </c>
      <c r="Z104" s="2">
        <v>61</v>
      </c>
      <c r="AA104" s="2">
        <v>1093</v>
      </c>
      <c r="AB104" s="2" t="str">
        <v/>
      </c>
      <c r="AC104" s="2" t="str">
        <v/>
      </c>
      <c r="AD104" s="2" t="str">
        <v/>
      </c>
      <c r="AE104" s="2" t="str">
        <v/>
      </c>
      <c r="AF104" s="2" t="str">
        <v/>
      </c>
      <c r="AN104" s="2">
        <v>3</v>
      </c>
      <c r="AO104" s="2">
        <v>5</v>
      </c>
      <c r="AP104" s="2">
        <v>61</v>
      </c>
      <c r="AQ104" s="2">
        <v>1093</v>
      </c>
      <c r="AR104" s="2" t="str">
        <v/>
      </c>
      <c r="AS104" s="2" t="str">
        <v/>
      </c>
      <c r="AT104" s="2" t="str">
        <v/>
      </c>
      <c r="AU104" s="2" t="str">
        <v/>
      </c>
      <c r="AV104" s="2" t="str">
        <v/>
      </c>
    </row>
    <row r="105" spans="1:48" x14ac:dyDescent="0.25">
      <c r="A105" s="2">
        <v>1001267</v>
      </c>
      <c r="H105" s="2">
        <f t="shared" si="1"/>
        <v>1000096</v>
      </c>
      <c r="K105" s="2">
        <v>2</v>
      </c>
      <c r="L105" s="2">
        <v>2</v>
      </c>
      <c r="M105" s="2">
        <v>2</v>
      </c>
      <c r="N105" s="2">
        <v>2</v>
      </c>
      <c r="O105" s="2">
        <v>2</v>
      </c>
      <c r="P105" s="2">
        <v>31253</v>
      </c>
      <c r="Q105" s="2" t="str">
        <v/>
      </c>
      <c r="R105" s="2" t="str">
        <v/>
      </c>
      <c r="S105" s="2" t="str">
        <v/>
      </c>
      <c r="T105" s="2">
        <v>1000096</v>
      </c>
      <c r="X105" s="2">
        <v>2</v>
      </c>
      <c r="Y105" s="2">
        <v>2</v>
      </c>
      <c r="Z105" s="2">
        <v>2</v>
      </c>
      <c r="AA105" s="2">
        <v>2</v>
      </c>
      <c r="AB105" s="2">
        <v>2</v>
      </c>
      <c r="AC105" s="2">
        <v>31253</v>
      </c>
      <c r="AD105" s="2" t="str">
        <v/>
      </c>
      <c r="AE105" s="2" t="str">
        <v/>
      </c>
      <c r="AF105" s="2" t="str">
        <v/>
      </c>
      <c r="AN105" s="2">
        <v>2</v>
      </c>
      <c r="AO105" s="2">
        <v>2</v>
      </c>
      <c r="AP105" s="2">
        <v>2</v>
      </c>
      <c r="AQ105" s="2">
        <v>2</v>
      </c>
      <c r="AR105" s="2">
        <v>2</v>
      </c>
      <c r="AS105" s="2">
        <v>31253</v>
      </c>
      <c r="AT105" s="2" t="str">
        <v/>
      </c>
      <c r="AU105" s="2" t="str">
        <v/>
      </c>
      <c r="AV105" s="2" t="str">
        <v/>
      </c>
    </row>
    <row r="106" spans="1:48" x14ac:dyDescent="0.25">
      <c r="A106" s="2">
        <v>1001279</v>
      </c>
      <c r="H106" s="2">
        <f t="shared" si="1"/>
        <v>1000097</v>
      </c>
      <c r="K106" s="2">
        <v>7</v>
      </c>
      <c r="L106" s="2">
        <v>142871</v>
      </c>
      <c r="M106" s="2" t="str">
        <v/>
      </c>
      <c r="N106" s="2" t="str">
        <v/>
      </c>
      <c r="O106" s="2" t="str">
        <v/>
      </c>
      <c r="P106" s="2" t="str">
        <v/>
      </c>
      <c r="Q106" s="2" t="str">
        <v/>
      </c>
      <c r="R106" s="2" t="str">
        <v/>
      </c>
      <c r="S106" s="2" t="str">
        <v/>
      </c>
      <c r="T106" s="2">
        <v>1000097</v>
      </c>
      <c r="X106" s="2">
        <v>7</v>
      </c>
      <c r="Y106" s="2">
        <v>142871</v>
      </c>
      <c r="Z106" s="2" t="str">
        <v/>
      </c>
      <c r="AA106" s="2" t="str">
        <v/>
      </c>
      <c r="AB106" s="2" t="str">
        <v/>
      </c>
      <c r="AC106" s="2" t="str">
        <v/>
      </c>
      <c r="AD106" s="2" t="str">
        <v/>
      </c>
      <c r="AE106" s="2" t="str">
        <v/>
      </c>
      <c r="AF106" s="2" t="str">
        <v/>
      </c>
      <c r="AN106" s="2">
        <v>7</v>
      </c>
      <c r="AO106" s="2">
        <v>142871</v>
      </c>
      <c r="AP106" s="2" t="str">
        <v/>
      </c>
      <c r="AQ106" s="2" t="str">
        <v/>
      </c>
      <c r="AR106" s="2" t="str">
        <v/>
      </c>
      <c r="AS106" s="2" t="str">
        <v/>
      </c>
      <c r="AT106" s="2" t="str">
        <v/>
      </c>
      <c r="AU106" s="2" t="str">
        <v/>
      </c>
      <c r="AV106" s="2" t="str">
        <v/>
      </c>
    </row>
    <row r="107" spans="1:48" x14ac:dyDescent="0.25">
      <c r="A107" s="2">
        <v>1001291</v>
      </c>
      <c r="H107" s="2">
        <f t="shared" si="1"/>
        <v>1000098</v>
      </c>
      <c r="K107" s="2">
        <v>2</v>
      </c>
      <c r="L107" s="2">
        <v>3</v>
      </c>
      <c r="M107" s="2">
        <v>3</v>
      </c>
      <c r="N107" s="2">
        <v>11</v>
      </c>
      <c r="O107" s="2">
        <v>5051</v>
      </c>
      <c r="P107" s="2" t="str">
        <v/>
      </c>
      <c r="Q107" s="2" t="str">
        <v/>
      </c>
      <c r="R107" s="2" t="str">
        <v/>
      </c>
      <c r="S107" s="2" t="str">
        <v/>
      </c>
      <c r="T107" s="2">
        <v>1000098</v>
      </c>
      <c r="X107" s="2">
        <v>2</v>
      </c>
      <c r="Y107" s="2">
        <v>3</v>
      </c>
      <c r="Z107" s="2">
        <v>3</v>
      </c>
      <c r="AA107" s="2">
        <v>11</v>
      </c>
      <c r="AB107" s="2">
        <v>5051</v>
      </c>
      <c r="AC107" s="2" t="str">
        <v/>
      </c>
      <c r="AD107" s="2" t="str">
        <v/>
      </c>
      <c r="AE107" s="2" t="str">
        <v/>
      </c>
      <c r="AF107" s="2" t="str">
        <v/>
      </c>
      <c r="AN107" s="2">
        <v>2</v>
      </c>
      <c r="AO107" s="2">
        <v>3</v>
      </c>
      <c r="AP107" s="2">
        <v>3</v>
      </c>
      <c r="AQ107" s="2">
        <v>11</v>
      </c>
      <c r="AR107" s="2">
        <v>5051</v>
      </c>
      <c r="AS107" s="2" t="str">
        <v/>
      </c>
      <c r="AT107" s="2" t="str">
        <v/>
      </c>
      <c r="AU107" s="2" t="str">
        <v/>
      </c>
      <c r="AV107" s="2" t="str">
        <v/>
      </c>
    </row>
    <row r="108" spans="1:48" x14ac:dyDescent="0.25">
      <c r="A108" s="2">
        <v>1001303</v>
      </c>
      <c r="H108" s="2">
        <f t="shared" si="1"/>
        <v>1000099</v>
      </c>
      <c r="K108" s="2">
        <v>1000099</v>
      </c>
      <c r="L108" s="2" t="str">
        <v/>
      </c>
      <c r="M108" s="2" t="str">
        <v/>
      </c>
      <c r="N108" s="2" t="str">
        <v/>
      </c>
      <c r="O108" s="2" t="str">
        <v/>
      </c>
      <c r="P108" s="2" t="str">
        <v/>
      </c>
      <c r="Q108" s="2" t="str">
        <v/>
      </c>
      <c r="R108" s="2" t="str">
        <v/>
      </c>
      <c r="S108" s="2" t="str">
        <v/>
      </c>
      <c r="T108" s="2">
        <v>1000099</v>
      </c>
      <c r="X108" s="2">
        <v>1000099</v>
      </c>
      <c r="Y108" s="2" t="str">
        <v/>
      </c>
      <c r="Z108" s="2" t="str">
        <v/>
      </c>
      <c r="AA108" s="2" t="str">
        <v/>
      </c>
      <c r="AB108" s="2" t="str">
        <v/>
      </c>
      <c r="AC108" s="2" t="str">
        <v/>
      </c>
      <c r="AD108" s="2" t="str">
        <v/>
      </c>
      <c r="AE108" s="2" t="str">
        <v/>
      </c>
      <c r="AF108" s="2" t="str">
        <v/>
      </c>
      <c r="AN108" s="2">
        <v>1000099</v>
      </c>
      <c r="AO108" s="2" t="str">
        <v/>
      </c>
      <c r="AP108" s="2" t="str">
        <v/>
      </c>
      <c r="AQ108" s="2" t="str">
        <v/>
      </c>
      <c r="AR108" s="2" t="str">
        <v/>
      </c>
      <c r="AS108" s="2" t="str">
        <v/>
      </c>
      <c r="AT108" s="2" t="str">
        <v/>
      </c>
      <c r="AU108" s="2" t="str">
        <v/>
      </c>
      <c r="AV108" s="2" t="str">
        <v/>
      </c>
    </row>
    <row r="109" spans="1:48" x14ac:dyDescent="0.25">
      <c r="A109" s="2">
        <v>1001311</v>
      </c>
      <c r="H109" s="2">
        <f t="shared" si="1"/>
        <v>1000100</v>
      </c>
      <c r="K109" s="2">
        <v>2</v>
      </c>
      <c r="L109" s="2">
        <v>2</v>
      </c>
      <c r="M109" s="2">
        <v>5</v>
      </c>
      <c r="N109" s="2">
        <v>5</v>
      </c>
      <c r="O109" s="2">
        <v>73</v>
      </c>
      <c r="P109" s="2">
        <v>137</v>
      </c>
      <c r="Q109" s="2" t="str">
        <v/>
      </c>
      <c r="R109" s="2" t="str">
        <v/>
      </c>
      <c r="S109" s="2" t="str">
        <v/>
      </c>
      <c r="T109" s="2">
        <v>1000100</v>
      </c>
      <c r="X109" s="2">
        <v>2</v>
      </c>
      <c r="Y109" s="2">
        <v>2</v>
      </c>
      <c r="Z109" s="2">
        <v>5</v>
      </c>
      <c r="AA109" s="2">
        <v>5</v>
      </c>
      <c r="AB109" s="2">
        <v>73</v>
      </c>
      <c r="AC109" s="2">
        <v>137</v>
      </c>
      <c r="AD109" s="2" t="str">
        <v/>
      </c>
      <c r="AE109" s="2" t="str">
        <v/>
      </c>
      <c r="AF109" s="2" t="str">
        <v/>
      </c>
      <c r="AN109" s="2">
        <v>2</v>
      </c>
      <c r="AO109" s="2">
        <v>2</v>
      </c>
      <c r="AP109" s="2">
        <v>5</v>
      </c>
      <c r="AQ109" s="2">
        <v>5</v>
      </c>
      <c r="AR109" s="2">
        <v>73</v>
      </c>
      <c r="AS109" s="2">
        <v>137</v>
      </c>
      <c r="AT109" s="2" t="str">
        <v/>
      </c>
      <c r="AU109" s="2" t="str">
        <v/>
      </c>
      <c r="AV109" s="2" t="str">
        <v/>
      </c>
    </row>
    <row r="110" spans="1:48" x14ac:dyDescent="0.25">
      <c r="A110" s="2">
        <v>1001321</v>
      </c>
      <c r="H110" s="2">
        <f t="shared" si="1"/>
        <v>1000101</v>
      </c>
      <c r="K110" s="2">
        <v>3</v>
      </c>
      <c r="L110" s="2">
        <v>333367</v>
      </c>
      <c r="M110" s="2" t="str">
        <v/>
      </c>
      <c r="N110" s="2" t="str">
        <v/>
      </c>
      <c r="O110" s="2" t="str">
        <v/>
      </c>
      <c r="P110" s="2" t="str">
        <v/>
      </c>
      <c r="Q110" s="2" t="str">
        <v/>
      </c>
      <c r="R110" s="2" t="str">
        <v/>
      </c>
      <c r="S110" s="2" t="str">
        <v/>
      </c>
      <c r="T110" s="2">
        <v>1000101</v>
      </c>
      <c r="X110" s="2">
        <v>3</v>
      </c>
      <c r="Y110" s="2">
        <v>333367</v>
      </c>
      <c r="Z110" s="2" t="str">
        <v/>
      </c>
      <c r="AA110" s="2" t="str">
        <v/>
      </c>
      <c r="AB110" s="2" t="str">
        <v/>
      </c>
      <c r="AC110" s="2" t="str">
        <v/>
      </c>
      <c r="AD110" s="2" t="str">
        <v/>
      </c>
      <c r="AE110" s="2" t="str">
        <v/>
      </c>
      <c r="AF110" s="2" t="str">
        <v/>
      </c>
      <c r="AN110" s="2">
        <v>3</v>
      </c>
      <c r="AO110" s="2">
        <v>333367</v>
      </c>
      <c r="AP110" s="2" t="str">
        <v/>
      </c>
      <c r="AQ110" s="2" t="str">
        <v/>
      </c>
      <c r="AR110" s="2" t="str">
        <v/>
      </c>
      <c r="AS110" s="2" t="str">
        <v/>
      </c>
      <c r="AT110" s="2" t="str">
        <v/>
      </c>
      <c r="AU110" s="2" t="str">
        <v/>
      </c>
      <c r="AV110" s="2" t="str">
        <v/>
      </c>
    </row>
    <row r="111" spans="1:48" x14ac:dyDescent="0.25">
      <c r="A111" s="2">
        <v>1001323</v>
      </c>
      <c r="H111" s="2">
        <f t="shared" si="1"/>
        <v>1000102</v>
      </c>
      <c r="K111" s="2">
        <v>2</v>
      </c>
      <c r="L111" s="2">
        <v>101</v>
      </c>
      <c r="M111" s="2">
        <v>4951</v>
      </c>
      <c r="N111" s="2" t="str">
        <v/>
      </c>
      <c r="O111" s="2" t="str">
        <v/>
      </c>
      <c r="P111" s="2" t="str">
        <v/>
      </c>
      <c r="Q111" s="2" t="str">
        <v/>
      </c>
      <c r="R111" s="2" t="str">
        <v/>
      </c>
      <c r="S111" s="2" t="str">
        <v/>
      </c>
      <c r="T111" s="2">
        <v>1000102</v>
      </c>
      <c r="X111" s="2">
        <v>2</v>
      </c>
      <c r="Y111" s="2">
        <v>101</v>
      </c>
      <c r="Z111" s="2">
        <v>4951</v>
      </c>
      <c r="AA111" s="2" t="str">
        <v/>
      </c>
      <c r="AB111" s="2" t="str">
        <v/>
      </c>
      <c r="AC111" s="2" t="str">
        <v/>
      </c>
      <c r="AD111" s="2" t="str">
        <v/>
      </c>
      <c r="AE111" s="2" t="str">
        <v/>
      </c>
      <c r="AF111" s="2" t="str">
        <v/>
      </c>
      <c r="AN111" s="2">
        <v>2</v>
      </c>
      <c r="AO111" s="2">
        <v>101</v>
      </c>
      <c r="AP111" s="2">
        <v>4951</v>
      </c>
      <c r="AQ111" s="2" t="str">
        <v/>
      </c>
      <c r="AR111" s="2" t="str">
        <v/>
      </c>
      <c r="AS111" s="2" t="str">
        <v/>
      </c>
      <c r="AT111" s="2" t="str">
        <v/>
      </c>
      <c r="AU111" s="2" t="str">
        <v/>
      </c>
      <c r="AV111" s="2" t="str">
        <v/>
      </c>
    </row>
    <row r="112" spans="1:48" x14ac:dyDescent="0.25">
      <c r="A112" s="2">
        <v>1001327</v>
      </c>
      <c r="H112" s="2">
        <f t="shared" si="1"/>
        <v>1000103</v>
      </c>
      <c r="K112" s="2">
        <v>13</v>
      </c>
      <c r="L112" s="2">
        <v>19</v>
      </c>
      <c r="M112" s="2">
        <v>4049</v>
      </c>
      <c r="N112" s="2" t="str">
        <v/>
      </c>
      <c r="O112" s="2" t="str">
        <v/>
      </c>
      <c r="P112" s="2" t="str">
        <v/>
      </c>
      <c r="Q112" s="2" t="str">
        <v/>
      </c>
      <c r="R112" s="2" t="str">
        <v/>
      </c>
      <c r="S112" s="2" t="str">
        <v/>
      </c>
      <c r="T112" s="2">
        <v>1000103</v>
      </c>
      <c r="X112" s="2">
        <v>13</v>
      </c>
      <c r="Y112" s="2">
        <v>19</v>
      </c>
      <c r="Z112" s="2">
        <v>4049</v>
      </c>
      <c r="AA112" s="2" t="str">
        <v/>
      </c>
      <c r="AB112" s="2" t="str">
        <v/>
      </c>
      <c r="AC112" s="2" t="str">
        <v/>
      </c>
      <c r="AD112" s="2" t="str">
        <v/>
      </c>
      <c r="AE112" s="2" t="str">
        <v/>
      </c>
      <c r="AF112" s="2" t="str">
        <v/>
      </c>
      <c r="AN112" s="2">
        <v>13</v>
      </c>
      <c r="AO112" s="2">
        <v>19</v>
      </c>
      <c r="AP112" s="2">
        <v>4049</v>
      </c>
      <c r="AQ112" s="2" t="str">
        <v/>
      </c>
      <c r="AR112" s="2" t="str">
        <v/>
      </c>
      <c r="AS112" s="2" t="str">
        <v/>
      </c>
      <c r="AT112" s="2" t="str">
        <v/>
      </c>
      <c r="AU112" s="2" t="str">
        <v/>
      </c>
      <c r="AV112" s="2" t="str">
        <v/>
      </c>
    </row>
    <row r="113" spans="1:48" x14ac:dyDescent="0.25">
      <c r="A113" s="2">
        <v>1001347</v>
      </c>
      <c r="H113" s="2">
        <f t="shared" si="1"/>
        <v>1000104</v>
      </c>
      <c r="K113" s="2">
        <v>2</v>
      </c>
      <c r="L113" s="2">
        <v>2</v>
      </c>
      <c r="M113" s="2">
        <v>2</v>
      </c>
      <c r="N113" s="2">
        <v>3</v>
      </c>
      <c r="O113" s="2">
        <v>7</v>
      </c>
      <c r="P113" s="2">
        <v>5953</v>
      </c>
      <c r="Q113" s="2" t="str">
        <v/>
      </c>
      <c r="R113" s="2" t="str">
        <v/>
      </c>
      <c r="S113" s="2" t="str">
        <v/>
      </c>
      <c r="T113" s="2">
        <v>1000104</v>
      </c>
      <c r="X113" s="2">
        <v>2</v>
      </c>
      <c r="Y113" s="2">
        <v>2</v>
      </c>
      <c r="Z113" s="2">
        <v>2</v>
      </c>
      <c r="AA113" s="2">
        <v>3</v>
      </c>
      <c r="AB113" s="2">
        <v>7</v>
      </c>
      <c r="AC113" s="2">
        <v>5953</v>
      </c>
      <c r="AD113" s="2" t="str">
        <v/>
      </c>
      <c r="AE113" s="2" t="str">
        <v/>
      </c>
      <c r="AF113" s="2" t="str">
        <v/>
      </c>
      <c r="AN113" s="2">
        <v>2</v>
      </c>
      <c r="AO113" s="2">
        <v>2</v>
      </c>
      <c r="AP113" s="2">
        <v>2</v>
      </c>
      <c r="AQ113" s="2">
        <v>3</v>
      </c>
      <c r="AR113" s="2">
        <v>7</v>
      </c>
      <c r="AS113" s="2">
        <v>5953</v>
      </c>
      <c r="AT113" s="2" t="str">
        <v/>
      </c>
      <c r="AU113" s="2" t="str">
        <v/>
      </c>
      <c r="AV113" s="2" t="str">
        <v/>
      </c>
    </row>
    <row r="114" spans="1:48" x14ac:dyDescent="0.25">
      <c r="A114" s="2">
        <v>1001353</v>
      </c>
      <c r="H114" s="2">
        <f t="shared" si="1"/>
        <v>1000105</v>
      </c>
      <c r="K114" s="2">
        <v>5</v>
      </c>
      <c r="L114" s="2">
        <v>139</v>
      </c>
      <c r="M114" s="2">
        <v>1439</v>
      </c>
      <c r="N114" s="2" t="str">
        <v/>
      </c>
      <c r="O114" s="2" t="str">
        <v/>
      </c>
      <c r="P114" s="2" t="str">
        <v/>
      </c>
      <c r="Q114" s="2" t="str">
        <v/>
      </c>
      <c r="R114" s="2" t="str">
        <v/>
      </c>
      <c r="S114" s="2" t="str">
        <v/>
      </c>
      <c r="T114" s="2">
        <v>1000105</v>
      </c>
      <c r="X114" s="2">
        <v>5</v>
      </c>
      <c r="Y114" s="2">
        <v>139</v>
      </c>
      <c r="Z114" s="2">
        <v>1439</v>
      </c>
      <c r="AA114" s="2" t="str">
        <v/>
      </c>
      <c r="AB114" s="2" t="str">
        <v/>
      </c>
      <c r="AC114" s="2" t="str">
        <v/>
      </c>
      <c r="AD114" s="2" t="str">
        <v/>
      </c>
      <c r="AE114" s="2" t="str">
        <v/>
      </c>
      <c r="AF114" s="2" t="str">
        <v/>
      </c>
      <c r="AN114" s="2">
        <v>5</v>
      </c>
      <c r="AO114" s="2">
        <v>139</v>
      </c>
      <c r="AP114" s="2">
        <v>1439</v>
      </c>
      <c r="AQ114" s="2" t="str">
        <v/>
      </c>
      <c r="AR114" s="2" t="str">
        <v/>
      </c>
      <c r="AS114" s="2" t="str">
        <v/>
      </c>
      <c r="AT114" s="2" t="str">
        <v/>
      </c>
      <c r="AU114" s="2" t="str">
        <v/>
      </c>
      <c r="AV114" s="2" t="str">
        <v/>
      </c>
    </row>
    <row r="115" spans="1:48" x14ac:dyDescent="0.25">
      <c r="A115" s="2">
        <v>1001369</v>
      </c>
      <c r="H115" s="2">
        <f t="shared" si="1"/>
        <v>1000106</v>
      </c>
      <c r="K115" s="2">
        <v>2</v>
      </c>
      <c r="L115" s="2">
        <v>71</v>
      </c>
      <c r="M115" s="2">
        <v>7043</v>
      </c>
      <c r="N115" s="2" t="str">
        <v/>
      </c>
      <c r="O115" s="2" t="str">
        <v/>
      </c>
      <c r="P115" s="2" t="str">
        <v/>
      </c>
      <c r="Q115" s="2" t="str">
        <v/>
      </c>
      <c r="R115" s="2" t="str">
        <v/>
      </c>
      <c r="S115" s="2" t="str">
        <v/>
      </c>
      <c r="T115" s="2">
        <v>1000106</v>
      </c>
      <c r="X115" s="2">
        <v>2</v>
      </c>
      <c r="Y115" s="2">
        <v>71</v>
      </c>
      <c r="Z115" s="2">
        <v>7043</v>
      </c>
      <c r="AA115" s="2" t="str">
        <v/>
      </c>
      <c r="AB115" s="2" t="str">
        <v/>
      </c>
      <c r="AC115" s="2" t="str">
        <v/>
      </c>
      <c r="AD115" s="2" t="str">
        <v/>
      </c>
      <c r="AE115" s="2" t="str">
        <v/>
      </c>
      <c r="AF115" s="2" t="str">
        <v/>
      </c>
      <c r="AN115" s="2">
        <v>2</v>
      </c>
      <c r="AO115" s="2">
        <v>71</v>
      </c>
      <c r="AP115" s="2">
        <v>7043</v>
      </c>
      <c r="AQ115" s="2" t="str">
        <v/>
      </c>
      <c r="AR115" s="2" t="str">
        <v/>
      </c>
      <c r="AS115" s="2" t="str">
        <v/>
      </c>
      <c r="AT115" s="2" t="str">
        <v/>
      </c>
      <c r="AU115" s="2" t="str">
        <v/>
      </c>
      <c r="AV115" s="2" t="str">
        <v/>
      </c>
    </row>
    <row r="116" spans="1:48" x14ac:dyDescent="0.25">
      <c r="A116" s="2">
        <v>1001381</v>
      </c>
      <c r="H116" s="2">
        <f t="shared" si="1"/>
        <v>1000107</v>
      </c>
      <c r="K116" s="2">
        <v>3</v>
      </c>
      <c r="L116" s="2">
        <v>3</v>
      </c>
      <c r="M116" s="2">
        <v>3</v>
      </c>
      <c r="N116" s="2">
        <v>3</v>
      </c>
      <c r="O116" s="2">
        <v>12347</v>
      </c>
      <c r="P116" s="2" t="str">
        <v/>
      </c>
      <c r="Q116" s="2" t="str">
        <v/>
      </c>
      <c r="R116" s="2" t="str">
        <v/>
      </c>
      <c r="S116" s="2" t="str">
        <v/>
      </c>
      <c r="T116" s="2">
        <v>1000107</v>
      </c>
      <c r="X116" s="2">
        <v>3</v>
      </c>
      <c r="Y116" s="2">
        <v>3</v>
      </c>
      <c r="Z116" s="2">
        <v>3</v>
      </c>
      <c r="AA116" s="2">
        <v>3</v>
      </c>
      <c r="AB116" s="2">
        <v>12347</v>
      </c>
      <c r="AC116" s="2" t="str">
        <v/>
      </c>
      <c r="AD116" s="2" t="str">
        <v/>
      </c>
      <c r="AE116" s="2" t="str">
        <v/>
      </c>
      <c r="AF116" s="2" t="str">
        <v/>
      </c>
      <c r="AN116" s="2">
        <v>3</v>
      </c>
      <c r="AO116" s="2">
        <v>3</v>
      </c>
      <c r="AP116" s="2">
        <v>3</v>
      </c>
      <c r="AQ116" s="2">
        <v>3</v>
      </c>
      <c r="AR116" s="2">
        <v>12347</v>
      </c>
      <c r="AS116" s="2" t="str">
        <v/>
      </c>
      <c r="AT116" s="2" t="str">
        <v/>
      </c>
      <c r="AU116" s="2" t="str">
        <v/>
      </c>
      <c r="AV116" s="2" t="str">
        <v/>
      </c>
    </row>
    <row r="117" spans="1:48" x14ac:dyDescent="0.25">
      <c r="A117" s="2">
        <v>1001387</v>
      </c>
      <c r="H117" s="2">
        <f t="shared" si="1"/>
        <v>1000108</v>
      </c>
      <c r="K117" s="2">
        <v>2</v>
      </c>
      <c r="L117" s="2">
        <v>2</v>
      </c>
      <c r="M117" s="2">
        <v>250027</v>
      </c>
      <c r="N117" s="2" t="str">
        <v/>
      </c>
      <c r="O117" s="2" t="str">
        <v/>
      </c>
      <c r="P117" s="2" t="str">
        <v/>
      </c>
      <c r="Q117" s="2" t="str">
        <v/>
      </c>
      <c r="R117" s="2" t="str">
        <v/>
      </c>
      <c r="S117" s="2" t="str">
        <v/>
      </c>
      <c r="T117" s="2">
        <v>1000108</v>
      </c>
      <c r="X117" s="2">
        <v>2</v>
      </c>
      <c r="Y117" s="2">
        <v>2</v>
      </c>
      <c r="Z117" s="2">
        <v>250027</v>
      </c>
      <c r="AA117" s="2" t="str">
        <v/>
      </c>
      <c r="AB117" s="2" t="str">
        <v/>
      </c>
      <c r="AC117" s="2" t="str">
        <v/>
      </c>
      <c r="AD117" s="2" t="str">
        <v/>
      </c>
      <c r="AE117" s="2" t="str">
        <v/>
      </c>
      <c r="AF117" s="2" t="str">
        <v/>
      </c>
      <c r="AN117" s="2">
        <v>2</v>
      </c>
      <c r="AO117" s="2">
        <v>2</v>
      </c>
      <c r="AP117" s="2">
        <v>250027</v>
      </c>
      <c r="AQ117" s="2" t="str">
        <v/>
      </c>
      <c r="AR117" s="2" t="str">
        <v/>
      </c>
      <c r="AS117" s="2" t="str">
        <v/>
      </c>
      <c r="AT117" s="2" t="str">
        <v/>
      </c>
      <c r="AU117" s="2" t="str">
        <v/>
      </c>
      <c r="AV117" s="2" t="str">
        <v/>
      </c>
    </row>
    <row r="118" spans="1:48" x14ac:dyDescent="0.25">
      <c r="A118" s="2">
        <v>1001389</v>
      </c>
      <c r="H118" s="2">
        <f t="shared" si="1"/>
        <v>1000109</v>
      </c>
      <c r="K118" s="2">
        <v>11</v>
      </c>
      <c r="L118" s="2">
        <v>23</v>
      </c>
      <c r="M118" s="2">
        <v>59</v>
      </c>
      <c r="N118" s="2">
        <v>67</v>
      </c>
      <c r="O118" s="2" t="str">
        <v/>
      </c>
      <c r="P118" s="2" t="str">
        <v/>
      </c>
      <c r="Q118" s="2" t="str">
        <v/>
      </c>
      <c r="R118" s="2" t="str">
        <v/>
      </c>
      <c r="S118" s="2" t="str">
        <v/>
      </c>
      <c r="T118" s="2">
        <v>1000109</v>
      </c>
      <c r="X118" s="2">
        <v>11</v>
      </c>
      <c r="Y118" s="2">
        <v>23</v>
      </c>
      <c r="Z118" s="2">
        <v>59</v>
      </c>
      <c r="AA118" s="2">
        <v>67</v>
      </c>
      <c r="AB118" s="2" t="str">
        <v/>
      </c>
      <c r="AC118" s="2" t="str">
        <v/>
      </c>
      <c r="AD118" s="2" t="str">
        <v/>
      </c>
      <c r="AE118" s="2" t="str">
        <v/>
      </c>
      <c r="AF118" s="2" t="str">
        <v/>
      </c>
      <c r="AN118" s="2">
        <v>11</v>
      </c>
      <c r="AO118" s="2">
        <v>23</v>
      </c>
      <c r="AP118" s="2">
        <v>59</v>
      </c>
      <c r="AQ118" s="2">
        <v>67</v>
      </c>
      <c r="AR118" s="2" t="str">
        <v/>
      </c>
      <c r="AS118" s="2" t="str">
        <v/>
      </c>
      <c r="AT118" s="2" t="str">
        <v/>
      </c>
      <c r="AU118" s="2" t="str">
        <v/>
      </c>
      <c r="AV118" s="2" t="str">
        <v/>
      </c>
    </row>
    <row r="119" spans="1:48" x14ac:dyDescent="0.25">
      <c r="A119" s="2">
        <v>1001401</v>
      </c>
      <c r="H119" s="2">
        <f t="shared" si="1"/>
        <v>1000110</v>
      </c>
      <c r="K119" s="2">
        <v>2</v>
      </c>
      <c r="L119" s="2">
        <v>3</v>
      </c>
      <c r="M119" s="2">
        <v>5</v>
      </c>
      <c r="N119" s="2">
        <v>17</v>
      </c>
      <c r="O119" s="2">
        <v>37</v>
      </c>
      <c r="P119" s="2">
        <v>53</v>
      </c>
      <c r="Q119" s="2" t="str">
        <v/>
      </c>
      <c r="R119" s="2" t="str">
        <v/>
      </c>
      <c r="S119" s="2" t="str">
        <v/>
      </c>
      <c r="T119" s="2">
        <v>1000110</v>
      </c>
      <c r="X119" s="2">
        <v>2</v>
      </c>
      <c r="Y119" s="2">
        <v>3</v>
      </c>
      <c r="Z119" s="2">
        <v>5</v>
      </c>
      <c r="AA119" s="2">
        <v>17</v>
      </c>
      <c r="AB119" s="2">
        <v>37</v>
      </c>
      <c r="AC119" s="2">
        <v>53</v>
      </c>
      <c r="AD119" s="2" t="str">
        <v/>
      </c>
      <c r="AE119" s="2" t="str">
        <v/>
      </c>
      <c r="AF119" s="2" t="str">
        <v/>
      </c>
      <c r="AN119" s="2">
        <v>2</v>
      </c>
      <c r="AO119" s="2">
        <v>3</v>
      </c>
      <c r="AP119" s="2">
        <v>5</v>
      </c>
      <c r="AQ119" s="2">
        <v>17</v>
      </c>
      <c r="AR119" s="2">
        <v>37</v>
      </c>
      <c r="AS119" s="2">
        <v>53</v>
      </c>
      <c r="AT119" s="2" t="str">
        <v/>
      </c>
      <c r="AU119" s="2" t="str">
        <v/>
      </c>
      <c r="AV119" s="2" t="str">
        <v/>
      </c>
    </row>
    <row r="120" spans="1:48" x14ac:dyDescent="0.25">
      <c r="A120" s="2">
        <v>1001411</v>
      </c>
      <c r="H120" s="2">
        <f t="shared" si="1"/>
        <v>1000111</v>
      </c>
      <c r="K120" s="2">
        <v>7</v>
      </c>
      <c r="L120" s="2">
        <v>142873</v>
      </c>
      <c r="M120" s="2" t="str">
        <v/>
      </c>
      <c r="N120" s="2" t="str">
        <v/>
      </c>
      <c r="O120" s="2" t="str">
        <v/>
      </c>
      <c r="P120" s="2" t="str">
        <v/>
      </c>
      <c r="Q120" s="2" t="str">
        <v/>
      </c>
      <c r="R120" s="2" t="str">
        <v/>
      </c>
      <c r="S120" s="2" t="str">
        <v/>
      </c>
      <c r="T120" s="2">
        <v>1000111</v>
      </c>
      <c r="X120" s="2">
        <v>7</v>
      </c>
      <c r="Y120" s="2">
        <v>142873</v>
      </c>
      <c r="Z120" s="2" t="str">
        <v/>
      </c>
      <c r="AA120" s="2" t="str">
        <v/>
      </c>
      <c r="AB120" s="2" t="str">
        <v/>
      </c>
      <c r="AC120" s="2" t="str">
        <v/>
      </c>
      <c r="AD120" s="2" t="str">
        <v/>
      </c>
      <c r="AE120" s="2" t="str">
        <v/>
      </c>
      <c r="AF120" s="2" t="str">
        <v/>
      </c>
      <c r="AN120" s="2">
        <v>7</v>
      </c>
      <c r="AO120" s="2">
        <v>142873</v>
      </c>
      <c r="AP120" s="2" t="str">
        <v/>
      </c>
      <c r="AQ120" s="2" t="str">
        <v/>
      </c>
      <c r="AR120" s="2" t="str">
        <v/>
      </c>
      <c r="AS120" s="2" t="str">
        <v/>
      </c>
      <c r="AT120" s="2" t="str">
        <v/>
      </c>
      <c r="AU120" s="2" t="str">
        <v/>
      </c>
      <c r="AV120" s="2" t="str">
        <v/>
      </c>
    </row>
    <row r="121" spans="1:48" x14ac:dyDescent="0.25">
      <c r="A121" s="2">
        <v>1001431</v>
      </c>
      <c r="H121" s="2">
        <f t="shared" si="1"/>
        <v>1000112</v>
      </c>
      <c r="K121" s="2">
        <v>2</v>
      </c>
      <c r="L121" s="2">
        <v>2</v>
      </c>
      <c r="M121" s="2">
        <v>2</v>
      </c>
      <c r="N121" s="2">
        <v>2</v>
      </c>
      <c r="O121" s="2">
        <v>62507</v>
      </c>
      <c r="P121" s="2" t="str">
        <v/>
      </c>
      <c r="Q121" s="2" t="str">
        <v/>
      </c>
      <c r="R121" s="2" t="str">
        <v/>
      </c>
      <c r="S121" s="2" t="str">
        <v/>
      </c>
      <c r="T121" s="2">
        <v>1000112</v>
      </c>
      <c r="X121" s="2">
        <v>2</v>
      </c>
      <c r="Y121" s="2">
        <v>2</v>
      </c>
      <c r="Z121" s="2">
        <v>2</v>
      </c>
      <c r="AA121" s="2">
        <v>2</v>
      </c>
      <c r="AB121" s="2">
        <v>62507</v>
      </c>
      <c r="AC121" s="2" t="str">
        <v/>
      </c>
      <c r="AD121" s="2" t="str">
        <v/>
      </c>
      <c r="AE121" s="2" t="str">
        <v/>
      </c>
      <c r="AF121" s="2" t="str">
        <v/>
      </c>
      <c r="AN121" s="2">
        <v>2</v>
      </c>
      <c r="AO121" s="2">
        <v>2</v>
      </c>
      <c r="AP121" s="2">
        <v>2</v>
      </c>
      <c r="AQ121" s="2">
        <v>2</v>
      </c>
      <c r="AR121" s="2">
        <v>62507</v>
      </c>
      <c r="AS121" s="2" t="str">
        <v/>
      </c>
      <c r="AT121" s="2" t="str">
        <v/>
      </c>
      <c r="AU121" s="2" t="str">
        <v/>
      </c>
      <c r="AV121" s="2" t="str">
        <v/>
      </c>
    </row>
    <row r="122" spans="1:48" x14ac:dyDescent="0.25">
      <c r="A122" s="2">
        <v>1001447</v>
      </c>
      <c r="H122" s="2">
        <f t="shared" si="1"/>
        <v>1000113</v>
      </c>
      <c r="K122" s="2">
        <v>3</v>
      </c>
      <c r="L122" s="2">
        <v>41</v>
      </c>
      <c r="M122" s="2">
        <v>47</v>
      </c>
      <c r="N122" s="2">
        <v>173</v>
      </c>
      <c r="O122" s="2" t="str">
        <v/>
      </c>
      <c r="P122" s="2" t="str">
        <v/>
      </c>
      <c r="Q122" s="2" t="str">
        <v/>
      </c>
      <c r="R122" s="2" t="str">
        <v/>
      </c>
      <c r="S122" s="2" t="str">
        <v/>
      </c>
      <c r="T122" s="2">
        <v>1000113</v>
      </c>
      <c r="X122" s="2">
        <v>3</v>
      </c>
      <c r="Y122" s="2">
        <v>41</v>
      </c>
      <c r="Z122" s="2">
        <v>47</v>
      </c>
      <c r="AA122" s="2">
        <v>173</v>
      </c>
      <c r="AB122" s="2" t="str">
        <v/>
      </c>
      <c r="AC122" s="2" t="str">
        <v/>
      </c>
      <c r="AD122" s="2" t="str">
        <v/>
      </c>
      <c r="AE122" s="2" t="str">
        <v/>
      </c>
      <c r="AF122" s="2" t="str">
        <v/>
      </c>
      <c r="AN122" s="2">
        <v>3</v>
      </c>
      <c r="AO122" s="2">
        <v>41</v>
      </c>
      <c r="AP122" s="2">
        <v>47</v>
      </c>
      <c r="AQ122" s="2">
        <v>173</v>
      </c>
      <c r="AR122" s="2" t="str">
        <v/>
      </c>
      <c r="AS122" s="2" t="str">
        <v/>
      </c>
      <c r="AT122" s="2" t="str">
        <v/>
      </c>
      <c r="AU122" s="2" t="str">
        <v/>
      </c>
      <c r="AV122" s="2" t="str">
        <v/>
      </c>
    </row>
    <row r="123" spans="1:48" x14ac:dyDescent="0.25">
      <c r="A123" s="2">
        <v>1001459</v>
      </c>
      <c r="H123" s="2">
        <f t="shared" si="1"/>
        <v>1000114</v>
      </c>
      <c r="K123" s="2">
        <v>2</v>
      </c>
      <c r="L123" s="2">
        <v>500057</v>
      </c>
      <c r="M123" s="2" t="str">
        <v/>
      </c>
      <c r="N123" s="2" t="str">
        <v/>
      </c>
      <c r="O123" s="2" t="str">
        <v/>
      </c>
      <c r="P123" s="2" t="str">
        <v/>
      </c>
      <c r="Q123" s="2" t="str">
        <v/>
      </c>
      <c r="R123" s="2" t="str">
        <v/>
      </c>
      <c r="S123" s="2" t="str">
        <v/>
      </c>
      <c r="T123" s="2">
        <v>1000114</v>
      </c>
      <c r="X123" s="2">
        <v>2</v>
      </c>
      <c r="Y123" s="2">
        <v>500057</v>
      </c>
      <c r="Z123" s="2" t="str">
        <v/>
      </c>
      <c r="AA123" s="2" t="str">
        <v/>
      </c>
      <c r="AB123" s="2" t="str">
        <v/>
      </c>
      <c r="AC123" s="2" t="str">
        <v/>
      </c>
      <c r="AD123" s="2" t="str">
        <v/>
      </c>
      <c r="AE123" s="2" t="str">
        <v/>
      </c>
      <c r="AF123" s="2" t="str">
        <v/>
      </c>
      <c r="AN123" s="2">
        <v>2</v>
      </c>
      <c r="AO123" s="2">
        <v>500057</v>
      </c>
      <c r="AP123" s="2" t="str">
        <v/>
      </c>
      <c r="AQ123" s="2" t="str">
        <v/>
      </c>
      <c r="AR123" s="2" t="str">
        <v/>
      </c>
      <c r="AS123" s="2" t="str">
        <v/>
      </c>
      <c r="AT123" s="2" t="str">
        <v/>
      </c>
      <c r="AU123" s="2" t="str">
        <v/>
      </c>
      <c r="AV123" s="2" t="str">
        <v/>
      </c>
    </row>
    <row r="124" spans="1:48" x14ac:dyDescent="0.25">
      <c r="A124" s="2">
        <v>1001467</v>
      </c>
      <c r="H124" s="2">
        <f t="shared" si="1"/>
        <v>1000115</v>
      </c>
      <c r="K124" s="2">
        <v>5</v>
      </c>
      <c r="L124" s="2">
        <v>200023</v>
      </c>
      <c r="M124" s="2" t="str">
        <v/>
      </c>
      <c r="N124" s="2" t="str">
        <v/>
      </c>
      <c r="O124" s="2" t="str">
        <v/>
      </c>
      <c r="P124" s="2" t="str">
        <v/>
      </c>
      <c r="Q124" s="2" t="str">
        <v/>
      </c>
      <c r="R124" s="2" t="str">
        <v/>
      </c>
      <c r="S124" s="2" t="str">
        <v/>
      </c>
      <c r="T124" s="2">
        <v>1000115</v>
      </c>
      <c r="X124" s="2">
        <v>5</v>
      </c>
      <c r="Y124" s="2">
        <v>200023</v>
      </c>
      <c r="Z124" s="2" t="str">
        <v/>
      </c>
      <c r="AA124" s="2" t="str">
        <v/>
      </c>
      <c r="AB124" s="2" t="str">
        <v/>
      </c>
      <c r="AC124" s="2" t="str">
        <v/>
      </c>
      <c r="AD124" s="2" t="str">
        <v/>
      </c>
      <c r="AE124" s="2" t="str">
        <v/>
      </c>
      <c r="AF124" s="2" t="str">
        <v/>
      </c>
      <c r="AN124" s="2">
        <v>5</v>
      </c>
      <c r="AO124" s="2">
        <v>200023</v>
      </c>
      <c r="AP124" s="2" t="str">
        <v/>
      </c>
      <c r="AQ124" s="2" t="str">
        <v/>
      </c>
      <c r="AR124" s="2" t="str">
        <v/>
      </c>
      <c r="AS124" s="2" t="str">
        <v/>
      </c>
      <c r="AT124" s="2" t="str">
        <v/>
      </c>
      <c r="AU124" s="2" t="str">
        <v/>
      </c>
      <c r="AV124" s="2" t="str">
        <v/>
      </c>
    </row>
    <row r="125" spans="1:48" x14ac:dyDescent="0.25">
      <c r="A125" s="2">
        <v>1001491</v>
      </c>
      <c r="H125" s="2">
        <f t="shared" si="1"/>
        <v>1000116</v>
      </c>
      <c r="K125" s="2">
        <v>2</v>
      </c>
      <c r="L125" s="2">
        <v>2</v>
      </c>
      <c r="M125" s="2">
        <v>3</v>
      </c>
      <c r="N125" s="2">
        <v>3</v>
      </c>
      <c r="O125" s="2">
        <v>13</v>
      </c>
      <c r="P125" s="2">
        <v>2137</v>
      </c>
      <c r="Q125" s="2" t="str">
        <v/>
      </c>
      <c r="R125" s="2" t="str">
        <v/>
      </c>
      <c r="S125" s="2" t="str">
        <v/>
      </c>
      <c r="T125" s="2">
        <v>1000116</v>
      </c>
      <c r="X125" s="2">
        <v>2</v>
      </c>
      <c r="Y125" s="2">
        <v>2</v>
      </c>
      <c r="Z125" s="2">
        <v>3</v>
      </c>
      <c r="AA125" s="2">
        <v>3</v>
      </c>
      <c r="AB125" s="2">
        <v>13</v>
      </c>
      <c r="AC125" s="2">
        <v>2137</v>
      </c>
      <c r="AD125" s="2" t="str">
        <v/>
      </c>
      <c r="AE125" s="2" t="str">
        <v/>
      </c>
      <c r="AF125" s="2" t="str">
        <v/>
      </c>
      <c r="AN125" s="2">
        <v>2</v>
      </c>
      <c r="AO125" s="2">
        <v>2</v>
      </c>
      <c r="AP125" s="2">
        <v>3</v>
      </c>
      <c r="AQ125" s="2">
        <v>3</v>
      </c>
      <c r="AR125" s="2">
        <v>13</v>
      </c>
      <c r="AS125" s="2">
        <v>2137</v>
      </c>
      <c r="AT125" s="2" t="str">
        <v/>
      </c>
      <c r="AU125" s="2" t="str">
        <v/>
      </c>
      <c r="AV125" s="2" t="str">
        <v/>
      </c>
    </row>
    <row r="126" spans="1:48" x14ac:dyDescent="0.25">
      <c r="A126" s="2">
        <v>1001501</v>
      </c>
      <c r="H126" s="2">
        <f t="shared" si="1"/>
        <v>1000117</v>
      </c>
      <c r="K126" s="2">
        <v>1000117</v>
      </c>
      <c r="L126" s="2" t="str">
        <v/>
      </c>
      <c r="M126" s="2" t="str">
        <v/>
      </c>
      <c r="N126" s="2" t="str">
        <v/>
      </c>
      <c r="O126" s="2" t="str">
        <v/>
      </c>
      <c r="P126" s="2" t="str">
        <v/>
      </c>
      <c r="Q126" s="2" t="str">
        <v/>
      </c>
      <c r="R126" s="2" t="str">
        <v/>
      </c>
      <c r="S126" s="2" t="str">
        <v/>
      </c>
      <c r="T126" s="2">
        <v>1000117</v>
      </c>
      <c r="X126" s="2">
        <v>1000117</v>
      </c>
      <c r="Y126" s="2" t="str">
        <v/>
      </c>
      <c r="Z126" s="2" t="str">
        <v/>
      </c>
      <c r="AA126" s="2" t="str">
        <v/>
      </c>
      <c r="AB126" s="2" t="str">
        <v/>
      </c>
      <c r="AC126" s="2" t="str">
        <v/>
      </c>
      <c r="AD126" s="2" t="str">
        <v/>
      </c>
      <c r="AE126" s="2" t="str">
        <v/>
      </c>
      <c r="AF126" s="2" t="str">
        <v/>
      </c>
      <c r="AN126" s="2">
        <v>1000117</v>
      </c>
      <c r="AO126" s="2" t="str">
        <v/>
      </c>
      <c r="AP126" s="2" t="str">
        <v/>
      </c>
      <c r="AQ126" s="2" t="str">
        <v/>
      </c>
      <c r="AR126" s="2" t="str">
        <v/>
      </c>
      <c r="AS126" s="2" t="str">
        <v/>
      </c>
      <c r="AT126" s="2" t="str">
        <v/>
      </c>
      <c r="AU126" s="2" t="str">
        <v/>
      </c>
      <c r="AV126" s="2" t="str">
        <v/>
      </c>
    </row>
    <row r="127" spans="1:48" x14ac:dyDescent="0.25">
      <c r="A127" s="2">
        <v>1001527</v>
      </c>
      <c r="H127" s="2">
        <f t="shared" si="1"/>
        <v>1000118</v>
      </c>
      <c r="K127" s="2">
        <v>2</v>
      </c>
      <c r="L127" s="2">
        <v>7</v>
      </c>
      <c r="M127" s="2">
        <v>71437</v>
      </c>
      <c r="N127" s="2" t="str">
        <v/>
      </c>
      <c r="O127" s="2" t="str">
        <v/>
      </c>
      <c r="P127" s="2" t="str">
        <v/>
      </c>
      <c r="Q127" s="2" t="str">
        <v/>
      </c>
      <c r="R127" s="2" t="str">
        <v/>
      </c>
      <c r="S127" s="2" t="str">
        <v/>
      </c>
      <c r="T127" s="2">
        <v>1000118</v>
      </c>
      <c r="X127" s="2">
        <v>2</v>
      </c>
      <c r="Y127" s="2">
        <v>7</v>
      </c>
      <c r="Z127" s="2">
        <v>71437</v>
      </c>
      <c r="AA127" s="2" t="str">
        <v/>
      </c>
      <c r="AB127" s="2" t="str">
        <v/>
      </c>
      <c r="AC127" s="2" t="str">
        <v/>
      </c>
      <c r="AD127" s="2" t="str">
        <v/>
      </c>
      <c r="AE127" s="2" t="str">
        <v/>
      </c>
      <c r="AF127" s="2" t="str">
        <v/>
      </c>
      <c r="AN127" s="2">
        <v>2</v>
      </c>
      <c r="AO127" s="2">
        <v>7</v>
      </c>
      <c r="AP127" s="2">
        <v>71437</v>
      </c>
      <c r="AQ127" s="2" t="str">
        <v/>
      </c>
      <c r="AR127" s="2" t="str">
        <v/>
      </c>
      <c r="AS127" s="2" t="str">
        <v/>
      </c>
      <c r="AT127" s="2" t="str">
        <v/>
      </c>
      <c r="AU127" s="2" t="str">
        <v/>
      </c>
      <c r="AV127" s="2" t="str">
        <v/>
      </c>
    </row>
    <row r="128" spans="1:48" x14ac:dyDescent="0.25">
      <c r="A128" s="2">
        <v>1001531</v>
      </c>
      <c r="H128" s="2">
        <f t="shared" si="1"/>
        <v>1000119</v>
      </c>
      <c r="K128" s="2">
        <v>3</v>
      </c>
      <c r="L128" s="2">
        <v>389</v>
      </c>
      <c r="M128" s="2">
        <v>857</v>
      </c>
      <c r="N128" s="2" t="str">
        <v/>
      </c>
      <c r="O128" s="2" t="str">
        <v/>
      </c>
      <c r="P128" s="2" t="str">
        <v/>
      </c>
      <c r="Q128" s="2" t="str">
        <v/>
      </c>
      <c r="R128" s="2" t="str">
        <v/>
      </c>
      <c r="S128" s="2" t="str">
        <v/>
      </c>
      <c r="T128" s="2">
        <v>1000119</v>
      </c>
      <c r="X128" s="2">
        <v>3</v>
      </c>
      <c r="Y128" s="2">
        <v>389</v>
      </c>
      <c r="Z128" s="2">
        <v>857</v>
      </c>
      <c r="AA128" s="2" t="str">
        <v/>
      </c>
      <c r="AB128" s="2" t="str">
        <v/>
      </c>
      <c r="AC128" s="2" t="str">
        <v/>
      </c>
      <c r="AD128" s="2" t="str">
        <v/>
      </c>
      <c r="AE128" s="2" t="str">
        <v/>
      </c>
      <c r="AF128" s="2" t="str">
        <v/>
      </c>
      <c r="AN128" s="2">
        <v>3</v>
      </c>
      <c r="AO128" s="2">
        <v>389</v>
      </c>
      <c r="AP128" s="2">
        <v>857</v>
      </c>
      <c r="AQ128" s="2" t="str">
        <v/>
      </c>
      <c r="AR128" s="2" t="str">
        <v/>
      </c>
      <c r="AS128" s="2" t="str">
        <v/>
      </c>
      <c r="AT128" s="2" t="str">
        <v/>
      </c>
      <c r="AU128" s="2" t="str">
        <v/>
      </c>
      <c r="AV128" s="2" t="str">
        <v/>
      </c>
    </row>
    <row r="129" spans="1:48" x14ac:dyDescent="0.25">
      <c r="A129" s="2">
        <v>1001549</v>
      </c>
      <c r="H129" s="2">
        <f t="shared" si="1"/>
        <v>1000120</v>
      </c>
      <c r="K129" s="2">
        <v>2</v>
      </c>
      <c r="L129" s="2">
        <v>2</v>
      </c>
      <c r="M129" s="2">
        <v>2</v>
      </c>
      <c r="N129" s="2">
        <v>5</v>
      </c>
      <c r="O129" s="2">
        <v>11</v>
      </c>
      <c r="P129" s="2">
        <v>2273</v>
      </c>
      <c r="Q129" s="2" t="str">
        <v/>
      </c>
      <c r="R129" s="2" t="str">
        <v/>
      </c>
      <c r="S129" s="2" t="str">
        <v/>
      </c>
      <c r="T129" s="2">
        <v>1000120</v>
      </c>
      <c r="X129" s="2">
        <v>2</v>
      </c>
      <c r="Y129" s="2">
        <v>2</v>
      </c>
      <c r="Z129" s="2">
        <v>2</v>
      </c>
      <c r="AA129" s="2">
        <v>5</v>
      </c>
      <c r="AB129" s="2">
        <v>11</v>
      </c>
      <c r="AC129" s="2">
        <v>2273</v>
      </c>
      <c r="AD129" s="2" t="str">
        <v/>
      </c>
      <c r="AE129" s="2" t="str">
        <v/>
      </c>
      <c r="AF129" s="2" t="str">
        <v/>
      </c>
      <c r="AN129" s="2">
        <v>2</v>
      </c>
      <c r="AO129" s="2">
        <v>2</v>
      </c>
      <c r="AP129" s="2">
        <v>2</v>
      </c>
      <c r="AQ129" s="2">
        <v>5</v>
      </c>
      <c r="AR129" s="2">
        <v>11</v>
      </c>
      <c r="AS129" s="2">
        <v>2273</v>
      </c>
      <c r="AT129" s="2" t="str">
        <v/>
      </c>
      <c r="AU129" s="2" t="str">
        <v/>
      </c>
      <c r="AV129" s="2" t="str">
        <v/>
      </c>
    </row>
    <row r="130" spans="1:48" x14ac:dyDescent="0.25">
      <c r="A130" s="2">
        <v>1001551</v>
      </c>
      <c r="H130" s="2">
        <f t="shared" si="1"/>
        <v>1000121</v>
      </c>
      <c r="K130" s="2">
        <v>1000121</v>
      </c>
      <c r="L130" s="2" t="str">
        <v/>
      </c>
      <c r="M130" s="2" t="str">
        <v/>
      </c>
      <c r="N130" s="2" t="str">
        <v/>
      </c>
      <c r="O130" s="2" t="str">
        <v/>
      </c>
      <c r="P130" s="2" t="str">
        <v/>
      </c>
      <c r="Q130" s="2" t="str">
        <v/>
      </c>
      <c r="R130" s="2" t="str">
        <v/>
      </c>
      <c r="S130" s="2" t="str">
        <v/>
      </c>
      <c r="T130" s="2">
        <v>1000121</v>
      </c>
      <c r="X130" s="2">
        <v>1000121</v>
      </c>
      <c r="Y130" s="2" t="str">
        <v/>
      </c>
      <c r="Z130" s="2" t="str">
        <v/>
      </c>
      <c r="AA130" s="2" t="str">
        <v/>
      </c>
      <c r="AB130" s="2" t="str">
        <v/>
      </c>
      <c r="AC130" s="2" t="str">
        <v/>
      </c>
      <c r="AD130" s="2" t="str">
        <v/>
      </c>
      <c r="AE130" s="2" t="str">
        <v/>
      </c>
      <c r="AF130" s="2" t="str">
        <v/>
      </c>
      <c r="AN130" s="2">
        <v>1000121</v>
      </c>
      <c r="AO130" s="2" t="str">
        <v/>
      </c>
      <c r="AP130" s="2" t="str">
        <v/>
      </c>
      <c r="AQ130" s="2" t="str">
        <v/>
      </c>
      <c r="AR130" s="2" t="str">
        <v/>
      </c>
      <c r="AS130" s="2" t="str">
        <v/>
      </c>
      <c r="AT130" s="2" t="str">
        <v/>
      </c>
      <c r="AU130" s="2" t="str">
        <v/>
      </c>
      <c r="AV130" s="2" t="str">
        <v/>
      </c>
    </row>
    <row r="131" spans="1:48" x14ac:dyDescent="0.25">
      <c r="A131" s="2">
        <v>1001563</v>
      </c>
      <c r="H131" s="2">
        <f t="shared" si="1"/>
        <v>1000122</v>
      </c>
      <c r="K131" s="2">
        <v>2</v>
      </c>
      <c r="L131" s="2">
        <v>3</v>
      </c>
      <c r="M131" s="2">
        <v>19</v>
      </c>
      <c r="N131" s="2">
        <v>31</v>
      </c>
      <c r="O131" s="2">
        <v>283</v>
      </c>
      <c r="P131" s="2" t="str">
        <v/>
      </c>
      <c r="Q131" s="2" t="str">
        <v/>
      </c>
      <c r="R131" s="2" t="str">
        <v/>
      </c>
      <c r="S131" s="2" t="str">
        <v/>
      </c>
      <c r="T131" s="2">
        <v>1000122</v>
      </c>
      <c r="X131" s="2">
        <v>2</v>
      </c>
      <c r="Y131" s="2">
        <v>3</v>
      </c>
      <c r="Z131" s="2">
        <v>19</v>
      </c>
      <c r="AA131" s="2">
        <v>31</v>
      </c>
      <c r="AB131" s="2">
        <v>283</v>
      </c>
      <c r="AC131" s="2" t="str">
        <v/>
      </c>
      <c r="AD131" s="2" t="str">
        <v/>
      </c>
      <c r="AE131" s="2" t="str">
        <v/>
      </c>
      <c r="AF131" s="2" t="str">
        <v/>
      </c>
      <c r="AN131" s="2">
        <v>2</v>
      </c>
      <c r="AO131" s="2">
        <v>3</v>
      </c>
      <c r="AP131" s="2">
        <v>19</v>
      </c>
      <c r="AQ131" s="2">
        <v>31</v>
      </c>
      <c r="AR131" s="2">
        <v>283</v>
      </c>
      <c r="AS131" s="2" t="str">
        <v/>
      </c>
      <c r="AT131" s="2" t="str">
        <v/>
      </c>
      <c r="AU131" s="2" t="str">
        <v/>
      </c>
      <c r="AV131" s="2" t="str">
        <v/>
      </c>
    </row>
    <row r="132" spans="1:48" x14ac:dyDescent="0.25">
      <c r="A132" s="2">
        <v>1001569</v>
      </c>
      <c r="H132" s="2">
        <f t="shared" si="1"/>
        <v>1000123</v>
      </c>
      <c r="K132" s="2">
        <v>29</v>
      </c>
      <c r="L132" s="2">
        <v>34487</v>
      </c>
      <c r="M132" s="2" t="str">
        <v/>
      </c>
      <c r="N132" s="2" t="str">
        <v/>
      </c>
      <c r="O132" s="2" t="str">
        <v/>
      </c>
      <c r="P132" s="2" t="str">
        <v/>
      </c>
      <c r="Q132" s="2" t="str">
        <v/>
      </c>
      <c r="R132" s="2" t="str">
        <v/>
      </c>
      <c r="S132" s="2" t="str">
        <v/>
      </c>
      <c r="T132" s="2">
        <v>1000123</v>
      </c>
      <c r="X132" s="2">
        <v>29</v>
      </c>
      <c r="Y132" s="2">
        <v>34487</v>
      </c>
      <c r="Z132" s="2" t="str">
        <v/>
      </c>
      <c r="AA132" s="2" t="str">
        <v/>
      </c>
      <c r="AB132" s="2" t="str">
        <v/>
      </c>
      <c r="AC132" s="2" t="str">
        <v/>
      </c>
      <c r="AD132" s="2" t="str">
        <v/>
      </c>
      <c r="AE132" s="2" t="str">
        <v/>
      </c>
      <c r="AF132" s="2" t="str">
        <v/>
      </c>
      <c r="AN132" s="2">
        <v>29</v>
      </c>
      <c r="AO132" s="2">
        <v>34487</v>
      </c>
      <c r="AP132" s="2" t="str">
        <v/>
      </c>
      <c r="AQ132" s="2" t="str">
        <v/>
      </c>
      <c r="AR132" s="2" t="str">
        <v/>
      </c>
      <c r="AS132" s="2" t="str">
        <v/>
      </c>
      <c r="AT132" s="2" t="str">
        <v/>
      </c>
      <c r="AU132" s="2" t="str">
        <v/>
      </c>
      <c r="AV132" s="2" t="str">
        <v/>
      </c>
    </row>
    <row r="133" spans="1:48" x14ac:dyDescent="0.25">
      <c r="A133" s="2">
        <v>1001587</v>
      </c>
      <c r="H133" s="2">
        <f t="shared" si="1"/>
        <v>1000124</v>
      </c>
      <c r="K133" s="2">
        <v>2</v>
      </c>
      <c r="L133" s="2">
        <v>2</v>
      </c>
      <c r="M133" s="2">
        <v>250031</v>
      </c>
      <c r="N133" s="2" t="str">
        <v/>
      </c>
      <c r="O133" s="2" t="str">
        <v/>
      </c>
      <c r="P133" s="2" t="str">
        <v/>
      </c>
      <c r="Q133" s="2" t="str">
        <v/>
      </c>
      <c r="R133" s="2" t="str">
        <v/>
      </c>
      <c r="S133" s="2" t="str">
        <v/>
      </c>
      <c r="T133" s="2">
        <v>1000124</v>
      </c>
      <c r="X133" s="2">
        <v>2</v>
      </c>
      <c r="Y133" s="2">
        <v>2</v>
      </c>
      <c r="Z133" s="2">
        <v>250031</v>
      </c>
      <c r="AA133" s="2" t="str">
        <v/>
      </c>
      <c r="AB133" s="2" t="str">
        <v/>
      </c>
      <c r="AC133" s="2" t="str">
        <v/>
      </c>
      <c r="AD133" s="2" t="str">
        <v/>
      </c>
      <c r="AE133" s="2" t="str">
        <v/>
      </c>
      <c r="AF133" s="2" t="str">
        <v/>
      </c>
      <c r="AN133" s="2">
        <v>2</v>
      </c>
      <c r="AO133" s="2">
        <v>2</v>
      </c>
      <c r="AP133" s="2">
        <v>250031</v>
      </c>
      <c r="AQ133" s="2" t="str">
        <v/>
      </c>
      <c r="AR133" s="2" t="str">
        <v/>
      </c>
      <c r="AS133" s="2" t="str">
        <v/>
      </c>
      <c r="AT133" s="2" t="str">
        <v/>
      </c>
      <c r="AU133" s="2" t="str">
        <v/>
      </c>
      <c r="AV133" s="2" t="str">
        <v/>
      </c>
    </row>
    <row r="134" spans="1:48" x14ac:dyDescent="0.25">
      <c r="A134" s="2">
        <v>1001593</v>
      </c>
      <c r="H134" s="2">
        <f t="shared" si="1"/>
        <v>1000125</v>
      </c>
      <c r="K134" s="2">
        <v>3</v>
      </c>
      <c r="L134" s="2">
        <v>3</v>
      </c>
      <c r="M134" s="2">
        <v>5</v>
      </c>
      <c r="N134" s="2">
        <v>5</v>
      </c>
      <c r="O134" s="2">
        <v>5</v>
      </c>
      <c r="P134" s="2">
        <v>7</v>
      </c>
      <c r="Q134" s="2">
        <v>127</v>
      </c>
      <c r="R134" s="2" t="str">
        <v/>
      </c>
      <c r="S134" s="2" t="str">
        <v/>
      </c>
      <c r="T134" s="2">
        <v>1000125</v>
      </c>
      <c r="X134" s="2">
        <v>3</v>
      </c>
      <c r="Y134" s="2">
        <v>3</v>
      </c>
      <c r="Z134" s="2">
        <v>5</v>
      </c>
      <c r="AA134" s="2">
        <v>5</v>
      </c>
      <c r="AB134" s="2">
        <v>5</v>
      </c>
      <c r="AC134" s="2">
        <v>7</v>
      </c>
      <c r="AD134" s="2">
        <v>127</v>
      </c>
      <c r="AE134" s="2" t="str">
        <v/>
      </c>
      <c r="AF134" s="2" t="str">
        <v/>
      </c>
      <c r="AN134" s="2">
        <v>3</v>
      </c>
      <c r="AO134" s="2">
        <v>3</v>
      </c>
      <c r="AP134" s="2">
        <v>5</v>
      </c>
      <c r="AQ134" s="2">
        <v>5</v>
      </c>
      <c r="AR134" s="2">
        <v>5</v>
      </c>
      <c r="AS134" s="2">
        <v>7</v>
      </c>
      <c r="AT134" s="2">
        <v>127</v>
      </c>
      <c r="AU134" s="2" t="str">
        <v/>
      </c>
      <c r="AV134" s="2" t="str">
        <v/>
      </c>
    </row>
    <row r="135" spans="1:48" x14ac:dyDescent="0.25">
      <c r="A135" s="2">
        <v>1001621</v>
      </c>
      <c r="H135" s="2">
        <f t="shared" si="1"/>
        <v>1000126</v>
      </c>
      <c r="K135" s="2">
        <v>2</v>
      </c>
      <c r="L135" s="2">
        <v>193</v>
      </c>
      <c r="M135" s="2">
        <v>2591</v>
      </c>
      <c r="N135" s="2" t="str">
        <v/>
      </c>
      <c r="O135" s="2" t="str">
        <v/>
      </c>
      <c r="P135" s="2" t="str">
        <v/>
      </c>
      <c r="Q135" s="2" t="str">
        <v/>
      </c>
      <c r="R135" s="2" t="str">
        <v/>
      </c>
      <c r="S135" s="2" t="str">
        <v/>
      </c>
      <c r="T135" s="2">
        <v>1000126</v>
      </c>
      <c r="X135" s="2">
        <v>2</v>
      </c>
      <c r="Y135" s="2">
        <v>193</v>
      </c>
      <c r="Z135" s="2">
        <v>2591</v>
      </c>
      <c r="AA135" s="2" t="str">
        <v/>
      </c>
      <c r="AB135" s="2" t="str">
        <v/>
      </c>
      <c r="AC135" s="2" t="str">
        <v/>
      </c>
      <c r="AD135" s="2" t="str">
        <v/>
      </c>
      <c r="AE135" s="2" t="str">
        <v/>
      </c>
      <c r="AF135" s="2" t="str">
        <v/>
      </c>
      <c r="AN135" s="2">
        <v>2</v>
      </c>
      <c r="AO135" s="2">
        <v>193</v>
      </c>
      <c r="AP135" s="2">
        <v>2591</v>
      </c>
      <c r="AQ135" s="2" t="str">
        <v/>
      </c>
      <c r="AR135" s="2" t="str">
        <v/>
      </c>
      <c r="AS135" s="2" t="str">
        <v/>
      </c>
      <c r="AT135" s="2" t="str">
        <v/>
      </c>
      <c r="AU135" s="2" t="str">
        <v/>
      </c>
      <c r="AV135" s="2" t="str">
        <v/>
      </c>
    </row>
    <row r="136" spans="1:48" x14ac:dyDescent="0.25">
      <c r="A136" s="2">
        <v>1001629</v>
      </c>
      <c r="H136" s="2">
        <f t="shared" si="1"/>
        <v>1000127</v>
      </c>
      <c r="K136" s="2">
        <v>17</v>
      </c>
      <c r="L136" s="2">
        <v>58831</v>
      </c>
      <c r="M136" s="2" t="str">
        <v/>
      </c>
      <c r="N136" s="2" t="str">
        <v/>
      </c>
      <c r="O136" s="2" t="str">
        <v/>
      </c>
      <c r="P136" s="2" t="str">
        <v/>
      </c>
      <c r="Q136" s="2" t="str">
        <v/>
      </c>
      <c r="R136" s="2" t="str">
        <v/>
      </c>
      <c r="S136" s="2" t="str">
        <v/>
      </c>
      <c r="T136" s="2">
        <v>1000127</v>
      </c>
      <c r="X136" s="2">
        <v>17</v>
      </c>
      <c r="Y136" s="2">
        <v>58831</v>
      </c>
      <c r="Z136" s="2" t="str">
        <v/>
      </c>
      <c r="AA136" s="2" t="str">
        <v/>
      </c>
      <c r="AB136" s="2" t="str">
        <v/>
      </c>
      <c r="AC136" s="2" t="str">
        <v/>
      </c>
      <c r="AD136" s="2" t="str">
        <v/>
      </c>
      <c r="AE136" s="2" t="str">
        <v/>
      </c>
      <c r="AF136" s="2" t="str">
        <v/>
      </c>
      <c r="AN136" s="2">
        <v>17</v>
      </c>
      <c r="AO136" s="2">
        <v>58831</v>
      </c>
      <c r="AP136" s="2" t="str">
        <v/>
      </c>
      <c r="AQ136" s="2" t="str">
        <v/>
      </c>
      <c r="AR136" s="2" t="str">
        <v/>
      </c>
      <c r="AS136" s="2" t="str">
        <v/>
      </c>
      <c r="AT136" s="2" t="str">
        <v/>
      </c>
      <c r="AU136" s="2" t="str">
        <v/>
      </c>
      <c r="AV136" s="2" t="str">
        <v/>
      </c>
    </row>
    <row r="137" spans="1:48" x14ac:dyDescent="0.25">
      <c r="A137" s="2">
        <v>1001639</v>
      </c>
      <c r="H137" s="2">
        <f t="shared" si="1"/>
        <v>1000128</v>
      </c>
      <c r="K137" s="2">
        <v>2</v>
      </c>
      <c r="L137" s="2">
        <v>2</v>
      </c>
      <c r="M137" s="2">
        <v>2</v>
      </c>
      <c r="N137" s="2">
        <v>2</v>
      </c>
      <c r="O137" s="2">
        <v>2</v>
      </c>
      <c r="P137" s="2">
        <v>2</v>
      </c>
      <c r="Q137" s="2">
        <v>3</v>
      </c>
      <c r="R137" s="2">
        <v>5209</v>
      </c>
      <c r="S137" s="2" t="str">
        <v/>
      </c>
      <c r="T137" s="2">
        <v>1000128</v>
      </c>
      <c r="X137" s="2">
        <v>2</v>
      </c>
      <c r="Y137" s="2">
        <v>2</v>
      </c>
      <c r="Z137" s="2">
        <v>2</v>
      </c>
      <c r="AA137" s="2">
        <v>2</v>
      </c>
      <c r="AB137" s="2">
        <v>2</v>
      </c>
      <c r="AC137" s="2">
        <v>2</v>
      </c>
      <c r="AD137" s="2">
        <v>3</v>
      </c>
      <c r="AE137" s="2">
        <v>5209</v>
      </c>
      <c r="AF137" s="2" t="str">
        <v/>
      </c>
      <c r="AN137" s="2">
        <v>2</v>
      </c>
      <c r="AO137" s="2">
        <v>2</v>
      </c>
      <c r="AP137" s="2">
        <v>2</v>
      </c>
      <c r="AQ137" s="2">
        <v>2</v>
      </c>
      <c r="AR137" s="2">
        <v>2</v>
      </c>
      <c r="AS137" s="2">
        <v>2</v>
      </c>
      <c r="AT137" s="2">
        <v>3</v>
      </c>
      <c r="AU137" s="2">
        <v>5209</v>
      </c>
      <c r="AV137" s="2" t="str">
        <v/>
      </c>
    </row>
    <row r="138" spans="1:48" x14ac:dyDescent="0.25">
      <c r="A138" s="2">
        <v>1001659</v>
      </c>
      <c r="H138" s="2">
        <f t="shared" si="1"/>
        <v>1000129</v>
      </c>
      <c r="K138" s="2">
        <v>13</v>
      </c>
      <c r="L138" s="2">
        <v>107</v>
      </c>
      <c r="M138" s="2">
        <v>719</v>
      </c>
      <c r="N138" s="2" t="str">
        <v/>
      </c>
      <c r="O138" s="2" t="str">
        <v/>
      </c>
      <c r="P138" s="2" t="str">
        <v/>
      </c>
      <c r="Q138" s="2" t="str">
        <v/>
      </c>
      <c r="R138" s="2" t="str">
        <v/>
      </c>
      <c r="S138" s="2" t="str">
        <v/>
      </c>
      <c r="T138" s="2">
        <v>1000129</v>
      </c>
      <c r="X138" s="2">
        <v>13</v>
      </c>
      <c r="Y138" s="2">
        <v>107</v>
      </c>
      <c r="Z138" s="2">
        <v>719</v>
      </c>
      <c r="AA138" s="2" t="str">
        <v/>
      </c>
      <c r="AB138" s="2" t="str">
        <v/>
      </c>
      <c r="AC138" s="2" t="str">
        <v/>
      </c>
      <c r="AD138" s="2" t="str">
        <v/>
      </c>
      <c r="AE138" s="2" t="str">
        <v/>
      </c>
      <c r="AF138" s="2" t="str">
        <v/>
      </c>
      <c r="AN138" s="2">
        <v>13</v>
      </c>
      <c r="AO138" s="2">
        <v>107</v>
      </c>
      <c r="AP138" s="2">
        <v>719</v>
      </c>
      <c r="AQ138" s="2" t="str">
        <v/>
      </c>
      <c r="AR138" s="2" t="str">
        <v/>
      </c>
      <c r="AS138" s="2" t="str">
        <v/>
      </c>
      <c r="AT138" s="2" t="str">
        <v/>
      </c>
      <c r="AU138" s="2" t="str">
        <v/>
      </c>
      <c r="AV138" s="2" t="str">
        <v/>
      </c>
    </row>
    <row r="139" spans="1:48" x14ac:dyDescent="0.25">
      <c r="A139" s="2">
        <v>1001669</v>
      </c>
      <c r="H139" s="2">
        <f t="shared" si="1"/>
        <v>1000130</v>
      </c>
      <c r="K139" s="2">
        <v>2</v>
      </c>
      <c r="L139" s="2">
        <v>5</v>
      </c>
      <c r="M139" s="2">
        <v>103</v>
      </c>
      <c r="N139" s="2">
        <v>971</v>
      </c>
      <c r="O139" s="2" t="str">
        <v/>
      </c>
      <c r="P139" s="2" t="str">
        <v/>
      </c>
      <c r="Q139" s="2" t="str">
        <v/>
      </c>
      <c r="R139" s="2" t="str">
        <v/>
      </c>
      <c r="S139" s="2" t="str">
        <v/>
      </c>
      <c r="T139" s="2">
        <v>1000130</v>
      </c>
      <c r="X139" s="2">
        <v>2</v>
      </c>
      <c r="Y139" s="2">
        <v>5</v>
      </c>
      <c r="Z139" s="2">
        <v>103</v>
      </c>
      <c r="AA139" s="2">
        <v>971</v>
      </c>
      <c r="AB139" s="2" t="str">
        <v/>
      </c>
      <c r="AC139" s="2" t="str">
        <v/>
      </c>
      <c r="AD139" s="2" t="str">
        <v/>
      </c>
      <c r="AE139" s="2" t="str">
        <v/>
      </c>
      <c r="AF139" s="2" t="str">
        <v/>
      </c>
      <c r="AN139" s="2">
        <v>2</v>
      </c>
      <c r="AO139" s="2">
        <v>5</v>
      </c>
      <c r="AP139" s="2">
        <v>103</v>
      </c>
      <c r="AQ139" s="2">
        <v>971</v>
      </c>
      <c r="AR139" s="2" t="str">
        <v/>
      </c>
      <c r="AS139" s="2" t="str">
        <v/>
      </c>
      <c r="AT139" s="2" t="str">
        <v/>
      </c>
      <c r="AU139" s="2" t="str">
        <v/>
      </c>
      <c r="AV139" s="2" t="str">
        <v/>
      </c>
    </row>
    <row r="140" spans="1:48" x14ac:dyDescent="0.25">
      <c r="A140" s="2">
        <v>1001683</v>
      </c>
      <c r="H140" s="2">
        <f t="shared" ref="H140:H182" si="2">H139+1</f>
        <v>1000131</v>
      </c>
      <c r="K140" s="2">
        <v>3</v>
      </c>
      <c r="L140" s="2">
        <v>11</v>
      </c>
      <c r="M140" s="2">
        <v>30307</v>
      </c>
      <c r="N140" s="2" t="str">
        <v/>
      </c>
      <c r="O140" s="2" t="str">
        <v/>
      </c>
      <c r="P140" s="2" t="str">
        <v/>
      </c>
      <c r="Q140" s="2" t="str">
        <v/>
      </c>
      <c r="R140" s="2" t="str">
        <v/>
      </c>
      <c r="S140" s="2" t="str">
        <v/>
      </c>
      <c r="T140" s="2">
        <v>1000131</v>
      </c>
      <c r="X140" s="2">
        <v>3</v>
      </c>
      <c r="Y140" s="2">
        <v>11</v>
      </c>
      <c r="Z140" s="2">
        <v>30307</v>
      </c>
      <c r="AA140" s="2" t="str">
        <v/>
      </c>
      <c r="AB140" s="2" t="str">
        <v/>
      </c>
      <c r="AC140" s="2" t="str">
        <v/>
      </c>
      <c r="AD140" s="2" t="str">
        <v/>
      </c>
      <c r="AE140" s="2" t="str">
        <v/>
      </c>
      <c r="AF140" s="2" t="str">
        <v/>
      </c>
      <c r="AN140" s="2">
        <v>3</v>
      </c>
      <c r="AO140" s="2">
        <v>11</v>
      </c>
      <c r="AP140" s="2">
        <v>30307</v>
      </c>
      <c r="AQ140" s="2" t="str">
        <v/>
      </c>
      <c r="AR140" s="2" t="str">
        <v/>
      </c>
      <c r="AS140" s="2" t="str">
        <v/>
      </c>
      <c r="AT140" s="2" t="str">
        <v/>
      </c>
      <c r="AU140" s="2" t="str">
        <v/>
      </c>
      <c r="AV140" s="2" t="str">
        <v/>
      </c>
    </row>
    <row r="141" spans="1:48" x14ac:dyDescent="0.25">
      <c r="A141" s="2">
        <v>1001687</v>
      </c>
      <c r="H141" s="2">
        <f t="shared" si="2"/>
        <v>1000132</v>
      </c>
      <c r="K141" s="2">
        <v>2</v>
      </c>
      <c r="L141" s="2">
        <v>2</v>
      </c>
      <c r="M141" s="2">
        <v>7</v>
      </c>
      <c r="N141" s="2">
        <v>23</v>
      </c>
      <c r="O141" s="2">
        <v>1553</v>
      </c>
      <c r="P141" s="2" t="str">
        <v/>
      </c>
      <c r="Q141" s="2" t="str">
        <v/>
      </c>
      <c r="R141" s="2" t="str">
        <v/>
      </c>
      <c r="S141" s="2" t="str">
        <v/>
      </c>
      <c r="T141" s="2">
        <v>1000132</v>
      </c>
      <c r="X141" s="2">
        <v>2</v>
      </c>
      <c r="Y141" s="2">
        <v>2</v>
      </c>
      <c r="Z141" s="2">
        <v>7</v>
      </c>
      <c r="AA141" s="2">
        <v>23</v>
      </c>
      <c r="AB141" s="2">
        <v>1553</v>
      </c>
      <c r="AC141" s="2" t="str">
        <v/>
      </c>
      <c r="AD141" s="2" t="str">
        <v/>
      </c>
      <c r="AE141" s="2" t="str">
        <v/>
      </c>
      <c r="AF141" s="2" t="str">
        <v/>
      </c>
      <c r="AN141" s="2">
        <v>2</v>
      </c>
      <c r="AO141" s="2">
        <v>2</v>
      </c>
      <c r="AP141" s="2">
        <v>7</v>
      </c>
      <c r="AQ141" s="2">
        <v>23</v>
      </c>
      <c r="AR141" s="2">
        <v>1553</v>
      </c>
      <c r="AS141" s="2" t="str">
        <v/>
      </c>
      <c r="AT141" s="2" t="str">
        <v/>
      </c>
      <c r="AU141" s="2" t="str">
        <v/>
      </c>
      <c r="AV141" s="2" t="str">
        <v/>
      </c>
    </row>
    <row r="142" spans="1:48" x14ac:dyDescent="0.25">
      <c r="A142" s="2">
        <v>1001713</v>
      </c>
      <c r="H142" s="2">
        <f t="shared" si="2"/>
        <v>1000133</v>
      </c>
      <c r="K142" s="2">
        <v>1000133</v>
      </c>
      <c r="L142" s="2" t="str">
        <v/>
      </c>
      <c r="M142" s="2" t="str">
        <v/>
      </c>
      <c r="N142" s="2" t="str">
        <v/>
      </c>
      <c r="O142" s="2" t="str">
        <v/>
      </c>
      <c r="P142" s="2" t="str">
        <v/>
      </c>
      <c r="Q142" s="2" t="str">
        <v/>
      </c>
      <c r="R142" s="2" t="str">
        <v/>
      </c>
      <c r="S142" s="2" t="str">
        <v/>
      </c>
      <c r="T142" s="2">
        <v>1000133</v>
      </c>
      <c r="X142" s="2">
        <v>1000133</v>
      </c>
      <c r="Y142" s="2" t="str">
        <v/>
      </c>
      <c r="Z142" s="2" t="str">
        <v/>
      </c>
      <c r="AA142" s="2" t="str">
        <v/>
      </c>
      <c r="AB142" s="2" t="str">
        <v/>
      </c>
      <c r="AC142" s="2" t="str">
        <v/>
      </c>
      <c r="AD142" s="2" t="str">
        <v/>
      </c>
      <c r="AE142" s="2" t="str">
        <v/>
      </c>
      <c r="AF142" s="2" t="str">
        <v/>
      </c>
      <c r="AN142" s="2">
        <v>1000133</v>
      </c>
      <c r="AO142" s="2" t="str">
        <v/>
      </c>
      <c r="AP142" s="2" t="str">
        <v/>
      </c>
      <c r="AQ142" s="2" t="str">
        <v/>
      </c>
      <c r="AR142" s="2" t="str">
        <v/>
      </c>
      <c r="AS142" s="2" t="str">
        <v/>
      </c>
      <c r="AT142" s="2" t="str">
        <v/>
      </c>
      <c r="AU142" s="2" t="str">
        <v/>
      </c>
      <c r="AV142" s="2" t="str">
        <v/>
      </c>
    </row>
    <row r="143" spans="1:48" x14ac:dyDescent="0.25">
      <c r="A143" s="2">
        <v>1001723</v>
      </c>
      <c r="H143" s="2">
        <f t="shared" si="2"/>
        <v>1000134</v>
      </c>
      <c r="K143" s="2">
        <v>2</v>
      </c>
      <c r="L143" s="2">
        <v>3</v>
      </c>
      <c r="M143" s="2">
        <v>3</v>
      </c>
      <c r="N143" s="2">
        <v>3</v>
      </c>
      <c r="O143" s="2">
        <v>18521</v>
      </c>
      <c r="P143" s="2" t="str">
        <v/>
      </c>
      <c r="Q143" s="2" t="str">
        <v/>
      </c>
      <c r="R143" s="2" t="str">
        <v/>
      </c>
      <c r="S143" s="2" t="str">
        <v/>
      </c>
      <c r="T143" s="2">
        <v>1000134</v>
      </c>
      <c r="X143" s="2">
        <v>2</v>
      </c>
      <c r="Y143" s="2">
        <v>3</v>
      </c>
      <c r="Z143" s="2">
        <v>3</v>
      </c>
      <c r="AA143" s="2">
        <v>3</v>
      </c>
      <c r="AB143" s="2">
        <v>18521</v>
      </c>
      <c r="AC143" s="2" t="str">
        <v/>
      </c>
      <c r="AD143" s="2" t="str">
        <v/>
      </c>
      <c r="AE143" s="2" t="str">
        <v/>
      </c>
      <c r="AF143" s="2" t="str">
        <v/>
      </c>
      <c r="AN143" s="2">
        <v>2</v>
      </c>
      <c r="AO143" s="2">
        <v>3</v>
      </c>
      <c r="AP143" s="2">
        <v>3</v>
      </c>
      <c r="AQ143" s="2">
        <v>3</v>
      </c>
      <c r="AR143" s="2">
        <v>18521</v>
      </c>
      <c r="AS143" s="2" t="str">
        <v/>
      </c>
      <c r="AT143" s="2" t="str">
        <v/>
      </c>
      <c r="AU143" s="2" t="str">
        <v/>
      </c>
      <c r="AV143" s="2" t="str">
        <v/>
      </c>
    </row>
    <row r="144" spans="1:48" x14ac:dyDescent="0.25">
      <c r="A144" s="2">
        <v>1001743</v>
      </c>
      <c r="H144" s="2">
        <f t="shared" si="2"/>
        <v>1000135</v>
      </c>
      <c r="K144" s="2">
        <v>5</v>
      </c>
      <c r="L144" s="2">
        <v>317</v>
      </c>
      <c r="M144" s="2">
        <v>631</v>
      </c>
      <c r="N144" s="2" t="str">
        <v/>
      </c>
      <c r="O144" s="2" t="str">
        <v/>
      </c>
      <c r="P144" s="2" t="str">
        <v/>
      </c>
      <c r="Q144" s="2" t="str">
        <v/>
      </c>
      <c r="R144" s="2" t="str">
        <v/>
      </c>
      <c r="S144" s="2" t="str">
        <v/>
      </c>
      <c r="T144" s="2">
        <v>1000135</v>
      </c>
      <c r="X144" s="2">
        <v>5</v>
      </c>
      <c r="Y144" s="2">
        <v>317</v>
      </c>
      <c r="Z144" s="2">
        <v>631</v>
      </c>
      <c r="AA144" s="2" t="str">
        <v/>
      </c>
      <c r="AB144" s="2" t="str">
        <v/>
      </c>
      <c r="AC144" s="2" t="str">
        <v/>
      </c>
      <c r="AD144" s="2" t="str">
        <v/>
      </c>
      <c r="AE144" s="2" t="str">
        <v/>
      </c>
      <c r="AF144" s="2" t="str">
        <v/>
      </c>
      <c r="AN144" s="2">
        <v>5</v>
      </c>
      <c r="AO144" s="2">
        <v>317</v>
      </c>
      <c r="AP144" s="2">
        <v>631</v>
      </c>
      <c r="AQ144" s="2" t="str">
        <v/>
      </c>
      <c r="AR144" s="2" t="str">
        <v/>
      </c>
      <c r="AS144" s="2" t="str">
        <v/>
      </c>
      <c r="AT144" s="2" t="str">
        <v/>
      </c>
      <c r="AU144" s="2" t="str">
        <v/>
      </c>
      <c r="AV144" s="2" t="str">
        <v/>
      </c>
    </row>
    <row r="145" spans="1:48" x14ac:dyDescent="0.25">
      <c r="A145" s="2">
        <v>1001783</v>
      </c>
      <c r="H145" s="2">
        <f t="shared" si="2"/>
        <v>1000136</v>
      </c>
      <c r="K145" s="2">
        <v>2</v>
      </c>
      <c r="L145" s="2">
        <v>2</v>
      </c>
      <c r="M145" s="2">
        <v>2</v>
      </c>
      <c r="N145" s="2">
        <v>125017</v>
      </c>
      <c r="O145" s="2" t="str">
        <v/>
      </c>
      <c r="P145" s="2" t="str">
        <v/>
      </c>
      <c r="Q145" s="2" t="str">
        <v/>
      </c>
      <c r="R145" s="2" t="str">
        <v/>
      </c>
      <c r="S145" s="2" t="str">
        <v/>
      </c>
      <c r="T145" s="2">
        <v>1000136</v>
      </c>
      <c r="X145" s="2">
        <v>2</v>
      </c>
      <c r="Y145" s="2">
        <v>2</v>
      </c>
      <c r="Z145" s="2">
        <v>2</v>
      </c>
      <c r="AA145" s="2">
        <v>125017</v>
      </c>
      <c r="AB145" s="2" t="str">
        <v/>
      </c>
      <c r="AC145" s="2" t="str">
        <v/>
      </c>
      <c r="AD145" s="2" t="str">
        <v/>
      </c>
      <c r="AE145" s="2" t="str">
        <v/>
      </c>
      <c r="AF145" s="2" t="str">
        <v/>
      </c>
      <c r="AN145" s="2">
        <v>2</v>
      </c>
      <c r="AO145" s="2">
        <v>2</v>
      </c>
      <c r="AP145" s="2">
        <v>2</v>
      </c>
      <c r="AQ145" s="2">
        <v>125017</v>
      </c>
      <c r="AR145" s="2" t="str">
        <v/>
      </c>
      <c r="AS145" s="2" t="str">
        <v/>
      </c>
      <c r="AT145" s="2" t="str">
        <v/>
      </c>
      <c r="AU145" s="2" t="str">
        <v/>
      </c>
      <c r="AV145" s="2" t="str">
        <v/>
      </c>
    </row>
    <row r="146" spans="1:48" x14ac:dyDescent="0.25">
      <c r="A146" s="2">
        <v>1001797</v>
      </c>
      <c r="H146" s="2">
        <f t="shared" si="2"/>
        <v>1000137</v>
      </c>
      <c r="K146" s="2">
        <v>3</v>
      </c>
      <c r="L146" s="2">
        <v>43</v>
      </c>
      <c r="M146" s="2">
        <v>7753</v>
      </c>
      <c r="N146" s="2" t="str">
        <v/>
      </c>
      <c r="O146" s="2" t="str">
        <v/>
      </c>
      <c r="P146" s="2" t="str">
        <v/>
      </c>
      <c r="Q146" s="2" t="str">
        <v/>
      </c>
      <c r="R146" s="2" t="str">
        <v/>
      </c>
      <c r="S146" s="2" t="str">
        <v/>
      </c>
      <c r="T146" s="2">
        <v>1000137</v>
      </c>
      <c r="X146" s="2">
        <v>3</v>
      </c>
      <c r="Y146" s="2">
        <v>43</v>
      </c>
      <c r="Z146" s="2">
        <v>7753</v>
      </c>
      <c r="AA146" s="2" t="str">
        <v/>
      </c>
      <c r="AB146" s="2" t="str">
        <v/>
      </c>
      <c r="AC146" s="2" t="str">
        <v/>
      </c>
      <c r="AD146" s="2" t="str">
        <v/>
      </c>
      <c r="AE146" s="2" t="str">
        <v/>
      </c>
      <c r="AF146" s="2" t="str">
        <v/>
      </c>
      <c r="AN146" s="2">
        <v>3</v>
      </c>
      <c r="AO146" s="2">
        <v>43</v>
      </c>
      <c r="AP146" s="2">
        <v>7753</v>
      </c>
      <c r="AQ146" s="2" t="str">
        <v/>
      </c>
      <c r="AR146" s="2" t="str">
        <v/>
      </c>
      <c r="AS146" s="2" t="str">
        <v/>
      </c>
      <c r="AT146" s="2" t="str">
        <v/>
      </c>
      <c r="AU146" s="2" t="str">
        <v/>
      </c>
      <c r="AV146" s="2" t="str">
        <v/>
      </c>
    </row>
    <row r="147" spans="1:48" x14ac:dyDescent="0.25">
      <c r="A147" s="2">
        <v>1001801</v>
      </c>
      <c r="H147" s="2">
        <f t="shared" si="2"/>
        <v>1000138</v>
      </c>
      <c r="K147" s="2">
        <v>2</v>
      </c>
      <c r="L147" s="2">
        <v>500069</v>
      </c>
      <c r="M147" s="2" t="str">
        <v/>
      </c>
      <c r="N147" s="2" t="str">
        <v/>
      </c>
      <c r="O147" s="2" t="str">
        <v/>
      </c>
      <c r="P147" s="2" t="str">
        <v/>
      </c>
      <c r="Q147" s="2" t="str">
        <v/>
      </c>
      <c r="R147" s="2" t="str">
        <v/>
      </c>
      <c r="S147" s="2" t="str">
        <v/>
      </c>
      <c r="T147" s="2">
        <v>1000138</v>
      </c>
      <c r="X147" s="2">
        <v>2</v>
      </c>
      <c r="Y147" s="2">
        <v>500069</v>
      </c>
      <c r="Z147" s="2" t="str">
        <v/>
      </c>
      <c r="AA147" s="2" t="str">
        <v/>
      </c>
      <c r="AB147" s="2" t="str">
        <v/>
      </c>
      <c r="AC147" s="2" t="str">
        <v/>
      </c>
      <c r="AD147" s="2" t="str">
        <v/>
      </c>
      <c r="AE147" s="2" t="str">
        <v/>
      </c>
      <c r="AF147" s="2" t="str">
        <v/>
      </c>
      <c r="AN147" s="2">
        <v>2</v>
      </c>
      <c r="AO147" s="2">
        <v>500069</v>
      </c>
      <c r="AP147" s="2" t="str">
        <v/>
      </c>
      <c r="AQ147" s="2" t="str">
        <v/>
      </c>
      <c r="AR147" s="2" t="str">
        <v/>
      </c>
      <c r="AS147" s="2" t="str">
        <v/>
      </c>
      <c r="AT147" s="2" t="str">
        <v/>
      </c>
      <c r="AU147" s="2" t="str">
        <v/>
      </c>
      <c r="AV147" s="2" t="str">
        <v/>
      </c>
    </row>
    <row r="148" spans="1:48" x14ac:dyDescent="0.25">
      <c r="A148" s="2">
        <v>1001807</v>
      </c>
      <c r="H148" s="2">
        <f t="shared" si="2"/>
        <v>1000139</v>
      </c>
      <c r="K148" s="2">
        <v>7</v>
      </c>
      <c r="L148" s="2">
        <v>7</v>
      </c>
      <c r="M148" s="2">
        <v>20411</v>
      </c>
      <c r="N148" s="2" t="str">
        <v/>
      </c>
      <c r="O148" s="2" t="str">
        <v/>
      </c>
      <c r="P148" s="2" t="str">
        <v/>
      </c>
      <c r="Q148" s="2" t="str">
        <v/>
      </c>
      <c r="R148" s="2" t="str">
        <v/>
      </c>
      <c r="S148" s="2" t="str">
        <v/>
      </c>
      <c r="T148" s="2">
        <v>1000139</v>
      </c>
      <c r="X148" s="2">
        <v>7</v>
      </c>
      <c r="Y148" s="2">
        <v>7</v>
      </c>
      <c r="Z148" s="2">
        <v>20411</v>
      </c>
      <c r="AA148" s="2" t="str">
        <v/>
      </c>
      <c r="AB148" s="2" t="str">
        <v/>
      </c>
      <c r="AC148" s="2" t="str">
        <v/>
      </c>
      <c r="AD148" s="2" t="str">
        <v/>
      </c>
      <c r="AE148" s="2" t="str">
        <v/>
      </c>
      <c r="AF148" s="2" t="str">
        <v/>
      </c>
      <c r="AN148" s="2">
        <v>7</v>
      </c>
      <c r="AO148" s="2">
        <v>7</v>
      </c>
      <c r="AP148" s="2">
        <v>20411</v>
      </c>
      <c r="AQ148" s="2" t="str">
        <v/>
      </c>
      <c r="AR148" s="2" t="str">
        <v/>
      </c>
      <c r="AS148" s="2" t="str">
        <v/>
      </c>
      <c r="AT148" s="2" t="str">
        <v/>
      </c>
      <c r="AU148" s="2" t="str">
        <v/>
      </c>
      <c r="AV148" s="2" t="str">
        <v/>
      </c>
    </row>
    <row r="149" spans="1:48" x14ac:dyDescent="0.25">
      <c r="A149" s="2">
        <v>1001809</v>
      </c>
      <c r="H149" s="2">
        <f t="shared" si="2"/>
        <v>1000140</v>
      </c>
      <c r="K149" s="2">
        <v>2</v>
      </c>
      <c r="L149" s="2">
        <v>2</v>
      </c>
      <c r="M149" s="2">
        <v>3</v>
      </c>
      <c r="N149" s="2">
        <v>5</v>
      </c>
      <c r="O149" s="2">
        <v>79</v>
      </c>
      <c r="P149" s="2">
        <v>211</v>
      </c>
      <c r="Q149" s="2" t="str">
        <v/>
      </c>
      <c r="R149" s="2" t="str">
        <v/>
      </c>
      <c r="S149" s="2" t="str">
        <v/>
      </c>
      <c r="T149" s="2">
        <v>1000140</v>
      </c>
      <c r="X149" s="2">
        <v>2</v>
      </c>
      <c r="Y149" s="2">
        <v>2</v>
      </c>
      <c r="Z149" s="2">
        <v>3</v>
      </c>
      <c r="AA149" s="2">
        <v>5</v>
      </c>
      <c r="AB149" s="2">
        <v>79</v>
      </c>
      <c r="AC149" s="2">
        <v>211</v>
      </c>
      <c r="AD149" s="2" t="str">
        <v/>
      </c>
      <c r="AE149" s="2" t="str">
        <v/>
      </c>
      <c r="AF149" s="2" t="str">
        <v/>
      </c>
      <c r="AN149" s="2">
        <v>2</v>
      </c>
      <c r="AO149" s="2">
        <v>2</v>
      </c>
      <c r="AP149" s="2">
        <v>3</v>
      </c>
      <c r="AQ149" s="2">
        <v>5</v>
      </c>
      <c r="AR149" s="2">
        <v>79</v>
      </c>
      <c r="AS149" s="2">
        <v>211</v>
      </c>
      <c r="AT149" s="2" t="str">
        <v/>
      </c>
      <c r="AU149" s="2" t="str">
        <v/>
      </c>
      <c r="AV149" s="2" t="str">
        <v/>
      </c>
    </row>
    <row r="150" spans="1:48" x14ac:dyDescent="0.25">
      <c r="A150" s="2">
        <v>1001821</v>
      </c>
      <c r="H150" s="2">
        <f t="shared" si="2"/>
        <v>1000141</v>
      </c>
      <c r="K150" s="2">
        <v>19</v>
      </c>
      <c r="L150" s="2">
        <v>52639</v>
      </c>
      <c r="M150" s="2" t="str">
        <v/>
      </c>
      <c r="N150" s="2" t="str">
        <v/>
      </c>
      <c r="O150" s="2" t="str">
        <v/>
      </c>
      <c r="P150" s="2" t="str">
        <v/>
      </c>
      <c r="Q150" s="2" t="str">
        <v/>
      </c>
      <c r="R150" s="2" t="str">
        <v/>
      </c>
      <c r="S150" s="2" t="str">
        <v/>
      </c>
      <c r="T150" s="2">
        <v>1000141</v>
      </c>
      <c r="X150" s="2">
        <v>19</v>
      </c>
      <c r="Y150" s="2">
        <v>52639</v>
      </c>
      <c r="Z150" s="2" t="str">
        <v/>
      </c>
      <c r="AA150" s="2" t="str">
        <v/>
      </c>
      <c r="AB150" s="2" t="str">
        <v/>
      </c>
      <c r="AC150" s="2" t="str">
        <v/>
      </c>
      <c r="AD150" s="2" t="str">
        <v/>
      </c>
      <c r="AE150" s="2" t="str">
        <v/>
      </c>
      <c r="AF150" s="2" t="str">
        <v/>
      </c>
      <c r="AN150" s="2">
        <v>19</v>
      </c>
      <c r="AO150" s="2">
        <v>52639</v>
      </c>
      <c r="AP150" s="2" t="str">
        <v/>
      </c>
      <c r="AQ150" s="2" t="str">
        <v/>
      </c>
      <c r="AR150" s="2" t="str">
        <v/>
      </c>
      <c r="AS150" s="2" t="str">
        <v/>
      </c>
      <c r="AT150" s="2" t="str">
        <v/>
      </c>
      <c r="AU150" s="2" t="str">
        <v/>
      </c>
      <c r="AV150" s="2" t="str">
        <v/>
      </c>
    </row>
    <row r="151" spans="1:48" x14ac:dyDescent="0.25">
      <c r="A151" s="2">
        <v>1001831</v>
      </c>
      <c r="H151" s="2">
        <f t="shared" si="2"/>
        <v>1000142</v>
      </c>
      <c r="K151" s="2">
        <v>2</v>
      </c>
      <c r="L151" s="2">
        <v>11</v>
      </c>
      <c r="M151" s="2">
        <v>13</v>
      </c>
      <c r="N151" s="2">
        <v>13</v>
      </c>
      <c r="O151" s="2">
        <v>269</v>
      </c>
      <c r="P151" s="2" t="str">
        <v/>
      </c>
      <c r="Q151" s="2" t="str">
        <v/>
      </c>
      <c r="R151" s="2" t="str">
        <v/>
      </c>
      <c r="S151" s="2" t="str">
        <v/>
      </c>
      <c r="T151" s="2">
        <v>1000142</v>
      </c>
      <c r="X151" s="2">
        <v>2</v>
      </c>
      <c r="Y151" s="2">
        <v>11</v>
      </c>
      <c r="Z151" s="2">
        <v>13</v>
      </c>
      <c r="AA151" s="2">
        <v>13</v>
      </c>
      <c r="AB151" s="2">
        <v>269</v>
      </c>
      <c r="AC151" s="2" t="str">
        <v/>
      </c>
      <c r="AD151" s="2" t="str">
        <v/>
      </c>
      <c r="AE151" s="2" t="str">
        <v/>
      </c>
      <c r="AF151" s="2" t="str">
        <v/>
      </c>
      <c r="AN151" s="2">
        <v>2</v>
      </c>
      <c r="AO151" s="2">
        <v>11</v>
      </c>
      <c r="AP151" s="2">
        <v>13</v>
      </c>
      <c r="AQ151" s="2">
        <v>13</v>
      </c>
      <c r="AR151" s="2">
        <v>269</v>
      </c>
      <c r="AS151" s="2" t="str">
        <v/>
      </c>
      <c r="AT151" s="2" t="str">
        <v/>
      </c>
      <c r="AU151" s="2" t="str">
        <v/>
      </c>
      <c r="AV151" s="2" t="str">
        <v/>
      </c>
    </row>
    <row r="152" spans="1:48" x14ac:dyDescent="0.25">
      <c r="A152" s="2">
        <v>1001839</v>
      </c>
      <c r="H152" s="2">
        <f t="shared" si="2"/>
        <v>1000143</v>
      </c>
      <c r="K152" s="2">
        <v>3</v>
      </c>
      <c r="L152" s="2">
        <v>3</v>
      </c>
      <c r="M152" s="2">
        <v>111127</v>
      </c>
      <c r="N152" s="2" t="str">
        <v/>
      </c>
      <c r="O152" s="2" t="str">
        <v/>
      </c>
      <c r="P152" s="2" t="str">
        <v/>
      </c>
      <c r="Q152" s="2" t="str">
        <v/>
      </c>
      <c r="R152" s="2" t="str">
        <v/>
      </c>
      <c r="S152" s="2" t="str">
        <v/>
      </c>
      <c r="T152" s="2">
        <v>1000143</v>
      </c>
      <c r="X152" s="2">
        <v>3</v>
      </c>
      <c r="Y152" s="2">
        <v>3</v>
      </c>
      <c r="Z152" s="2">
        <v>111127</v>
      </c>
      <c r="AA152" s="2" t="str">
        <v/>
      </c>
      <c r="AB152" s="2" t="str">
        <v/>
      </c>
      <c r="AC152" s="2" t="str">
        <v/>
      </c>
      <c r="AD152" s="2" t="str">
        <v/>
      </c>
      <c r="AE152" s="2" t="str">
        <v/>
      </c>
      <c r="AF152" s="2" t="str">
        <v/>
      </c>
      <c r="AN152" s="2">
        <v>3</v>
      </c>
      <c r="AO152" s="2">
        <v>3</v>
      </c>
      <c r="AP152" s="2">
        <v>111127</v>
      </c>
      <c r="AQ152" s="2" t="str">
        <v/>
      </c>
      <c r="AR152" s="2" t="str">
        <v/>
      </c>
      <c r="AS152" s="2" t="str">
        <v/>
      </c>
      <c r="AT152" s="2" t="str">
        <v/>
      </c>
      <c r="AU152" s="2" t="str">
        <v/>
      </c>
      <c r="AV152" s="2" t="str">
        <v/>
      </c>
    </row>
    <row r="153" spans="1:48" x14ac:dyDescent="0.25">
      <c r="A153" s="2">
        <v>1001911</v>
      </c>
      <c r="H153" s="2">
        <f t="shared" si="2"/>
        <v>1000144</v>
      </c>
      <c r="K153" s="2">
        <v>2</v>
      </c>
      <c r="L153" s="2">
        <v>2</v>
      </c>
      <c r="M153" s="2">
        <v>2</v>
      </c>
      <c r="N153" s="2">
        <v>2</v>
      </c>
      <c r="O153" s="2">
        <v>17</v>
      </c>
      <c r="P153" s="2">
        <v>3677</v>
      </c>
      <c r="Q153" s="2" t="str">
        <v/>
      </c>
      <c r="R153" s="2" t="str">
        <v/>
      </c>
      <c r="S153" s="2" t="str">
        <v/>
      </c>
      <c r="T153" s="2">
        <v>1000144</v>
      </c>
      <c r="X153" s="2">
        <v>2</v>
      </c>
      <c r="Y153" s="2">
        <v>2</v>
      </c>
      <c r="Z153" s="2">
        <v>2</v>
      </c>
      <c r="AA153" s="2">
        <v>2</v>
      </c>
      <c r="AB153" s="2">
        <v>17</v>
      </c>
      <c r="AC153" s="2">
        <v>3677</v>
      </c>
      <c r="AD153" s="2" t="str">
        <v/>
      </c>
      <c r="AE153" s="2" t="str">
        <v/>
      </c>
      <c r="AF153" s="2" t="str">
        <v/>
      </c>
      <c r="AN153" s="2">
        <v>2</v>
      </c>
      <c r="AO153" s="2">
        <v>2</v>
      </c>
      <c r="AP153" s="2">
        <v>2</v>
      </c>
      <c r="AQ153" s="2">
        <v>2</v>
      </c>
      <c r="AR153" s="2">
        <v>17</v>
      </c>
      <c r="AS153" s="2">
        <v>3677</v>
      </c>
      <c r="AT153" s="2" t="str">
        <v/>
      </c>
      <c r="AU153" s="2" t="str">
        <v/>
      </c>
      <c r="AV153" s="2" t="str">
        <v/>
      </c>
    </row>
    <row r="154" spans="1:48" x14ac:dyDescent="0.25">
      <c r="A154" s="2">
        <v>1001933</v>
      </c>
      <c r="H154" s="2">
        <f t="shared" si="2"/>
        <v>1000145</v>
      </c>
      <c r="K154" s="2">
        <v>5</v>
      </c>
      <c r="L154" s="2">
        <v>200029</v>
      </c>
      <c r="M154" s="2" t="str">
        <v/>
      </c>
      <c r="N154" s="2" t="str">
        <v/>
      </c>
      <c r="O154" s="2" t="str">
        <v/>
      </c>
      <c r="P154" s="2" t="str">
        <v/>
      </c>
      <c r="Q154" s="2" t="str">
        <v/>
      </c>
      <c r="R154" s="2" t="str">
        <v/>
      </c>
      <c r="S154" s="2" t="str">
        <v/>
      </c>
      <c r="T154" s="2">
        <v>1000145</v>
      </c>
      <c r="X154" s="2">
        <v>5</v>
      </c>
      <c r="Y154" s="2">
        <v>200029</v>
      </c>
      <c r="Z154" s="2" t="str">
        <v/>
      </c>
      <c r="AA154" s="2" t="str">
        <v/>
      </c>
      <c r="AB154" s="2" t="str">
        <v/>
      </c>
      <c r="AC154" s="2" t="str">
        <v/>
      </c>
      <c r="AD154" s="2" t="str">
        <v/>
      </c>
      <c r="AE154" s="2" t="str">
        <v/>
      </c>
      <c r="AF154" s="2" t="str">
        <v/>
      </c>
      <c r="AN154" s="2">
        <v>5</v>
      </c>
      <c r="AO154" s="2">
        <v>200029</v>
      </c>
      <c r="AP154" s="2" t="str">
        <v/>
      </c>
      <c r="AQ154" s="2" t="str">
        <v/>
      </c>
      <c r="AR154" s="2" t="str">
        <v/>
      </c>
      <c r="AS154" s="2" t="str">
        <v/>
      </c>
      <c r="AT154" s="2" t="str">
        <v/>
      </c>
      <c r="AU154" s="2" t="str">
        <v/>
      </c>
      <c r="AV154" s="2" t="str">
        <v/>
      </c>
    </row>
    <row r="155" spans="1:48" x14ac:dyDescent="0.25">
      <c r="A155" s="2">
        <v>1001941</v>
      </c>
      <c r="H155" s="2">
        <f t="shared" si="2"/>
        <v>1000146</v>
      </c>
      <c r="K155" s="2">
        <v>2</v>
      </c>
      <c r="L155" s="2">
        <v>3</v>
      </c>
      <c r="M155" s="2">
        <v>7</v>
      </c>
      <c r="N155" s="2">
        <v>23813</v>
      </c>
      <c r="O155" s="2" t="str">
        <v/>
      </c>
      <c r="P155" s="2" t="str">
        <v/>
      </c>
      <c r="Q155" s="2" t="str">
        <v/>
      </c>
      <c r="R155" s="2" t="str">
        <v/>
      </c>
      <c r="S155" s="2" t="str">
        <v/>
      </c>
      <c r="T155" s="2">
        <v>1000146</v>
      </c>
      <c r="X155" s="2">
        <v>2</v>
      </c>
      <c r="Y155" s="2">
        <v>3</v>
      </c>
      <c r="Z155" s="2">
        <v>7</v>
      </c>
      <c r="AA155" s="2">
        <v>23813</v>
      </c>
      <c r="AB155" s="2" t="str">
        <v/>
      </c>
      <c r="AC155" s="2" t="str">
        <v/>
      </c>
      <c r="AD155" s="2" t="str">
        <v/>
      </c>
      <c r="AE155" s="2" t="str">
        <v/>
      </c>
      <c r="AF155" s="2" t="str">
        <v/>
      </c>
      <c r="AN155" s="2">
        <v>2</v>
      </c>
      <c r="AO155" s="2">
        <v>3</v>
      </c>
      <c r="AP155" s="2">
        <v>7</v>
      </c>
      <c r="AQ155" s="2">
        <v>23813</v>
      </c>
      <c r="AR155" s="2" t="str">
        <v/>
      </c>
      <c r="AS155" s="2" t="str">
        <v/>
      </c>
      <c r="AT155" s="2" t="str">
        <v/>
      </c>
      <c r="AU155" s="2" t="str">
        <v/>
      </c>
      <c r="AV155" s="2" t="str">
        <v/>
      </c>
    </row>
    <row r="156" spans="1:48" x14ac:dyDescent="0.25">
      <c r="A156" s="2">
        <v>1001947</v>
      </c>
      <c r="H156" s="2">
        <f t="shared" si="2"/>
        <v>1000147</v>
      </c>
      <c r="K156" s="2">
        <v>37</v>
      </c>
      <c r="L156" s="2">
        <v>27031</v>
      </c>
      <c r="M156" s="2" t="str">
        <v/>
      </c>
      <c r="N156" s="2" t="str">
        <v/>
      </c>
      <c r="O156" s="2" t="str">
        <v/>
      </c>
      <c r="P156" s="2" t="str">
        <v/>
      </c>
      <c r="Q156" s="2" t="str">
        <v/>
      </c>
      <c r="R156" s="2" t="str">
        <v/>
      </c>
      <c r="S156" s="2" t="str">
        <v/>
      </c>
      <c r="T156" s="2">
        <v>1000147</v>
      </c>
      <c r="X156" s="2">
        <v>37</v>
      </c>
      <c r="Y156" s="2">
        <v>27031</v>
      </c>
      <c r="Z156" s="2" t="str">
        <v/>
      </c>
      <c r="AA156" s="2" t="str">
        <v/>
      </c>
      <c r="AB156" s="2" t="str">
        <v/>
      </c>
      <c r="AC156" s="2" t="str">
        <v/>
      </c>
      <c r="AD156" s="2" t="str">
        <v/>
      </c>
      <c r="AE156" s="2" t="str">
        <v/>
      </c>
      <c r="AF156" s="2" t="str">
        <v/>
      </c>
      <c r="AN156" s="2">
        <v>37</v>
      </c>
      <c r="AO156" s="2">
        <v>27031</v>
      </c>
      <c r="AP156" s="2" t="str">
        <v/>
      </c>
      <c r="AQ156" s="2" t="str">
        <v/>
      </c>
      <c r="AR156" s="2" t="str">
        <v/>
      </c>
      <c r="AS156" s="2" t="str">
        <v/>
      </c>
      <c r="AT156" s="2" t="str">
        <v/>
      </c>
      <c r="AU156" s="2" t="str">
        <v/>
      </c>
      <c r="AV156" s="2" t="str">
        <v/>
      </c>
    </row>
    <row r="157" spans="1:48" x14ac:dyDescent="0.25">
      <c r="A157" s="2">
        <v>1001953</v>
      </c>
      <c r="H157" s="2">
        <f t="shared" si="2"/>
        <v>1000148</v>
      </c>
      <c r="K157" s="2">
        <v>2</v>
      </c>
      <c r="L157" s="2">
        <v>2</v>
      </c>
      <c r="M157" s="2">
        <v>250037</v>
      </c>
      <c r="N157" s="2" t="str">
        <v/>
      </c>
      <c r="O157" s="2" t="str">
        <v/>
      </c>
      <c r="P157" s="2" t="str">
        <v/>
      </c>
      <c r="Q157" s="2" t="str">
        <v/>
      </c>
      <c r="R157" s="2" t="str">
        <v/>
      </c>
      <c r="S157" s="2" t="str">
        <v/>
      </c>
      <c r="T157" s="2">
        <v>1000148</v>
      </c>
      <c r="X157" s="2">
        <v>2</v>
      </c>
      <c r="Y157" s="2">
        <v>2</v>
      </c>
      <c r="Z157" s="2">
        <v>250037</v>
      </c>
      <c r="AA157" s="2" t="str">
        <v/>
      </c>
      <c r="AB157" s="2" t="str">
        <v/>
      </c>
      <c r="AC157" s="2" t="str">
        <v/>
      </c>
      <c r="AD157" s="2" t="str">
        <v/>
      </c>
      <c r="AE157" s="2" t="str">
        <v/>
      </c>
      <c r="AF157" s="2" t="str">
        <v/>
      </c>
      <c r="AN157" s="2">
        <v>2</v>
      </c>
      <c r="AO157" s="2">
        <v>2</v>
      </c>
      <c r="AP157" s="2">
        <v>250037</v>
      </c>
      <c r="AQ157" s="2" t="str">
        <v/>
      </c>
      <c r="AR157" s="2" t="str">
        <v/>
      </c>
      <c r="AS157" s="2" t="str">
        <v/>
      </c>
      <c r="AT157" s="2" t="str">
        <v/>
      </c>
      <c r="AU157" s="2" t="str">
        <v/>
      </c>
      <c r="AV157" s="2" t="str">
        <v/>
      </c>
    </row>
    <row r="158" spans="1:48" x14ac:dyDescent="0.25">
      <c r="A158" s="2">
        <v>1001977</v>
      </c>
      <c r="H158" s="2">
        <f t="shared" si="2"/>
        <v>1000149</v>
      </c>
      <c r="K158" s="2">
        <v>3</v>
      </c>
      <c r="L158" s="2">
        <v>333383</v>
      </c>
      <c r="M158" s="2" t="str">
        <v/>
      </c>
      <c r="N158" s="2" t="str">
        <v/>
      </c>
      <c r="O158" s="2" t="str">
        <v/>
      </c>
      <c r="P158" s="2" t="str">
        <v/>
      </c>
      <c r="Q158" s="2" t="str">
        <v/>
      </c>
      <c r="R158" s="2" t="str">
        <v/>
      </c>
      <c r="S158" s="2" t="str">
        <v/>
      </c>
      <c r="T158" s="2">
        <v>1000149</v>
      </c>
      <c r="X158" s="2">
        <v>3</v>
      </c>
      <c r="Y158" s="2">
        <v>333383</v>
      </c>
      <c r="Z158" s="2" t="str">
        <v/>
      </c>
      <c r="AA158" s="2" t="str">
        <v/>
      </c>
      <c r="AB158" s="2" t="str">
        <v/>
      </c>
      <c r="AC158" s="2" t="str">
        <v/>
      </c>
      <c r="AD158" s="2" t="str">
        <v/>
      </c>
      <c r="AE158" s="2" t="str">
        <v/>
      </c>
      <c r="AF158" s="2" t="str">
        <v/>
      </c>
      <c r="AN158" s="2">
        <v>3</v>
      </c>
      <c r="AO158" s="2">
        <v>333383</v>
      </c>
      <c r="AP158" s="2" t="str">
        <v/>
      </c>
      <c r="AQ158" s="2" t="str">
        <v/>
      </c>
      <c r="AR158" s="2" t="str">
        <v/>
      </c>
      <c r="AS158" s="2" t="str">
        <v/>
      </c>
      <c r="AT158" s="2" t="str">
        <v/>
      </c>
      <c r="AU158" s="2" t="str">
        <v/>
      </c>
      <c r="AV158" s="2" t="str">
        <v/>
      </c>
    </row>
    <row r="159" spans="1:48" x14ac:dyDescent="0.25">
      <c r="A159" s="2">
        <v>1001981</v>
      </c>
      <c r="H159" s="2">
        <f t="shared" si="2"/>
        <v>1000150</v>
      </c>
      <c r="K159" s="2">
        <v>2</v>
      </c>
      <c r="L159" s="2">
        <v>5</v>
      </c>
      <c r="M159" s="2">
        <v>5</v>
      </c>
      <c r="N159" s="2">
        <v>83</v>
      </c>
      <c r="O159" s="2">
        <v>241</v>
      </c>
      <c r="P159" s="2" t="str">
        <v/>
      </c>
      <c r="Q159" s="2" t="str">
        <v/>
      </c>
      <c r="R159" s="2" t="str">
        <v/>
      </c>
      <c r="S159" s="2" t="str">
        <v/>
      </c>
      <c r="T159" s="2">
        <v>1000150</v>
      </c>
      <c r="X159" s="2">
        <v>2</v>
      </c>
      <c r="Y159" s="2">
        <v>5</v>
      </c>
      <c r="Z159" s="2">
        <v>5</v>
      </c>
      <c r="AA159" s="2">
        <v>83</v>
      </c>
      <c r="AB159" s="2">
        <v>241</v>
      </c>
      <c r="AC159" s="2" t="str">
        <v/>
      </c>
      <c r="AD159" s="2" t="str">
        <v/>
      </c>
      <c r="AE159" s="2" t="str">
        <v/>
      </c>
      <c r="AF159" s="2" t="str">
        <v/>
      </c>
      <c r="AN159" s="2">
        <v>2</v>
      </c>
      <c r="AO159" s="2">
        <v>5</v>
      </c>
      <c r="AP159" s="2">
        <v>5</v>
      </c>
      <c r="AQ159" s="2">
        <v>83</v>
      </c>
      <c r="AR159" s="2">
        <v>241</v>
      </c>
      <c r="AS159" s="2" t="str">
        <v/>
      </c>
      <c r="AT159" s="2" t="str">
        <v/>
      </c>
      <c r="AU159" s="2" t="str">
        <v/>
      </c>
      <c r="AV159" s="2" t="str">
        <v/>
      </c>
    </row>
    <row r="160" spans="1:48" x14ac:dyDescent="0.25">
      <c r="A160" s="2">
        <v>1001983</v>
      </c>
      <c r="H160" s="2">
        <f t="shared" si="2"/>
        <v>1000151</v>
      </c>
      <c r="K160" s="2">
        <v>1000151</v>
      </c>
      <c r="L160" s="2" t="str">
        <v/>
      </c>
      <c r="M160" s="2" t="str">
        <v/>
      </c>
      <c r="N160" s="2" t="str">
        <v/>
      </c>
      <c r="O160" s="2" t="str">
        <v/>
      </c>
      <c r="P160" s="2" t="str">
        <v/>
      </c>
      <c r="Q160" s="2" t="str">
        <v/>
      </c>
      <c r="R160" s="2" t="str">
        <v/>
      </c>
      <c r="S160" s="2" t="str">
        <v/>
      </c>
      <c r="T160" s="2">
        <v>1000151</v>
      </c>
      <c r="X160" s="2">
        <v>1000151</v>
      </c>
      <c r="Y160" s="2" t="str">
        <v/>
      </c>
      <c r="Z160" s="2" t="str">
        <v/>
      </c>
      <c r="AA160" s="2" t="str">
        <v/>
      </c>
      <c r="AB160" s="2" t="str">
        <v/>
      </c>
      <c r="AC160" s="2" t="str">
        <v/>
      </c>
      <c r="AD160" s="2" t="str">
        <v/>
      </c>
      <c r="AE160" s="2" t="str">
        <v/>
      </c>
      <c r="AF160" s="2" t="str">
        <v/>
      </c>
      <c r="AN160" s="2">
        <v>1000151</v>
      </c>
      <c r="AO160" s="2" t="str">
        <v/>
      </c>
      <c r="AP160" s="2" t="str">
        <v/>
      </c>
      <c r="AQ160" s="2" t="str">
        <v/>
      </c>
      <c r="AR160" s="2" t="str">
        <v/>
      </c>
      <c r="AS160" s="2" t="str">
        <v/>
      </c>
      <c r="AT160" s="2" t="str">
        <v/>
      </c>
      <c r="AU160" s="2" t="str">
        <v/>
      </c>
      <c r="AV160" s="2" t="str">
        <v/>
      </c>
    </row>
    <row r="161" spans="1:48" x14ac:dyDescent="0.25">
      <c r="A161" s="2">
        <v>1001989</v>
      </c>
      <c r="H161" s="2">
        <f t="shared" si="2"/>
        <v>1000152</v>
      </c>
      <c r="K161" s="2">
        <v>2</v>
      </c>
      <c r="L161" s="2">
        <v>2</v>
      </c>
      <c r="M161" s="2">
        <v>2</v>
      </c>
      <c r="N161" s="2">
        <v>3</v>
      </c>
      <c r="O161" s="2">
        <v>3</v>
      </c>
      <c r="P161" s="2">
        <v>29</v>
      </c>
      <c r="Q161" s="2">
        <v>479</v>
      </c>
      <c r="R161" s="2" t="str">
        <v/>
      </c>
      <c r="S161" s="2" t="str">
        <v/>
      </c>
      <c r="T161" s="2">
        <v>1000152</v>
      </c>
      <c r="X161" s="2">
        <v>2</v>
      </c>
      <c r="Y161" s="2">
        <v>2</v>
      </c>
      <c r="Z161" s="2">
        <v>2</v>
      </c>
      <c r="AA161" s="2">
        <v>3</v>
      </c>
      <c r="AB161" s="2">
        <v>3</v>
      </c>
      <c r="AC161" s="2">
        <v>29</v>
      </c>
      <c r="AD161" s="2">
        <v>479</v>
      </c>
      <c r="AE161" s="2" t="str">
        <v/>
      </c>
      <c r="AF161" s="2" t="str">
        <v/>
      </c>
      <c r="AN161" s="2">
        <v>2</v>
      </c>
      <c r="AO161" s="2">
        <v>2</v>
      </c>
      <c r="AP161" s="2">
        <v>2</v>
      </c>
      <c r="AQ161" s="2">
        <v>3</v>
      </c>
      <c r="AR161" s="2">
        <v>3</v>
      </c>
      <c r="AS161" s="2">
        <v>29</v>
      </c>
      <c r="AT161" s="2">
        <v>479</v>
      </c>
      <c r="AU161" s="2" t="str">
        <v/>
      </c>
      <c r="AV161" s="2" t="str">
        <v/>
      </c>
    </row>
    <row r="162" spans="1:48" x14ac:dyDescent="0.25">
      <c r="A162" s="2">
        <v>1002017</v>
      </c>
      <c r="H162" s="2">
        <f t="shared" si="2"/>
        <v>1000153</v>
      </c>
      <c r="K162" s="2">
        <v>7</v>
      </c>
      <c r="L162" s="2">
        <v>11</v>
      </c>
      <c r="M162" s="2">
        <v>31</v>
      </c>
      <c r="N162" s="2">
        <v>419</v>
      </c>
      <c r="O162" s="2" t="str">
        <v/>
      </c>
      <c r="P162" s="2" t="str">
        <v/>
      </c>
      <c r="Q162" s="2" t="str">
        <v/>
      </c>
      <c r="R162" s="2" t="str">
        <v/>
      </c>
      <c r="S162" s="2" t="str">
        <v/>
      </c>
      <c r="T162" s="2">
        <v>1000153</v>
      </c>
      <c r="X162" s="2">
        <v>7</v>
      </c>
      <c r="Y162" s="2">
        <v>11</v>
      </c>
      <c r="Z162" s="2">
        <v>31</v>
      </c>
      <c r="AA162" s="2">
        <v>419</v>
      </c>
      <c r="AB162" s="2" t="str">
        <v/>
      </c>
      <c r="AC162" s="2" t="str">
        <v/>
      </c>
      <c r="AD162" s="2" t="str">
        <v/>
      </c>
      <c r="AE162" s="2" t="str">
        <v/>
      </c>
      <c r="AF162" s="2" t="str">
        <v/>
      </c>
      <c r="AN162" s="2">
        <v>7</v>
      </c>
      <c r="AO162" s="2">
        <v>11</v>
      </c>
      <c r="AP162" s="2">
        <v>31</v>
      </c>
      <c r="AQ162" s="2">
        <v>419</v>
      </c>
      <c r="AR162" s="2" t="str">
        <v/>
      </c>
      <c r="AS162" s="2" t="str">
        <v/>
      </c>
      <c r="AT162" s="2" t="str">
        <v/>
      </c>
      <c r="AU162" s="2" t="str">
        <v/>
      </c>
      <c r="AV162" s="2" t="str">
        <v/>
      </c>
    </row>
    <row r="163" spans="1:48" x14ac:dyDescent="0.25">
      <c r="A163" s="2">
        <v>1002049</v>
      </c>
      <c r="H163" s="2">
        <f t="shared" si="2"/>
        <v>1000154</v>
      </c>
      <c r="K163" s="2">
        <v>2</v>
      </c>
      <c r="L163" s="2">
        <v>41</v>
      </c>
      <c r="M163" s="2">
        <v>12197</v>
      </c>
      <c r="N163" s="2" t="str">
        <v/>
      </c>
      <c r="O163" s="2" t="str">
        <v/>
      </c>
      <c r="P163" s="2" t="str">
        <v/>
      </c>
      <c r="Q163" s="2" t="str">
        <v/>
      </c>
      <c r="R163" s="2" t="str">
        <v/>
      </c>
      <c r="S163" s="2" t="str">
        <v/>
      </c>
      <c r="T163" s="2">
        <v>1000154</v>
      </c>
      <c r="X163" s="2">
        <v>2</v>
      </c>
      <c r="Y163" s="2">
        <v>41</v>
      </c>
      <c r="Z163" s="2">
        <v>12197</v>
      </c>
      <c r="AA163" s="2" t="str">
        <v/>
      </c>
      <c r="AB163" s="2" t="str">
        <v/>
      </c>
      <c r="AC163" s="2" t="str">
        <v/>
      </c>
      <c r="AD163" s="2" t="str">
        <v/>
      </c>
      <c r="AE163" s="2" t="str">
        <v/>
      </c>
      <c r="AF163" s="2" t="str">
        <v/>
      </c>
      <c r="AN163" s="2">
        <v>2</v>
      </c>
      <c r="AO163" s="2">
        <v>41</v>
      </c>
      <c r="AP163" s="2">
        <v>12197</v>
      </c>
      <c r="AQ163" s="2" t="str">
        <v/>
      </c>
      <c r="AR163" s="2" t="str">
        <v/>
      </c>
      <c r="AS163" s="2" t="str">
        <v/>
      </c>
      <c r="AT163" s="2" t="str">
        <v/>
      </c>
      <c r="AU163" s="2" t="str">
        <v/>
      </c>
      <c r="AV163" s="2" t="str">
        <v/>
      </c>
    </row>
    <row r="164" spans="1:48" x14ac:dyDescent="0.25">
      <c r="A164" s="2">
        <v>1002061</v>
      </c>
      <c r="H164" s="2">
        <f t="shared" si="2"/>
        <v>1000155</v>
      </c>
      <c r="K164" s="2">
        <v>3</v>
      </c>
      <c r="L164" s="2">
        <v>5</v>
      </c>
      <c r="M164" s="2">
        <v>13</v>
      </c>
      <c r="N164" s="2">
        <v>23</v>
      </c>
      <c r="O164" s="2">
        <v>223</v>
      </c>
      <c r="P164" s="2" t="str">
        <v/>
      </c>
      <c r="Q164" s="2" t="str">
        <v/>
      </c>
      <c r="R164" s="2" t="str">
        <v/>
      </c>
      <c r="S164" s="2" t="str">
        <v/>
      </c>
      <c r="T164" s="2">
        <v>1000155</v>
      </c>
      <c r="X164" s="2">
        <v>3</v>
      </c>
      <c r="Y164" s="2">
        <v>5</v>
      </c>
      <c r="Z164" s="2">
        <v>13</v>
      </c>
      <c r="AA164" s="2">
        <v>23</v>
      </c>
      <c r="AB164" s="2">
        <v>223</v>
      </c>
      <c r="AC164" s="2" t="str">
        <v/>
      </c>
      <c r="AD164" s="2" t="str">
        <v/>
      </c>
      <c r="AE164" s="2" t="str">
        <v/>
      </c>
      <c r="AF164" s="2" t="str">
        <v/>
      </c>
      <c r="AN164" s="2">
        <v>3</v>
      </c>
      <c r="AO164" s="2">
        <v>5</v>
      </c>
      <c r="AP164" s="2">
        <v>13</v>
      </c>
      <c r="AQ164" s="2">
        <v>23</v>
      </c>
      <c r="AR164" s="2">
        <v>223</v>
      </c>
      <c r="AS164" s="2" t="str">
        <v/>
      </c>
      <c r="AT164" s="2" t="str">
        <v/>
      </c>
      <c r="AU164" s="2" t="str">
        <v/>
      </c>
      <c r="AV164" s="2" t="str">
        <v/>
      </c>
    </row>
    <row r="165" spans="1:48" x14ac:dyDescent="0.25">
      <c r="A165" s="2">
        <v>1002073</v>
      </c>
      <c r="H165" s="2">
        <f t="shared" si="2"/>
        <v>1000156</v>
      </c>
      <c r="K165" s="2">
        <v>2</v>
      </c>
      <c r="L165" s="2">
        <v>2</v>
      </c>
      <c r="M165" s="2">
        <v>61</v>
      </c>
      <c r="N165" s="2">
        <v>4099</v>
      </c>
      <c r="O165" s="2" t="str">
        <v/>
      </c>
      <c r="P165" s="2" t="str">
        <v/>
      </c>
      <c r="Q165" s="2" t="str">
        <v/>
      </c>
      <c r="R165" s="2" t="str">
        <v/>
      </c>
      <c r="S165" s="2" t="str">
        <v/>
      </c>
      <c r="T165" s="2">
        <v>1000156</v>
      </c>
      <c r="X165" s="2">
        <v>2</v>
      </c>
      <c r="Y165" s="2">
        <v>2</v>
      </c>
      <c r="Z165" s="2">
        <v>61</v>
      </c>
      <c r="AA165" s="2">
        <v>4099</v>
      </c>
      <c r="AB165" s="2" t="str">
        <v/>
      </c>
      <c r="AC165" s="2" t="str">
        <v/>
      </c>
      <c r="AD165" s="2" t="str">
        <v/>
      </c>
      <c r="AE165" s="2" t="str">
        <v/>
      </c>
      <c r="AF165" s="2" t="str">
        <v/>
      </c>
      <c r="AN165" s="2">
        <v>2</v>
      </c>
      <c r="AO165" s="2">
        <v>2</v>
      </c>
      <c r="AP165" s="2">
        <v>61</v>
      </c>
      <c r="AQ165" s="2">
        <v>4099</v>
      </c>
      <c r="AR165" s="2" t="str">
        <v/>
      </c>
      <c r="AS165" s="2" t="str">
        <v/>
      </c>
      <c r="AT165" s="2" t="str">
        <v/>
      </c>
      <c r="AU165" s="2" t="str">
        <v/>
      </c>
      <c r="AV165" s="2" t="str">
        <v/>
      </c>
    </row>
    <row r="166" spans="1:48" x14ac:dyDescent="0.25">
      <c r="A166" s="2">
        <v>1002077</v>
      </c>
      <c r="H166" s="2">
        <f t="shared" si="2"/>
        <v>1000157</v>
      </c>
      <c r="K166" s="2">
        <v>617</v>
      </c>
      <c r="L166" s="2">
        <v>1621</v>
      </c>
      <c r="M166" s="2" t="str">
        <v/>
      </c>
      <c r="N166" s="2" t="str">
        <v/>
      </c>
      <c r="O166" s="2" t="str">
        <v/>
      </c>
      <c r="P166" s="2" t="str">
        <v/>
      </c>
      <c r="Q166" s="2" t="str">
        <v/>
      </c>
      <c r="R166" s="2" t="str">
        <v/>
      </c>
      <c r="S166" s="2" t="str">
        <v/>
      </c>
      <c r="T166" s="2">
        <v>1000157</v>
      </c>
      <c r="X166" s="2">
        <v>617</v>
      </c>
      <c r="Y166" s="2">
        <v>1621</v>
      </c>
      <c r="Z166" s="2" t="str">
        <v/>
      </c>
      <c r="AA166" s="2" t="str">
        <v/>
      </c>
      <c r="AB166" s="2" t="str">
        <v/>
      </c>
      <c r="AC166" s="2" t="str">
        <v/>
      </c>
      <c r="AD166" s="2" t="str">
        <v/>
      </c>
      <c r="AE166" s="2" t="str">
        <v/>
      </c>
      <c r="AF166" s="2" t="str">
        <v/>
      </c>
      <c r="AN166" s="2">
        <v>617</v>
      </c>
      <c r="AO166" s="2">
        <v>1621</v>
      </c>
      <c r="AP166" s="2" t="str">
        <v/>
      </c>
      <c r="AQ166" s="2" t="str">
        <v/>
      </c>
      <c r="AR166" s="2" t="str">
        <v/>
      </c>
      <c r="AS166" s="2" t="str">
        <v/>
      </c>
      <c r="AT166" s="2" t="str">
        <v/>
      </c>
      <c r="AU166" s="2" t="str">
        <v/>
      </c>
      <c r="AV166" s="2" t="str">
        <v/>
      </c>
    </row>
    <row r="167" spans="1:48" x14ac:dyDescent="0.25">
      <c r="A167" s="2">
        <v>1002083</v>
      </c>
      <c r="H167" s="2">
        <f t="shared" si="2"/>
        <v>1000158</v>
      </c>
      <c r="K167" s="2">
        <v>2</v>
      </c>
      <c r="L167" s="2">
        <v>3</v>
      </c>
      <c r="M167" s="2">
        <v>166693</v>
      </c>
      <c r="N167" s="2" t="str">
        <v/>
      </c>
      <c r="O167" s="2" t="str">
        <v/>
      </c>
      <c r="P167" s="2" t="str">
        <v/>
      </c>
      <c r="Q167" s="2" t="str">
        <v/>
      </c>
      <c r="R167" s="2" t="str">
        <v/>
      </c>
      <c r="S167" s="2" t="str">
        <v/>
      </c>
      <c r="T167" s="2">
        <v>1000158</v>
      </c>
      <c r="X167" s="2">
        <v>2</v>
      </c>
      <c r="Y167" s="2">
        <v>3</v>
      </c>
      <c r="Z167" s="2">
        <v>166693</v>
      </c>
      <c r="AA167" s="2" t="str">
        <v/>
      </c>
      <c r="AB167" s="2" t="str">
        <v/>
      </c>
      <c r="AC167" s="2" t="str">
        <v/>
      </c>
      <c r="AD167" s="2" t="str">
        <v/>
      </c>
      <c r="AE167" s="2" t="str">
        <v/>
      </c>
      <c r="AF167" s="2" t="str">
        <v/>
      </c>
      <c r="AN167" s="2">
        <v>2</v>
      </c>
      <c r="AO167" s="2">
        <v>3</v>
      </c>
      <c r="AP167" s="2">
        <v>166693</v>
      </c>
      <c r="AQ167" s="2" t="str">
        <v/>
      </c>
      <c r="AR167" s="2" t="str">
        <v/>
      </c>
      <c r="AS167" s="2" t="str">
        <v/>
      </c>
      <c r="AT167" s="2" t="str">
        <v/>
      </c>
      <c r="AU167" s="2" t="str">
        <v/>
      </c>
      <c r="AV167" s="2" t="str">
        <v/>
      </c>
    </row>
    <row r="168" spans="1:48" x14ac:dyDescent="0.25">
      <c r="A168" s="2">
        <v>1002091</v>
      </c>
      <c r="H168" s="2">
        <f t="shared" si="2"/>
        <v>1000159</v>
      </c>
      <c r="K168" s="2">
        <v>1000159</v>
      </c>
      <c r="L168" s="2" t="str">
        <v/>
      </c>
      <c r="M168" s="2" t="str">
        <v/>
      </c>
      <c r="N168" s="2" t="str">
        <v/>
      </c>
      <c r="O168" s="2" t="str">
        <v/>
      </c>
      <c r="P168" s="2" t="str">
        <v/>
      </c>
      <c r="Q168" s="2" t="str">
        <v/>
      </c>
      <c r="R168" s="2" t="str">
        <v/>
      </c>
      <c r="S168" s="2" t="str">
        <v/>
      </c>
      <c r="T168" s="2">
        <v>1000159</v>
      </c>
      <c r="X168" s="2">
        <v>1000159</v>
      </c>
      <c r="Y168" s="2" t="str">
        <v/>
      </c>
      <c r="Z168" s="2" t="str">
        <v/>
      </c>
      <c r="AA168" s="2" t="str">
        <v/>
      </c>
      <c r="AB168" s="2" t="str">
        <v/>
      </c>
      <c r="AC168" s="2" t="str">
        <v/>
      </c>
      <c r="AD168" s="2" t="str">
        <v/>
      </c>
      <c r="AE168" s="2" t="str">
        <v/>
      </c>
      <c r="AF168" s="2" t="str">
        <v/>
      </c>
      <c r="AN168" s="2">
        <v>1000159</v>
      </c>
      <c r="AO168" s="2" t="str">
        <v/>
      </c>
      <c r="AP168" s="2" t="str">
        <v/>
      </c>
      <c r="AQ168" s="2" t="str">
        <v/>
      </c>
      <c r="AR168" s="2" t="str">
        <v/>
      </c>
      <c r="AS168" s="2" t="str">
        <v/>
      </c>
      <c r="AT168" s="2" t="str">
        <v/>
      </c>
      <c r="AU168" s="2" t="str">
        <v/>
      </c>
      <c r="AV168" s="2" t="str">
        <v/>
      </c>
    </row>
    <row r="169" spans="1:48" x14ac:dyDescent="0.25">
      <c r="A169" s="2">
        <v>1002101</v>
      </c>
      <c r="H169" s="2">
        <f t="shared" si="2"/>
        <v>1000160</v>
      </c>
      <c r="K169" s="2">
        <v>2</v>
      </c>
      <c r="L169" s="2">
        <v>2</v>
      </c>
      <c r="M169" s="2">
        <v>2</v>
      </c>
      <c r="N169" s="2">
        <v>2</v>
      </c>
      <c r="O169" s="2">
        <v>2</v>
      </c>
      <c r="P169" s="2">
        <v>5</v>
      </c>
      <c r="Q169" s="2">
        <v>7</v>
      </c>
      <c r="R169" s="2">
        <v>19</v>
      </c>
      <c r="S169" s="2">
        <v>47</v>
      </c>
      <c r="T169" s="2">
        <v>1000160</v>
      </c>
      <c r="X169" s="2">
        <v>2</v>
      </c>
      <c r="Y169" s="2">
        <v>2</v>
      </c>
      <c r="Z169" s="2">
        <v>2</v>
      </c>
      <c r="AA169" s="2">
        <v>2</v>
      </c>
      <c r="AB169" s="2">
        <v>2</v>
      </c>
      <c r="AC169" s="2">
        <v>5</v>
      </c>
      <c r="AD169" s="2">
        <v>7</v>
      </c>
      <c r="AE169" s="2">
        <v>19</v>
      </c>
      <c r="AF169" s="2">
        <v>47</v>
      </c>
      <c r="AN169" s="2">
        <v>2</v>
      </c>
      <c r="AO169" s="2">
        <v>2</v>
      </c>
      <c r="AP169" s="2">
        <v>2</v>
      </c>
      <c r="AQ169" s="2">
        <v>2</v>
      </c>
      <c r="AR169" s="2">
        <v>2</v>
      </c>
      <c r="AS169" s="2">
        <v>5</v>
      </c>
      <c r="AT169" s="2">
        <v>7</v>
      </c>
      <c r="AU169" s="2">
        <v>19</v>
      </c>
      <c r="AV169" s="2">
        <v>47</v>
      </c>
    </row>
    <row r="170" spans="1:48" x14ac:dyDescent="0.25">
      <c r="A170" s="2">
        <v>1002109</v>
      </c>
      <c r="H170" s="2">
        <f t="shared" si="2"/>
        <v>1000161</v>
      </c>
      <c r="K170" s="2">
        <v>3</v>
      </c>
      <c r="L170" s="2">
        <v>3</v>
      </c>
      <c r="M170" s="2">
        <v>3</v>
      </c>
      <c r="N170" s="2">
        <v>17</v>
      </c>
      <c r="O170" s="2">
        <v>2179</v>
      </c>
      <c r="P170" s="2" t="str">
        <v/>
      </c>
      <c r="Q170" s="2" t="str">
        <v/>
      </c>
      <c r="R170" s="2" t="str">
        <v/>
      </c>
      <c r="S170" s="2" t="str">
        <v/>
      </c>
      <c r="T170" s="2">
        <v>1000161</v>
      </c>
      <c r="X170" s="2">
        <v>3</v>
      </c>
      <c r="Y170" s="2">
        <v>3</v>
      </c>
      <c r="Z170" s="2">
        <v>3</v>
      </c>
      <c r="AA170" s="2">
        <v>17</v>
      </c>
      <c r="AB170" s="2">
        <v>2179</v>
      </c>
      <c r="AC170" s="2" t="str">
        <v/>
      </c>
      <c r="AD170" s="2" t="str">
        <v/>
      </c>
      <c r="AE170" s="2" t="str">
        <v/>
      </c>
      <c r="AF170" s="2" t="str">
        <v/>
      </c>
      <c r="AN170" s="2">
        <v>3</v>
      </c>
      <c r="AO170" s="2">
        <v>3</v>
      </c>
      <c r="AP170" s="2">
        <v>3</v>
      </c>
      <c r="AQ170" s="2">
        <v>17</v>
      </c>
      <c r="AR170" s="2">
        <v>2179</v>
      </c>
      <c r="AS170" s="2" t="str">
        <v/>
      </c>
      <c r="AT170" s="2" t="str">
        <v/>
      </c>
      <c r="AU170" s="2" t="str">
        <v/>
      </c>
      <c r="AV170" s="2" t="str">
        <v/>
      </c>
    </row>
    <row r="171" spans="1:48" x14ac:dyDescent="0.25">
      <c r="A171" s="2">
        <v>1002121</v>
      </c>
      <c r="H171" s="2">
        <f t="shared" si="2"/>
        <v>1000162</v>
      </c>
      <c r="K171" s="2">
        <v>2</v>
      </c>
      <c r="L171" s="2">
        <v>227</v>
      </c>
      <c r="M171" s="2">
        <v>2203</v>
      </c>
      <c r="N171" s="2" t="str">
        <v/>
      </c>
      <c r="O171" s="2" t="str">
        <v/>
      </c>
      <c r="P171" s="2" t="str">
        <v/>
      </c>
      <c r="Q171" s="2" t="str">
        <v/>
      </c>
      <c r="R171" s="2" t="str">
        <v/>
      </c>
      <c r="S171" s="2" t="str">
        <v/>
      </c>
      <c r="T171" s="2">
        <v>1000162</v>
      </c>
      <c r="X171" s="2">
        <v>2</v>
      </c>
      <c r="Y171" s="2">
        <v>227</v>
      </c>
      <c r="Z171" s="2">
        <v>2203</v>
      </c>
      <c r="AA171" s="2" t="str">
        <v/>
      </c>
      <c r="AB171" s="2" t="str">
        <v/>
      </c>
      <c r="AC171" s="2" t="str">
        <v/>
      </c>
      <c r="AD171" s="2" t="str">
        <v/>
      </c>
      <c r="AE171" s="2" t="str">
        <v/>
      </c>
      <c r="AF171" s="2" t="str">
        <v/>
      </c>
      <c r="AN171" s="2">
        <v>2</v>
      </c>
      <c r="AO171" s="2">
        <v>227</v>
      </c>
      <c r="AP171" s="2">
        <v>2203</v>
      </c>
      <c r="AQ171" s="2" t="str">
        <v/>
      </c>
      <c r="AR171" s="2" t="str">
        <v/>
      </c>
      <c r="AS171" s="2" t="str">
        <v/>
      </c>
      <c r="AT171" s="2" t="str">
        <v/>
      </c>
      <c r="AU171" s="2" t="str">
        <v/>
      </c>
      <c r="AV171" s="2" t="str">
        <v/>
      </c>
    </row>
    <row r="172" spans="1:48" x14ac:dyDescent="0.25">
      <c r="A172" s="2">
        <v>1002143</v>
      </c>
      <c r="H172" s="2">
        <f t="shared" si="2"/>
        <v>1000163</v>
      </c>
      <c r="K172" s="2">
        <v>53</v>
      </c>
      <c r="L172" s="2">
        <v>113</v>
      </c>
      <c r="M172" s="2">
        <v>167</v>
      </c>
      <c r="N172" s="2" t="str">
        <v/>
      </c>
      <c r="O172" s="2" t="str">
        <v/>
      </c>
      <c r="P172" s="2" t="str">
        <v/>
      </c>
      <c r="Q172" s="2" t="str">
        <v/>
      </c>
      <c r="R172" s="2" t="str">
        <v/>
      </c>
      <c r="S172" s="2" t="str">
        <v/>
      </c>
      <c r="T172" s="2">
        <v>1000163</v>
      </c>
      <c r="X172" s="2">
        <v>53</v>
      </c>
      <c r="Y172" s="2">
        <v>113</v>
      </c>
      <c r="Z172" s="2">
        <v>167</v>
      </c>
      <c r="AA172" s="2" t="str">
        <v/>
      </c>
      <c r="AB172" s="2" t="str">
        <v/>
      </c>
      <c r="AC172" s="2" t="str">
        <v/>
      </c>
      <c r="AD172" s="2" t="str">
        <v/>
      </c>
      <c r="AE172" s="2" t="str">
        <v/>
      </c>
      <c r="AF172" s="2" t="str">
        <v/>
      </c>
      <c r="AN172" s="2">
        <v>53</v>
      </c>
      <c r="AO172" s="2">
        <v>113</v>
      </c>
      <c r="AP172" s="2">
        <v>167</v>
      </c>
      <c r="AQ172" s="2" t="str">
        <v/>
      </c>
      <c r="AR172" s="2" t="str">
        <v/>
      </c>
      <c r="AS172" s="2" t="str">
        <v/>
      </c>
      <c r="AT172" s="2" t="str">
        <v/>
      </c>
      <c r="AU172" s="2" t="str">
        <v/>
      </c>
      <c r="AV172" s="2" t="str">
        <v/>
      </c>
    </row>
    <row r="173" spans="1:48" x14ac:dyDescent="0.25">
      <c r="A173" s="2">
        <v>1002149</v>
      </c>
      <c r="H173" s="2">
        <f t="shared" si="2"/>
        <v>1000164</v>
      </c>
      <c r="K173" s="2">
        <v>2</v>
      </c>
      <c r="L173" s="2">
        <v>2</v>
      </c>
      <c r="M173" s="2">
        <v>3</v>
      </c>
      <c r="N173" s="2">
        <v>11</v>
      </c>
      <c r="O173" s="2">
        <v>7577</v>
      </c>
      <c r="P173" s="2" t="str">
        <v/>
      </c>
      <c r="Q173" s="2" t="str">
        <v/>
      </c>
      <c r="R173" s="2" t="str">
        <v/>
      </c>
      <c r="S173" s="2" t="str">
        <v/>
      </c>
      <c r="T173" s="2">
        <v>1000164</v>
      </c>
      <c r="X173" s="2">
        <v>2</v>
      </c>
      <c r="Y173" s="2">
        <v>2</v>
      </c>
      <c r="Z173" s="2">
        <v>3</v>
      </c>
      <c r="AA173" s="2">
        <v>11</v>
      </c>
      <c r="AB173" s="2">
        <v>7577</v>
      </c>
      <c r="AC173" s="2" t="str">
        <v/>
      </c>
      <c r="AD173" s="2" t="str">
        <v/>
      </c>
      <c r="AE173" s="2" t="str">
        <v/>
      </c>
      <c r="AF173" s="2" t="str">
        <v/>
      </c>
      <c r="AN173" s="2">
        <v>2</v>
      </c>
      <c r="AO173" s="2">
        <v>2</v>
      </c>
      <c r="AP173" s="2">
        <v>3</v>
      </c>
      <c r="AQ173" s="2">
        <v>11</v>
      </c>
      <c r="AR173" s="2">
        <v>7577</v>
      </c>
      <c r="AS173" s="2" t="str">
        <v/>
      </c>
      <c r="AT173" s="2" t="str">
        <v/>
      </c>
      <c r="AU173" s="2" t="str">
        <v/>
      </c>
      <c r="AV173" s="2" t="str">
        <v/>
      </c>
    </row>
    <row r="174" spans="1:48" x14ac:dyDescent="0.25">
      <c r="A174" s="2">
        <v>1002151</v>
      </c>
      <c r="H174" s="2">
        <f t="shared" si="2"/>
        <v>1000165</v>
      </c>
      <c r="K174" s="2">
        <v>5</v>
      </c>
      <c r="L174" s="2">
        <v>200033</v>
      </c>
      <c r="M174" s="2" t="str">
        <v/>
      </c>
      <c r="N174" s="2" t="str">
        <v/>
      </c>
      <c r="O174" s="2" t="str">
        <v/>
      </c>
      <c r="P174" s="2" t="str">
        <v/>
      </c>
      <c r="Q174" s="2" t="str">
        <v/>
      </c>
      <c r="R174" s="2" t="str">
        <v/>
      </c>
      <c r="S174" s="2" t="str">
        <v/>
      </c>
      <c r="T174" s="2">
        <v>1000165</v>
      </c>
      <c r="X174" s="2">
        <v>5</v>
      </c>
      <c r="Y174" s="2">
        <v>200033</v>
      </c>
      <c r="Z174" s="2" t="str">
        <v/>
      </c>
      <c r="AA174" s="2" t="str">
        <v/>
      </c>
      <c r="AB174" s="2" t="str">
        <v/>
      </c>
      <c r="AC174" s="2" t="str">
        <v/>
      </c>
      <c r="AD174" s="2" t="str">
        <v/>
      </c>
      <c r="AE174" s="2" t="str">
        <v/>
      </c>
      <c r="AF174" s="2" t="str">
        <v/>
      </c>
      <c r="AN174" s="2">
        <v>5</v>
      </c>
      <c r="AO174" s="2">
        <v>200033</v>
      </c>
      <c r="AP174" s="2" t="str">
        <v/>
      </c>
      <c r="AQ174" s="2" t="str">
        <v/>
      </c>
      <c r="AR174" s="2" t="str">
        <v/>
      </c>
      <c r="AS174" s="2" t="str">
        <v/>
      </c>
      <c r="AT174" s="2" t="str">
        <v/>
      </c>
      <c r="AU174" s="2" t="str">
        <v/>
      </c>
      <c r="AV174" s="2" t="str">
        <v/>
      </c>
    </row>
    <row r="175" spans="1:48" x14ac:dyDescent="0.25">
      <c r="A175" s="2">
        <v>1002173</v>
      </c>
      <c r="H175" s="2">
        <f t="shared" si="2"/>
        <v>1000166</v>
      </c>
      <c r="K175" s="2">
        <v>2</v>
      </c>
      <c r="L175" s="2">
        <v>500083</v>
      </c>
      <c r="M175" s="2" t="str">
        <v/>
      </c>
      <c r="N175" s="2" t="str">
        <v/>
      </c>
      <c r="O175" s="2" t="str">
        <v/>
      </c>
      <c r="P175" s="2" t="str">
        <v/>
      </c>
      <c r="Q175" s="2" t="str">
        <v/>
      </c>
      <c r="R175" s="2" t="str">
        <v/>
      </c>
      <c r="S175" s="2" t="str">
        <v/>
      </c>
      <c r="T175" s="2">
        <v>1000166</v>
      </c>
      <c r="X175" s="2">
        <v>2</v>
      </c>
      <c r="Y175" s="2">
        <v>500083</v>
      </c>
      <c r="Z175" s="2" t="str">
        <v/>
      </c>
      <c r="AA175" s="2" t="str">
        <v/>
      </c>
      <c r="AB175" s="2" t="str">
        <v/>
      </c>
      <c r="AC175" s="2" t="str">
        <v/>
      </c>
      <c r="AD175" s="2" t="str">
        <v/>
      </c>
      <c r="AE175" s="2" t="str">
        <v/>
      </c>
      <c r="AF175" s="2" t="str">
        <v/>
      </c>
      <c r="AN175" s="2">
        <v>2</v>
      </c>
      <c r="AO175" s="2">
        <v>500083</v>
      </c>
      <c r="AP175" s="2" t="str">
        <v/>
      </c>
      <c r="AQ175" s="2" t="str">
        <v/>
      </c>
      <c r="AR175" s="2" t="str">
        <v/>
      </c>
      <c r="AS175" s="2" t="str">
        <v/>
      </c>
      <c r="AT175" s="2" t="str">
        <v/>
      </c>
      <c r="AU175" s="2" t="str">
        <v/>
      </c>
      <c r="AV175" s="2" t="str">
        <v/>
      </c>
    </row>
    <row r="176" spans="1:48" x14ac:dyDescent="0.25">
      <c r="A176" s="2">
        <v>1002191</v>
      </c>
      <c r="H176" s="2">
        <f t="shared" si="2"/>
        <v>1000167</v>
      </c>
      <c r="K176" s="2">
        <v>3</v>
      </c>
      <c r="L176" s="2">
        <v>7</v>
      </c>
      <c r="M176" s="2">
        <v>97</v>
      </c>
      <c r="N176" s="2">
        <v>491</v>
      </c>
      <c r="O176" s="2" t="str">
        <v/>
      </c>
      <c r="P176" s="2" t="str">
        <v/>
      </c>
      <c r="Q176" s="2" t="str">
        <v/>
      </c>
      <c r="R176" s="2" t="str">
        <v/>
      </c>
      <c r="S176" s="2" t="str">
        <v/>
      </c>
      <c r="T176" s="2">
        <v>1000167</v>
      </c>
      <c r="X176" s="2">
        <v>3</v>
      </c>
      <c r="Y176" s="2">
        <v>7</v>
      </c>
      <c r="Z176" s="2">
        <v>97</v>
      </c>
      <c r="AA176" s="2">
        <v>491</v>
      </c>
      <c r="AB176" s="2" t="str">
        <v/>
      </c>
      <c r="AC176" s="2" t="str">
        <v/>
      </c>
      <c r="AD176" s="2" t="str">
        <v/>
      </c>
      <c r="AE176" s="2" t="str">
        <v/>
      </c>
      <c r="AF176" s="2" t="str">
        <v/>
      </c>
      <c r="AN176" s="2">
        <v>3</v>
      </c>
      <c r="AO176" s="2">
        <v>7</v>
      </c>
      <c r="AP176" s="2">
        <v>97</v>
      </c>
      <c r="AQ176" s="2">
        <v>491</v>
      </c>
      <c r="AR176" s="2" t="str">
        <v/>
      </c>
      <c r="AS176" s="2" t="str">
        <v/>
      </c>
      <c r="AT176" s="2" t="str">
        <v/>
      </c>
      <c r="AU176" s="2" t="str">
        <v/>
      </c>
      <c r="AV176" s="2" t="str">
        <v/>
      </c>
    </row>
    <row r="177" spans="1:48" x14ac:dyDescent="0.25">
      <c r="A177" s="2">
        <v>1002227</v>
      </c>
      <c r="H177" s="2">
        <f t="shared" si="2"/>
        <v>1000168</v>
      </c>
      <c r="K177" s="2">
        <v>2</v>
      </c>
      <c r="L177" s="2">
        <v>2</v>
      </c>
      <c r="M177" s="2">
        <v>2</v>
      </c>
      <c r="N177" s="2">
        <v>13</v>
      </c>
      <c r="O177" s="2">
        <v>59</v>
      </c>
      <c r="P177" s="2">
        <v>163</v>
      </c>
      <c r="Q177" s="2" t="str">
        <v/>
      </c>
      <c r="R177" s="2" t="str">
        <v/>
      </c>
      <c r="S177" s="2" t="str">
        <v/>
      </c>
      <c r="T177" s="2">
        <v>1000168</v>
      </c>
      <c r="X177" s="2">
        <v>2</v>
      </c>
      <c r="Y177" s="2">
        <v>2</v>
      </c>
      <c r="Z177" s="2">
        <v>2</v>
      </c>
      <c r="AA177" s="2">
        <v>13</v>
      </c>
      <c r="AB177" s="2">
        <v>59</v>
      </c>
      <c r="AC177" s="2">
        <v>163</v>
      </c>
      <c r="AD177" s="2" t="str">
        <v/>
      </c>
      <c r="AE177" s="2" t="str">
        <v/>
      </c>
      <c r="AF177" s="2" t="str">
        <v/>
      </c>
      <c r="AN177" s="2">
        <v>2</v>
      </c>
      <c r="AO177" s="2">
        <v>2</v>
      </c>
      <c r="AP177" s="2">
        <v>2</v>
      </c>
      <c r="AQ177" s="2">
        <v>13</v>
      </c>
      <c r="AR177" s="2">
        <v>59</v>
      </c>
      <c r="AS177" s="2">
        <v>163</v>
      </c>
      <c r="AT177" s="2" t="str">
        <v/>
      </c>
      <c r="AU177" s="2" t="str">
        <v/>
      </c>
      <c r="AV177" s="2" t="str">
        <v/>
      </c>
    </row>
    <row r="178" spans="1:48" x14ac:dyDescent="0.25">
      <c r="A178" s="2">
        <v>1002241</v>
      </c>
      <c r="H178" s="2">
        <f t="shared" si="2"/>
        <v>1000169</v>
      </c>
      <c r="K178" s="2">
        <v>197</v>
      </c>
      <c r="L178" s="2">
        <v>5077</v>
      </c>
      <c r="M178" s="2" t="str">
        <v/>
      </c>
      <c r="N178" s="2" t="str">
        <v/>
      </c>
      <c r="O178" s="2" t="str">
        <v/>
      </c>
      <c r="P178" s="2" t="str">
        <v/>
      </c>
      <c r="Q178" s="2" t="str">
        <v/>
      </c>
      <c r="R178" s="2" t="str">
        <v/>
      </c>
      <c r="S178" s="2" t="str">
        <v/>
      </c>
      <c r="T178" s="2">
        <v>1000169</v>
      </c>
      <c r="X178" s="2">
        <v>197</v>
      </c>
      <c r="Y178" s="2">
        <v>5077</v>
      </c>
      <c r="Z178" s="2" t="str">
        <v/>
      </c>
      <c r="AA178" s="2" t="str">
        <v/>
      </c>
      <c r="AB178" s="2" t="str">
        <v/>
      </c>
      <c r="AC178" s="2" t="str">
        <v/>
      </c>
      <c r="AD178" s="2" t="str">
        <v/>
      </c>
      <c r="AE178" s="2" t="str">
        <v/>
      </c>
      <c r="AF178" s="2" t="str">
        <v/>
      </c>
      <c r="AN178" s="2">
        <v>197</v>
      </c>
      <c r="AO178" s="2">
        <v>5077</v>
      </c>
      <c r="AP178" s="2" t="str">
        <v/>
      </c>
      <c r="AQ178" s="2" t="str">
        <v/>
      </c>
      <c r="AR178" s="2" t="str">
        <v/>
      </c>
      <c r="AS178" s="2" t="str">
        <v/>
      </c>
      <c r="AT178" s="2" t="str">
        <v/>
      </c>
      <c r="AU178" s="2" t="str">
        <v/>
      </c>
      <c r="AV178" s="2" t="str">
        <v/>
      </c>
    </row>
    <row r="179" spans="1:48" x14ac:dyDescent="0.25">
      <c r="A179" s="2">
        <v>1002247</v>
      </c>
      <c r="H179" s="2">
        <f t="shared" si="2"/>
        <v>1000170</v>
      </c>
      <c r="K179" s="2">
        <v>2</v>
      </c>
      <c r="L179" s="2">
        <v>3</v>
      </c>
      <c r="M179" s="2">
        <v>3</v>
      </c>
      <c r="N179" s="2">
        <v>5</v>
      </c>
      <c r="O179" s="2">
        <v>11113</v>
      </c>
      <c r="P179" s="2" t="str">
        <v/>
      </c>
      <c r="Q179" s="2" t="str">
        <v/>
      </c>
      <c r="R179" s="2" t="str">
        <v/>
      </c>
      <c r="S179" s="2" t="str">
        <v/>
      </c>
      <c r="T179" s="2">
        <v>1000170</v>
      </c>
      <c r="X179" s="2">
        <v>2</v>
      </c>
      <c r="Y179" s="2">
        <v>3</v>
      </c>
      <c r="Z179" s="2">
        <v>3</v>
      </c>
      <c r="AA179" s="2">
        <v>5</v>
      </c>
      <c r="AB179" s="2">
        <v>11113</v>
      </c>
      <c r="AC179" s="2" t="str">
        <v/>
      </c>
      <c r="AD179" s="2" t="str">
        <v/>
      </c>
      <c r="AE179" s="2" t="str">
        <v/>
      </c>
      <c r="AF179" s="2" t="str">
        <v/>
      </c>
      <c r="AN179" s="2">
        <v>2</v>
      </c>
      <c r="AO179" s="2">
        <v>3</v>
      </c>
      <c r="AP179" s="2">
        <v>3</v>
      </c>
      <c r="AQ179" s="2">
        <v>5</v>
      </c>
      <c r="AR179" s="2">
        <v>11113</v>
      </c>
      <c r="AS179" s="2" t="str">
        <v/>
      </c>
      <c r="AT179" s="2" t="str">
        <v/>
      </c>
      <c r="AU179" s="2" t="str">
        <v/>
      </c>
      <c r="AV179" s="2" t="str">
        <v/>
      </c>
    </row>
    <row r="180" spans="1:48" x14ac:dyDescent="0.25">
      <c r="A180" s="2">
        <v>1002257</v>
      </c>
      <c r="H180" s="2">
        <f t="shared" si="2"/>
        <v>1000171</v>
      </c>
      <c r="K180" s="2">
        <v>1000171</v>
      </c>
      <c r="L180" s="2" t="str">
        <v/>
      </c>
      <c r="M180" s="2" t="str">
        <v/>
      </c>
      <c r="N180" s="2" t="str">
        <v/>
      </c>
      <c r="O180" s="2" t="str">
        <v/>
      </c>
      <c r="P180" s="2" t="str">
        <v/>
      </c>
      <c r="Q180" s="2" t="str">
        <v/>
      </c>
      <c r="R180" s="2" t="str">
        <v/>
      </c>
      <c r="S180" s="2" t="str">
        <v/>
      </c>
      <c r="T180" s="2">
        <v>1000171</v>
      </c>
      <c r="X180" s="2">
        <v>1000171</v>
      </c>
      <c r="Y180" s="2" t="str">
        <v/>
      </c>
      <c r="Z180" s="2" t="str">
        <v/>
      </c>
      <c r="AA180" s="2" t="str">
        <v/>
      </c>
      <c r="AB180" s="2" t="str">
        <v/>
      </c>
      <c r="AC180" s="2" t="str">
        <v/>
      </c>
      <c r="AD180" s="2" t="str">
        <v/>
      </c>
      <c r="AE180" s="2" t="str">
        <v/>
      </c>
      <c r="AF180" s="2" t="str">
        <v/>
      </c>
      <c r="AN180" s="2">
        <v>1000171</v>
      </c>
      <c r="AO180" s="2" t="str">
        <v/>
      </c>
      <c r="AP180" s="2" t="str">
        <v/>
      </c>
      <c r="AQ180" s="2" t="str">
        <v/>
      </c>
      <c r="AR180" s="2" t="str">
        <v/>
      </c>
      <c r="AS180" s="2" t="str">
        <v/>
      </c>
      <c r="AT180" s="2" t="str">
        <v/>
      </c>
      <c r="AU180" s="2" t="str">
        <v/>
      </c>
      <c r="AV180" s="2" t="str">
        <v/>
      </c>
    </row>
    <row r="181" spans="1:48" x14ac:dyDescent="0.25">
      <c r="A181" s="2">
        <v>1002259</v>
      </c>
      <c r="H181" s="2">
        <f t="shared" si="2"/>
        <v>1000172</v>
      </c>
      <c r="K181" s="2">
        <v>2</v>
      </c>
      <c r="L181" s="2">
        <v>2</v>
      </c>
      <c r="M181" s="2">
        <v>250043</v>
      </c>
      <c r="N181" s="2" t="str">
        <v/>
      </c>
      <c r="O181" s="2" t="str">
        <v/>
      </c>
      <c r="P181" s="2" t="str">
        <v/>
      </c>
      <c r="Q181" s="2" t="str">
        <v/>
      </c>
      <c r="R181" s="2" t="str">
        <v/>
      </c>
      <c r="S181" s="2" t="str">
        <v/>
      </c>
      <c r="T181" s="2">
        <v>1000172</v>
      </c>
      <c r="X181" s="2">
        <v>2</v>
      </c>
      <c r="Y181" s="2">
        <v>2</v>
      </c>
      <c r="Z181" s="2">
        <v>250043</v>
      </c>
      <c r="AA181" s="2" t="str">
        <v/>
      </c>
      <c r="AB181" s="2" t="str">
        <v/>
      </c>
      <c r="AC181" s="2" t="str">
        <v/>
      </c>
      <c r="AD181" s="2" t="str">
        <v/>
      </c>
      <c r="AE181" s="2" t="str">
        <v/>
      </c>
      <c r="AF181" s="2" t="str">
        <v/>
      </c>
      <c r="AN181" s="2">
        <v>2</v>
      </c>
      <c r="AO181" s="2">
        <v>2</v>
      </c>
      <c r="AP181" s="2">
        <v>250043</v>
      </c>
      <c r="AQ181" s="2" t="str">
        <v/>
      </c>
      <c r="AR181" s="2" t="str">
        <v/>
      </c>
      <c r="AS181" s="2" t="str">
        <v/>
      </c>
      <c r="AT181" s="2" t="str">
        <v/>
      </c>
      <c r="AU181" s="2" t="str">
        <v/>
      </c>
      <c r="AV181" s="2" t="str">
        <v/>
      </c>
    </row>
    <row r="182" spans="1:48" x14ac:dyDescent="0.25">
      <c r="A182" s="2">
        <v>1002263</v>
      </c>
      <c r="H182" s="2">
        <f t="shared" si="2"/>
        <v>1000173</v>
      </c>
      <c r="K182" s="2">
        <v>3</v>
      </c>
      <c r="L182" s="2">
        <v>73</v>
      </c>
      <c r="M182" s="2">
        <v>4567</v>
      </c>
      <c r="N182" s="2" t="str">
        <v/>
      </c>
      <c r="O182" s="2" t="str">
        <v/>
      </c>
      <c r="P182" s="2" t="str">
        <v/>
      </c>
      <c r="Q182" s="2" t="str">
        <v/>
      </c>
      <c r="R182" s="2" t="str">
        <v/>
      </c>
      <c r="S182" s="2" t="str">
        <v/>
      </c>
      <c r="T182" s="2">
        <v>1000173</v>
      </c>
      <c r="X182" s="2">
        <v>3</v>
      </c>
      <c r="Y182" s="2">
        <v>73</v>
      </c>
      <c r="Z182" s="2">
        <v>4567</v>
      </c>
      <c r="AA182" s="2" t="str">
        <v/>
      </c>
      <c r="AB182" s="2" t="str">
        <v/>
      </c>
      <c r="AC182" s="2" t="str">
        <v/>
      </c>
      <c r="AD182" s="2" t="str">
        <v/>
      </c>
      <c r="AE182" s="2" t="str">
        <v/>
      </c>
      <c r="AF182" s="2" t="str">
        <v/>
      </c>
      <c r="AN182" s="2">
        <v>3</v>
      </c>
      <c r="AO182" s="2">
        <v>73</v>
      </c>
      <c r="AP182" s="2">
        <v>4567</v>
      </c>
      <c r="AQ182" s="2" t="str">
        <v/>
      </c>
      <c r="AR182" s="2" t="str">
        <v/>
      </c>
      <c r="AS182" s="2" t="str">
        <v/>
      </c>
      <c r="AT182" s="2" t="str">
        <v/>
      </c>
      <c r="AU182" s="2" t="str">
        <v/>
      </c>
      <c r="AV182" s="2" t="str">
        <v/>
      </c>
    </row>
    <row r="183" spans="1:48" x14ac:dyDescent="0.25">
      <c r="A183" s="2">
        <v>1002289</v>
      </c>
    </row>
    <row r="184" spans="1:48" x14ac:dyDescent="0.25">
      <c r="A184" s="2">
        <v>1002299</v>
      </c>
      <c r="H184" s="2">
        <f>M181+2</f>
        <v>250045</v>
      </c>
      <c r="K184" s="2" cm="1">
        <f t="array" ref="K184:M184">prime_factors(H184)</f>
        <v>5</v>
      </c>
      <c r="L184" s="2">
        <v>43</v>
      </c>
      <c r="M184" s="2">
        <v>1163</v>
      </c>
    </row>
    <row r="185" spans="1:48" x14ac:dyDescent="0.25">
      <c r="A185" s="2">
        <v>1002341</v>
      </c>
      <c r="K185" s="2">
        <f>K184*L184*M184*N184*O184</f>
        <v>0</v>
      </c>
    </row>
    <row r="186" spans="1:48" x14ac:dyDescent="0.25">
      <c r="A186" s="2">
        <v>1002343</v>
      </c>
      <c r="H186" s="2">
        <v>1163</v>
      </c>
      <c r="K186" s="2" cm="1">
        <f t="array" ref="K186">prime_factors(H186)</f>
        <v>1163</v>
      </c>
    </row>
    <row r="187" spans="1:48" x14ac:dyDescent="0.25">
      <c r="A187" s="2">
        <v>1002347</v>
      </c>
    </row>
    <row r="188" spans="1:48" x14ac:dyDescent="0.25">
      <c r="A188" s="2">
        <v>1002349</v>
      </c>
    </row>
    <row r="189" spans="1:48" x14ac:dyDescent="0.25">
      <c r="A189" s="2">
        <v>1002359</v>
      </c>
    </row>
    <row r="190" spans="1:48" x14ac:dyDescent="0.25">
      <c r="A190" s="2">
        <v>1002361</v>
      </c>
    </row>
    <row r="191" spans="1:48" x14ac:dyDescent="0.25">
      <c r="A191" s="2">
        <v>1002377</v>
      </c>
    </row>
    <row r="192" spans="1:48" x14ac:dyDescent="0.25">
      <c r="A192" s="2">
        <v>1002403</v>
      </c>
    </row>
    <row r="193" spans="1:1" x14ac:dyDescent="0.25">
      <c r="A193" s="2">
        <v>1002427</v>
      </c>
    </row>
    <row r="194" spans="1:1" x14ac:dyDescent="0.25">
      <c r="A194" s="2">
        <v>1002433</v>
      </c>
    </row>
    <row r="195" spans="1:1" x14ac:dyDescent="0.25">
      <c r="A195" s="2">
        <v>1002451</v>
      </c>
    </row>
    <row r="196" spans="1:1" x14ac:dyDescent="0.25">
      <c r="A196" s="2">
        <v>1002457</v>
      </c>
    </row>
    <row r="197" spans="1:1" x14ac:dyDescent="0.25">
      <c r="A197" s="2">
        <v>1002467</v>
      </c>
    </row>
    <row r="198" spans="1:1" x14ac:dyDescent="0.25">
      <c r="A198" s="2">
        <v>1002481</v>
      </c>
    </row>
    <row r="199" spans="1:1" x14ac:dyDescent="0.25">
      <c r="A199" s="2">
        <v>1002487</v>
      </c>
    </row>
    <row r="200" spans="1:1" x14ac:dyDescent="0.25">
      <c r="A200" s="2">
        <v>1002493</v>
      </c>
    </row>
    <row r="201" spans="1:1" x14ac:dyDescent="0.25">
      <c r="A201" s="2">
        <v>1002503</v>
      </c>
    </row>
    <row r="202" spans="1:1" x14ac:dyDescent="0.25">
      <c r="A202" s="2">
        <v>1002511</v>
      </c>
    </row>
    <row r="203" spans="1:1" x14ac:dyDescent="0.25">
      <c r="A203" s="2">
        <v>1002517</v>
      </c>
    </row>
    <row r="204" spans="1:1" x14ac:dyDescent="0.25">
      <c r="A204" s="2">
        <v>1002523</v>
      </c>
    </row>
    <row r="205" spans="1:1" x14ac:dyDescent="0.25">
      <c r="A205" s="2">
        <v>1002527</v>
      </c>
    </row>
    <row r="206" spans="1:1" x14ac:dyDescent="0.25">
      <c r="A206" s="2">
        <v>1002553</v>
      </c>
    </row>
    <row r="207" spans="1:1" x14ac:dyDescent="0.25">
      <c r="A207" s="2">
        <v>1002569</v>
      </c>
    </row>
    <row r="208" spans="1:1" x14ac:dyDescent="0.25">
      <c r="A208" s="2">
        <v>1002577</v>
      </c>
    </row>
    <row r="209" spans="1:1" x14ac:dyDescent="0.25">
      <c r="A209" s="2">
        <v>1002583</v>
      </c>
    </row>
    <row r="210" spans="1:1" x14ac:dyDescent="0.25">
      <c r="A210" s="2">
        <v>1002619</v>
      </c>
    </row>
    <row r="211" spans="1:1" x14ac:dyDescent="0.25">
      <c r="A211" s="2">
        <v>1002623</v>
      </c>
    </row>
    <row r="212" spans="1:1" x14ac:dyDescent="0.25">
      <c r="A212" s="2">
        <v>1002647</v>
      </c>
    </row>
    <row r="213" spans="1:1" x14ac:dyDescent="0.25">
      <c r="A213" s="2">
        <v>1002653</v>
      </c>
    </row>
    <row r="214" spans="1:1" x14ac:dyDescent="0.25">
      <c r="A214" s="2">
        <v>1002679</v>
      </c>
    </row>
    <row r="215" spans="1:1" x14ac:dyDescent="0.25">
      <c r="A215" s="2">
        <v>1002709</v>
      </c>
    </row>
    <row r="216" spans="1:1" x14ac:dyDescent="0.25">
      <c r="A216" s="2">
        <v>1002713</v>
      </c>
    </row>
    <row r="217" spans="1:1" x14ac:dyDescent="0.25">
      <c r="A217" s="2">
        <v>1002719</v>
      </c>
    </row>
    <row r="218" spans="1:1" x14ac:dyDescent="0.25">
      <c r="A218" s="2">
        <v>1002721</v>
      </c>
    </row>
    <row r="219" spans="1:1" x14ac:dyDescent="0.25">
      <c r="A219" s="2">
        <v>1002739</v>
      </c>
    </row>
    <row r="220" spans="1:1" x14ac:dyDescent="0.25">
      <c r="A220" s="2">
        <v>1002751</v>
      </c>
    </row>
    <row r="221" spans="1:1" x14ac:dyDescent="0.25">
      <c r="A221" s="2">
        <v>1002767</v>
      </c>
    </row>
    <row r="222" spans="1:1" x14ac:dyDescent="0.25">
      <c r="A222" s="2">
        <v>1002769</v>
      </c>
    </row>
    <row r="223" spans="1:1" x14ac:dyDescent="0.25">
      <c r="A223" s="2">
        <v>1002773</v>
      </c>
    </row>
    <row r="224" spans="1:1" x14ac:dyDescent="0.25">
      <c r="A224" s="2">
        <v>1002787</v>
      </c>
    </row>
    <row r="225" spans="1:1" x14ac:dyDescent="0.25">
      <c r="A225" s="2">
        <v>1002797</v>
      </c>
    </row>
    <row r="226" spans="1:1" x14ac:dyDescent="0.25">
      <c r="A226" s="2">
        <v>1002809</v>
      </c>
    </row>
    <row r="227" spans="1:1" x14ac:dyDescent="0.25">
      <c r="A227" s="2">
        <v>1002817</v>
      </c>
    </row>
    <row r="228" spans="1:1" x14ac:dyDescent="0.25">
      <c r="A228" s="2">
        <v>1002821</v>
      </c>
    </row>
    <row r="229" spans="1:1" x14ac:dyDescent="0.25">
      <c r="A229" s="2">
        <v>1002851</v>
      </c>
    </row>
    <row r="230" spans="1:1" x14ac:dyDescent="0.25">
      <c r="A230" s="2">
        <v>1002853</v>
      </c>
    </row>
    <row r="231" spans="1:1" x14ac:dyDescent="0.25">
      <c r="A231" s="2">
        <v>1002857</v>
      </c>
    </row>
    <row r="232" spans="1:1" x14ac:dyDescent="0.25">
      <c r="A232" s="2">
        <v>1002863</v>
      </c>
    </row>
    <row r="233" spans="1:1" x14ac:dyDescent="0.25">
      <c r="A233" s="2">
        <v>1002871</v>
      </c>
    </row>
    <row r="234" spans="1:1" x14ac:dyDescent="0.25">
      <c r="A234" s="2">
        <v>1002887</v>
      </c>
    </row>
    <row r="235" spans="1:1" x14ac:dyDescent="0.25">
      <c r="A235" s="2">
        <v>1002893</v>
      </c>
    </row>
    <row r="236" spans="1:1" x14ac:dyDescent="0.25">
      <c r="A236" s="2">
        <v>1002899</v>
      </c>
    </row>
    <row r="237" spans="1:1" x14ac:dyDescent="0.25">
      <c r="A237" s="2">
        <v>1002913</v>
      </c>
    </row>
    <row r="238" spans="1:1" x14ac:dyDescent="0.25">
      <c r="A238" s="2">
        <v>1002917</v>
      </c>
    </row>
    <row r="239" spans="1:1" x14ac:dyDescent="0.25">
      <c r="A239" s="2">
        <v>1002929</v>
      </c>
    </row>
    <row r="240" spans="1:1" x14ac:dyDescent="0.25">
      <c r="A240" s="2">
        <v>1002931</v>
      </c>
    </row>
    <row r="241" spans="1:1" x14ac:dyDescent="0.25">
      <c r="A241" s="2">
        <v>1002973</v>
      </c>
    </row>
    <row r="242" spans="1:1" x14ac:dyDescent="0.25">
      <c r="A242" s="2">
        <v>1002979</v>
      </c>
    </row>
    <row r="243" spans="1:1" x14ac:dyDescent="0.25">
      <c r="A243" s="2">
        <v>1003001</v>
      </c>
    </row>
    <row r="244" spans="1:1" x14ac:dyDescent="0.25">
      <c r="A244" s="2">
        <v>1003003</v>
      </c>
    </row>
    <row r="245" spans="1:1" x14ac:dyDescent="0.25">
      <c r="A245" s="2">
        <v>1003019</v>
      </c>
    </row>
    <row r="246" spans="1:1" x14ac:dyDescent="0.25">
      <c r="A246" s="2">
        <v>1003039</v>
      </c>
    </row>
    <row r="247" spans="1:1" x14ac:dyDescent="0.25">
      <c r="A247" s="2">
        <v>1003049</v>
      </c>
    </row>
    <row r="248" spans="1:1" x14ac:dyDescent="0.25">
      <c r="A248" s="2">
        <v>1003087</v>
      </c>
    </row>
    <row r="249" spans="1:1" x14ac:dyDescent="0.25">
      <c r="A249" s="2">
        <v>1003091</v>
      </c>
    </row>
    <row r="250" spans="1:1" x14ac:dyDescent="0.25">
      <c r="A250" s="2">
        <v>1003097</v>
      </c>
    </row>
    <row r="251" spans="1:1" x14ac:dyDescent="0.25">
      <c r="A251" s="2">
        <v>1003103</v>
      </c>
    </row>
    <row r="252" spans="1:1" x14ac:dyDescent="0.25">
      <c r="A252" s="2">
        <v>1003109</v>
      </c>
    </row>
    <row r="253" spans="1:1" x14ac:dyDescent="0.25">
      <c r="A253" s="2">
        <v>1003111</v>
      </c>
    </row>
    <row r="254" spans="1:1" x14ac:dyDescent="0.25">
      <c r="A254" s="2">
        <v>1003133</v>
      </c>
    </row>
    <row r="255" spans="1:1" x14ac:dyDescent="0.25">
      <c r="A255" s="2">
        <v>1003141</v>
      </c>
    </row>
    <row r="256" spans="1:1" x14ac:dyDescent="0.25">
      <c r="A256" s="2">
        <v>1003193</v>
      </c>
    </row>
    <row r="257" spans="1:1" x14ac:dyDescent="0.25">
      <c r="A257" s="2">
        <v>1003199</v>
      </c>
    </row>
    <row r="258" spans="1:1" x14ac:dyDescent="0.25">
      <c r="A258" s="2">
        <v>1003201</v>
      </c>
    </row>
    <row r="259" spans="1:1" x14ac:dyDescent="0.25">
      <c r="A259" s="2">
        <v>1003241</v>
      </c>
    </row>
    <row r="260" spans="1:1" x14ac:dyDescent="0.25">
      <c r="A260" s="2">
        <v>1003259</v>
      </c>
    </row>
    <row r="261" spans="1:1" x14ac:dyDescent="0.25">
      <c r="A261" s="2">
        <v>1003273</v>
      </c>
    </row>
    <row r="262" spans="1:1" x14ac:dyDescent="0.25">
      <c r="A262" s="2">
        <v>1003279</v>
      </c>
    </row>
    <row r="263" spans="1:1" x14ac:dyDescent="0.25">
      <c r="A263" s="2">
        <v>1003291</v>
      </c>
    </row>
    <row r="264" spans="1:1" x14ac:dyDescent="0.25">
      <c r="A264" s="2">
        <v>1003307</v>
      </c>
    </row>
    <row r="265" spans="1:1" x14ac:dyDescent="0.25">
      <c r="A265" s="2">
        <v>1003337</v>
      </c>
    </row>
    <row r="266" spans="1:1" x14ac:dyDescent="0.25">
      <c r="A266" s="2">
        <v>1003349</v>
      </c>
    </row>
    <row r="267" spans="1:1" x14ac:dyDescent="0.25">
      <c r="A267" s="2">
        <v>1003351</v>
      </c>
    </row>
    <row r="268" spans="1:1" x14ac:dyDescent="0.25">
      <c r="A268" s="2">
        <v>1003361</v>
      </c>
    </row>
    <row r="269" spans="1:1" x14ac:dyDescent="0.25">
      <c r="A269" s="2">
        <v>1003363</v>
      </c>
    </row>
    <row r="270" spans="1:1" x14ac:dyDescent="0.25">
      <c r="A270" s="2">
        <v>1003367</v>
      </c>
    </row>
    <row r="271" spans="1:1" x14ac:dyDescent="0.25">
      <c r="A271" s="2">
        <v>1003369</v>
      </c>
    </row>
    <row r="272" spans="1:1" x14ac:dyDescent="0.25">
      <c r="A272" s="2">
        <v>1003381</v>
      </c>
    </row>
    <row r="273" spans="1:1" x14ac:dyDescent="0.25">
      <c r="A273" s="2">
        <v>1003397</v>
      </c>
    </row>
    <row r="274" spans="1:1" x14ac:dyDescent="0.25">
      <c r="A274" s="2">
        <v>1003411</v>
      </c>
    </row>
    <row r="275" spans="1:1" x14ac:dyDescent="0.25">
      <c r="A275" s="2">
        <v>1003417</v>
      </c>
    </row>
    <row r="276" spans="1:1" x14ac:dyDescent="0.25">
      <c r="A276" s="2">
        <v>1003433</v>
      </c>
    </row>
    <row r="277" spans="1:1" x14ac:dyDescent="0.25">
      <c r="A277" s="2">
        <v>1003463</v>
      </c>
    </row>
    <row r="278" spans="1:1" x14ac:dyDescent="0.25">
      <c r="A278" s="2">
        <v>1003469</v>
      </c>
    </row>
    <row r="279" spans="1:1" x14ac:dyDescent="0.25">
      <c r="A279" s="2">
        <v>1003507</v>
      </c>
    </row>
    <row r="280" spans="1:1" x14ac:dyDescent="0.25">
      <c r="A280" s="2">
        <v>1003517</v>
      </c>
    </row>
    <row r="281" spans="1:1" x14ac:dyDescent="0.25">
      <c r="A281" s="2">
        <v>1003543</v>
      </c>
    </row>
    <row r="282" spans="1:1" x14ac:dyDescent="0.25">
      <c r="A282" s="2">
        <v>1003549</v>
      </c>
    </row>
    <row r="283" spans="1:1" x14ac:dyDescent="0.25">
      <c r="A283" s="2">
        <v>1003589</v>
      </c>
    </row>
    <row r="284" spans="1:1" x14ac:dyDescent="0.25">
      <c r="A284" s="2">
        <v>1003601</v>
      </c>
    </row>
    <row r="285" spans="1:1" x14ac:dyDescent="0.25">
      <c r="A285" s="2">
        <v>1003609</v>
      </c>
    </row>
    <row r="286" spans="1:1" x14ac:dyDescent="0.25">
      <c r="A286" s="2">
        <v>1003619</v>
      </c>
    </row>
    <row r="287" spans="1:1" x14ac:dyDescent="0.25">
      <c r="A287" s="2">
        <v>1003621</v>
      </c>
    </row>
    <row r="288" spans="1:1" x14ac:dyDescent="0.25">
      <c r="A288" s="2">
        <v>1003627</v>
      </c>
    </row>
    <row r="289" spans="1:1" x14ac:dyDescent="0.25">
      <c r="A289" s="2">
        <v>1003631</v>
      </c>
    </row>
    <row r="290" spans="1:1" x14ac:dyDescent="0.25">
      <c r="A290" s="2">
        <v>1003679</v>
      </c>
    </row>
    <row r="291" spans="1:1" x14ac:dyDescent="0.25">
      <c r="A291" s="2">
        <v>1003693</v>
      </c>
    </row>
    <row r="292" spans="1:1" x14ac:dyDescent="0.25">
      <c r="A292" s="2">
        <v>1003711</v>
      </c>
    </row>
    <row r="293" spans="1:1" x14ac:dyDescent="0.25">
      <c r="A293" s="2">
        <v>1003729</v>
      </c>
    </row>
    <row r="294" spans="1:1" x14ac:dyDescent="0.25">
      <c r="A294" s="2">
        <v>1003733</v>
      </c>
    </row>
    <row r="295" spans="1:1" x14ac:dyDescent="0.25">
      <c r="A295" s="2">
        <v>1003741</v>
      </c>
    </row>
    <row r="296" spans="1:1" x14ac:dyDescent="0.25">
      <c r="A296" s="2">
        <v>1003747</v>
      </c>
    </row>
    <row r="297" spans="1:1" x14ac:dyDescent="0.25">
      <c r="A297" s="2">
        <v>1003753</v>
      </c>
    </row>
    <row r="298" spans="1:1" x14ac:dyDescent="0.25">
      <c r="A298" s="2">
        <v>1003757</v>
      </c>
    </row>
    <row r="299" spans="1:1" x14ac:dyDescent="0.25">
      <c r="A299" s="2">
        <v>1003763</v>
      </c>
    </row>
    <row r="300" spans="1:1" x14ac:dyDescent="0.25">
      <c r="A300" s="2">
        <v>1003771</v>
      </c>
    </row>
    <row r="301" spans="1:1" x14ac:dyDescent="0.25">
      <c r="A301" s="2">
        <v>1003787</v>
      </c>
    </row>
    <row r="302" spans="1:1" x14ac:dyDescent="0.25">
      <c r="A302" s="2">
        <v>1003817</v>
      </c>
    </row>
    <row r="303" spans="1:1" x14ac:dyDescent="0.25">
      <c r="A303" s="2">
        <v>1003819</v>
      </c>
    </row>
    <row r="304" spans="1:1" x14ac:dyDescent="0.25">
      <c r="A304" s="2">
        <v>1003841</v>
      </c>
    </row>
    <row r="305" spans="1:1" x14ac:dyDescent="0.25">
      <c r="A305" s="2">
        <v>1003879</v>
      </c>
    </row>
    <row r="306" spans="1:1" x14ac:dyDescent="0.25">
      <c r="A306" s="2">
        <v>1003889</v>
      </c>
    </row>
    <row r="307" spans="1:1" x14ac:dyDescent="0.25">
      <c r="A307" s="2">
        <v>1003897</v>
      </c>
    </row>
    <row r="308" spans="1:1" x14ac:dyDescent="0.25">
      <c r="A308" s="2">
        <v>1003907</v>
      </c>
    </row>
    <row r="309" spans="1:1" x14ac:dyDescent="0.25">
      <c r="A309" s="2">
        <v>1003909</v>
      </c>
    </row>
    <row r="310" spans="1:1" x14ac:dyDescent="0.25">
      <c r="A310" s="2">
        <v>1003913</v>
      </c>
    </row>
    <row r="311" spans="1:1" x14ac:dyDescent="0.25">
      <c r="A311" s="2">
        <v>1003931</v>
      </c>
    </row>
    <row r="312" spans="1:1" x14ac:dyDescent="0.25">
      <c r="A312" s="2">
        <v>1003943</v>
      </c>
    </row>
    <row r="313" spans="1:1" x14ac:dyDescent="0.25">
      <c r="A313" s="2">
        <v>1003957</v>
      </c>
    </row>
    <row r="314" spans="1:1" x14ac:dyDescent="0.25">
      <c r="A314" s="2">
        <v>1003963</v>
      </c>
    </row>
    <row r="315" spans="1:1" x14ac:dyDescent="0.25">
      <c r="A315" s="2">
        <v>1004027</v>
      </c>
    </row>
    <row r="316" spans="1:1" x14ac:dyDescent="0.25">
      <c r="A316" s="2">
        <v>1004033</v>
      </c>
    </row>
    <row r="317" spans="1:1" x14ac:dyDescent="0.25">
      <c r="A317" s="2">
        <v>1004053</v>
      </c>
    </row>
    <row r="318" spans="1:1" x14ac:dyDescent="0.25">
      <c r="A318" s="2">
        <v>1004057</v>
      </c>
    </row>
    <row r="319" spans="1:1" x14ac:dyDescent="0.25">
      <c r="A319" s="2">
        <v>1004063</v>
      </c>
    </row>
    <row r="320" spans="1:1" x14ac:dyDescent="0.25">
      <c r="A320" s="2">
        <v>1004077</v>
      </c>
    </row>
    <row r="321" spans="1:1" x14ac:dyDescent="0.25">
      <c r="A321" s="2">
        <v>1004089</v>
      </c>
    </row>
    <row r="322" spans="1:1" x14ac:dyDescent="0.25">
      <c r="A322" s="2">
        <v>1004117</v>
      </c>
    </row>
    <row r="323" spans="1:1" x14ac:dyDescent="0.25">
      <c r="A323" s="2">
        <v>1004119</v>
      </c>
    </row>
    <row r="324" spans="1:1" x14ac:dyDescent="0.25">
      <c r="A324" s="2">
        <v>1004137</v>
      </c>
    </row>
    <row r="325" spans="1:1" x14ac:dyDescent="0.25">
      <c r="A325" s="2">
        <v>1004141</v>
      </c>
    </row>
    <row r="326" spans="1:1" x14ac:dyDescent="0.25">
      <c r="A326" s="2">
        <v>1004161</v>
      </c>
    </row>
    <row r="327" spans="1:1" x14ac:dyDescent="0.25">
      <c r="A327" s="2">
        <v>1004167</v>
      </c>
    </row>
    <row r="328" spans="1:1" x14ac:dyDescent="0.25">
      <c r="A328" s="2">
        <v>1004209</v>
      </c>
    </row>
    <row r="329" spans="1:1" x14ac:dyDescent="0.25">
      <c r="A329" s="2">
        <v>1004221</v>
      </c>
    </row>
    <row r="330" spans="1:1" x14ac:dyDescent="0.25">
      <c r="A330" s="2">
        <v>1004233</v>
      </c>
    </row>
    <row r="331" spans="1:1" x14ac:dyDescent="0.25">
      <c r="A331" s="2">
        <v>1004273</v>
      </c>
    </row>
    <row r="332" spans="1:1" x14ac:dyDescent="0.25">
      <c r="A332" s="2">
        <v>1004279</v>
      </c>
    </row>
    <row r="333" spans="1:1" x14ac:dyDescent="0.25">
      <c r="A333" s="2">
        <v>1004287</v>
      </c>
    </row>
    <row r="334" spans="1:1" x14ac:dyDescent="0.25">
      <c r="A334" s="2">
        <v>1004293</v>
      </c>
    </row>
    <row r="335" spans="1:1" x14ac:dyDescent="0.25">
      <c r="A335" s="2">
        <v>1004303</v>
      </c>
    </row>
    <row r="336" spans="1:1" x14ac:dyDescent="0.25">
      <c r="A336" s="2">
        <v>1004317</v>
      </c>
    </row>
    <row r="337" spans="1:1" x14ac:dyDescent="0.25">
      <c r="A337" s="2">
        <v>1004323</v>
      </c>
    </row>
    <row r="338" spans="1:1" x14ac:dyDescent="0.25">
      <c r="A338" s="2">
        <v>1004363</v>
      </c>
    </row>
    <row r="339" spans="1:1" x14ac:dyDescent="0.25">
      <c r="A339" s="2">
        <v>1004371</v>
      </c>
    </row>
    <row r="340" spans="1:1" x14ac:dyDescent="0.25">
      <c r="A340" s="2">
        <v>1004401</v>
      </c>
    </row>
    <row r="341" spans="1:1" x14ac:dyDescent="0.25">
      <c r="A341" s="2">
        <v>1004429</v>
      </c>
    </row>
    <row r="342" spans="1:1" x14ac:dyDescent="0.25">
      <c r="A342" s="2">
        <v>1004441</v>
      </c>
    </row>
    <row r="343" spans="1:1" x14ac:dyDescent="0.25">
      <c r="A343" s="2">
        <v>1004449</v>
      </c>
    </row>
    <row r="344" spans="1:1" x14ac:dyDescent="0.25">
      <c r="A344" s="2">
        <v>1004453</v>
      </c>
    </row>
    <row r="345" spans="1:1" x14ac:dyDescent="0.25">
      <c r="A345" s="2">
        <v>1004461</v>
      </c>
    </row>
    <row r="346" spans="1:1" x14ac:dyDescent="0.25">
      <c r="A346" s="2">
        <v>1004477</v>
      </c>
    </row>
    <row r="347" spans="1:1" x14ac:dyDescent="0.25">
      <c r="A347" s="2">
        <v>1004483</v>
      </c>
    </row>
    <row r="348" spans="1:1" x14ac:dyDescent="0.25">
      <c r="A348" s="2">
        <v>1004501</v>
      </c>
    </row>
    <row r="349" spans="1:1" x14ac:dyDescent="0.25">
      <c r="A349" s="2">
        <v>1004527</v>
      </c>
    </row>
    <row r="350" spans="1:1" x14ac:dyDescent="0.25">
      <c r="A350" s="2">
        <v>1004537</v>
      </c>
    </row>
    <row r="351" spans="1:1" x14ac:dyDescent="0.25">
      <c r="A351" s="2">
        <v>1004551</v>
      </c>
    </row>
    <row r="352" spans="1:1" x14ac:dyDescent="0.25">
      <c r="A352" s="2">
        <v>1004561</v>
      </c>
    </row>
    <row r="353" spans="1:1" x14ac:dyDescent="0.25">
      <c r="A353" s="2">
        <v>1004567</v>
      </c>
    </row>
    <row r="354" spans="1:1" x14ac:dyDescent="0.25">
      <c r="A354" s="2">
        <v>1004599</v>
      </c>
    </row>
    <row r="355" spans="1:1" x14ac:dyDescent="0.25">
      <c r="A355" s="2">
        <v>1004651</v>
      </c>
    </row>
    <row r="356" spans="1:1" x14ac:dyDescent="0.25">
      <c r="A356" s="2">
        <v>1004657</v>
      </c>
    </row>
    <row r="357" spans="1:1" x14ac:dyDescent="0.25">
      <c r="A357" s="2">
        <v>1004659</v>
      </c>
    </row>
    <row r="358" spans="1:1" x14ac:dyDescent="0.25">
      <c r="A358" s="2">
        <v>1004669</v>
      </c>
    </row>
    <row r="359" spans="1:1" x14ac:dyDescent="0.25">
      <c r="A359" s="2">
        <v>1004671</v>
      </c>
    </row>
    <row r="360" spans="1:1" x14ac:dyDescent="0.25">
      <c r="A360" s="2">
        <v>1004677</v>
      </c>
    </row>
    <row r="361" spans="1:1" x14ac:dyDescent="0.25">
      <c r="A361" s="2">
        <v>1004687</v>
      </c>
    </row>
    <row r="362" spans="1:1" x14ac:dyDescent="0.25">
      <c r="A362" s="2">
        <v>1004723</v>
      </c>
    </row>
    <row r="363" spans="1:1" x14ac:dyDescent="0.25">
      <c r="A363" s="2">
        <v>1004737</v>
      </c>
    </row>
    <row r="364" spans="1:1" x14ac:dyDescent="0.25">
      <c r="A364" s="2">
        <v>1004743</v>
      </c>
    </row>
    <row r="365" spans="1:1" x14ac:dyDescent="0.25">
      <c r="A365" s="2">
        <v>1004747</v>
      </c>
    </row>
    <row r="366" spans="1:1" x14ac:dyDescent="0.25">
      <c r="A366" s="2">
        <v>1004749</v>
      </c>
    </row>
    <row r="367" spans="1:1" x14ac:dyDescent="0.25">
      <c r="A367" s="2">
        <v>1004761</v>
      </c>
    </row>
    <row r="368" spans="1:1" x14ac:dyDescent="0.25">
      <c r="A368" s="2">
        <v>1004779</v>
      </c>
    </row>
    <row r="369" spans="1:1" x14ac:dyDescent="0.25">
      <c r="A369" s="2">
        <v>1004797</v>
      </c>
    </row>
    <row r="370" spans="1:1" x14ac:dyDescent="0.25">
      <c r="A370" s="2">
        <v>1004873</v>
      </c>
    </row>
    <row r="371" spans="1:1" x14ac:dyDescent="0.25">
      <c r="A371" s="2">
        <v>1004903</v>
      </c>
    </row>
    <row r="372" spans="1:1" x14ac:dyDescent="0.25">
      <c r="A372" s="2">
        <v>1004911</v>
      </c>
    </row>
    <row r="373" spans="1:1" x14ac:dyDescent="0.25">
      <c r="A373" s="2">
        <v>1004917</v>
      </c>
    </row>
    <row r="374" spans="1:1" x14ac:dyDescent="0.25">
      <c r="A374" s="2">
        <v>1004963</v>
      </c>
    </row>
    <row r="375" spans="1:1" x14ac:dyDescent="0.25">
      <c r="A375" s="2">
        <v>1004977</v>
      </c>
    </row>
    <row r="376" spans="1:1" x14ac:dyDescent="0.25">
      <c r="A376" s="2">
        <v>1004981</v>
      </c>
    </row>
    <row r="377" spans="1:1" x14ac:dyDescent="0.25">
      <c r="A377" s="2">
        <v>1004987</v>
      </c>
    </row>
    <row r="378" spans="1:1" x14ac:dyDescent="0.25">
      <c r="A378" s="2">
        <v>1005007</v>
      </c>
    </row>
    <row r="379" spans="1:1" x14ac:dyDescent="0.25">
      <c r="A379" s="2">
        <v>1005013</v>
      </c>
    </row>
    <row r="380" spans="1:1" x14ac:dyDescent="0.25">
      <c r="A380" s="2">
        <v>1005019</v>
      </c>
    </row>
    <row r="381" spans="1:1" x14ac:dyDescent="0.25">
      <c r="A381" s="2">
        <v>1005029</v>
      </c>
    </row>
    <row r="382" spans="1:1" x14ac:dyDescent="0.25">
      <c r="A382" s="2">
        <v>1005041</v>
      </c>
    </row>
    <row r="383" spans="1:1" x14ac:dyDescent="0.25">
      <c r="A383" s="2">
        <v>1005049</v>
      </c>
    </row>
    <row r="384" spans="1:1" x14ac:dyDescent="0.25">
      <c r="A384" s="2">
        <v>1005071</v>
      </c>
    </row>
    <row r="385" spans="1:1" x14ac:dyDescent="0.25">
      <c r="A385" s="2">
        <v>1005073</v>
      </c>
    </row>
    <row r="386" spans="1:1" x14ac:dyDescent="0.25">
      <c r="A386" s="2">
        <v>1005079</v>
      </c>
    </row>
    <row r="387" spans="1:1" x14ac:dyDescent="0.25">
      <c r="A387" s="2">
        <v>1005101</v>
      </c>
    </row>
    <row r="388" spans="1:1" x14ac:dyDescent="0.25">
      <c r="A388" s="2">
        <v>1005107</v>
      </c>
    </row>
    <row r="389" spans="1:1" x14ac:dyDescent="0.25">
      <c r="A389" s="2">
        <v>1005131</v>
      </c>
    </row>
    <row r="390" spans="1:1" x14ac:dyDescent="0.25">
      <c r="A390" s="2">
        <v>1005133</v>
      </c>
    </row>
    <row r="391" spans="1:1" x14ac:dyDescent="0.25">
      <c r="A391" s="2">
        <v>1005143</v>
      </c>
    </row>
    <row r="392" spans="1:1" x14ac:dyDescent="0.25">
      <c r="A392" s="2">
        <v>1005161</v>
      </c>
    </row>
    <row r="393" spans="1:1" x14ac:dyDescent="0.25">
      <c r="A393" s="2">
        <v>1005187</v>
      </c>
    </row>
    <row r="394" spans="1:1" x14ac:dyDescent="0.25">
      <c r="A394" s="2">
        <v>1005203</v>
      </c>
    </row>
    <row r="395" spans="1:1" x14ac:dyDescent="0.25">
      <c r="A395" s="2">
        <v>1005209</v>
      </c>
    </row>
    <row r="396" spans="1:1" x14ac:dyDescent="0.25">
      <c r="A396" s="2">
        <v>1005217</v>
      </c>
    </row>
    <row r="397" spans="1:1" x14ac:dyDescent="0.25">
      <c r="A397" s="2">
        <v>1005223</v>
      </c>
    </row>
    <row r="398" spans="1:1" x14ac:dyDescent="0.25">
      <c r="A398" s="2">
        <v>1005229</v>
      </c>
    </row>
    <row r="399" spans="1:1" x14ac:dyDescent="0.25">
      <c r="A399" s="2">
        <v>1005239</v>
      </c>
    </row>
    <row r="400" spans="1:1" x14ac:dyDescent="0.25">
      <c r="A400" s="2">
        <v>1005241</v>
      </c>
    </row>
    <row r="401" spans="1:1" x14ac:dyDescent="0.25">
      <c r="A401" s="2">
        <v>1005269</v>
      </c>
    </row>
    <row r="402" spans="1:1" x14ac:dyDescent="0.25">
      <c r="A402" s="2">
        <v>1005287</v>
      </c>
    </row>
    <row r="403" spans="1:1" x14ac:dyDescent="0.25">
      <c r="A403" s="2">
        <v>1005293</v>
      </c>
    </row>
    <row r="404" spans="1:1" x14ac:dyDescent="0.25">
      <c r="A404" s="2">
        <v>1005313</v>
      </c>
    </row>
    <row r="405" spans="1:1" x14ac:dyDescent="0.25">
      <c r="A405" s="2">
        <v>1005317</v>
      </c>
    </row>
    <row r="406" spans="1:1" x14ac:dyDescent="0.25">
      <c r="A406" s="2">
        <v>1005331</v>
      </c>
    </row>
    <row r="407" spans="1:1" x14ac:dyDescent="0.25">
      <c r="A407" s="2">
        <v>1005349</v>
      </c>
    </row>
    <row r="408" spans="1:1" x14ac:dyDescent="0.25">
      <c r="A408" s="2">
        <v>1005359</v>
      </c>
    </row>
    <row r="409" spans="1:1" x14ac:dyDescent="0.25">
      <c r="A409" s="2">
        <v>1005371</v>
      </c>
    </row>
    <row r="410" spans="1:1" x14ac:dyDescent="0.25">
      <c r="A410" s="2">
        <v>1005373</v>
      </c>
    </row>
    <row r="411" spans="1:1" x14ac:dyDescent="0.25">
      <c r="A411" s="2">
        <v>1005391</v>
      </c>
    </row>
    <row r="412" spans="1:1" x14ac:dyDescent="0.25">
      <c r="A412" s="2">
        <v>1005409</v>
      </c>
    </row>
    <row r="413" spans="1:1" x14ac:dyDescent="0.25">
      <c r="A413" s="2">
        <v>1005413</v>
      </c>
    </row>
    <row r="414" spans="1:1" x14ac:dyDescent="0.25">
      <c r="A414" s="2">
        <v>1005427</v>
      </c>
    </row>
    <row r="415" spans="1:1" x14ac:dyDescent="0.25">
      <c r="A415" s="2">
        <v>1005437</v>
      </c>
    </row>
    <row r="416" spans="1:1" x14ac:dyDescent="0.25">
      <c r="A416" s="2">
        <v>1005439</v>
      </c>
    </row>
    <row r="417" spans="1:1" x14ac:dyDescent="0.25">
      <c r="A417" s="2">
        <v>1005457</v>
      </c>
    </row>
    <row r="418" spans="1:1" x14ac:dyDescent="0.25">
      <c r="A418" s="2">
        <v>1005467</v>
      </c>
    </row>
    <row r="419" spans="1:1" x14ac:dyDescent="0.25">
      <c r="A419" s="2">
        <v>1005481</v>
      </c>
    </row>
    <row r="420" spans="1:1" x14ac:dyDescent="0.25">
      <c r="A420" s="2">
        <v>1005493</v>
      </c>
    </row>
    <row r="421" spans="1:1" x14ac:dyDescent="0.25">
      <c r="A421" s="2">
        <v>1005503</v>
      </c>
    </row>
    <row r="422" spans="1:1" x14ac:dyDescent="0.25">
      <c r="A422" s="2">
        <v>1005527</v>
      </c>
    </row>
    <row r="423" spans="1:1" x14ac:dyDescent="0.25">
      <c r="A423" s="2">
        <v>1005541</v>
      </c>
    </row>
    <row r="424" spans="1:1" x14ac:dyDescent="0.25">
      <c r="A424" s="2">
        <v>1005551</v>
      </c>
    </row>
    <row r="425" spans="1:1" x14ac:dyDescent="0.25">
      <c r="A425" s="2">
        <v>1005553</v>
      </c>
    </row>
    <row r="426" spans="1:1" x14ac:dyDescent="0.25">
      <c r="A426" s="2">
        <v>1005581</v>
      </c>
    </row>
    <row r="427" spans="1:1" x14ac:dyDescent="0.25">
      <c r="A427" s="2">
        <v>1005593</v>
      </c>
    </row>
    <row r="428" spans="1:1" x14ac:dyDescent="0.25">
      <c r="A428" s="2">
        <v>1005617</v>
      </c>
    </row>
    <row r="429" spans="1:1" x14ac:dyDescent="0.25">
      <c r="A429" s="2">
        <v>1005619</v>
      </c>
    </row>
    <row r="430" spans="1:1" x14ac:dyDescent="0.25">
      <c r="A430" s="2">
        <v>1005637</v>
      </c>
    </row>
    <row r="431" spans="1:1" x14ac:dyDescent="0.25">
      <c r="A431" s="2">
        <v>1005643</v>
      </c>
    </row>
    <row r="432" spans="1:1" x14ac:dyDescent="0.25">
      <c r="A432" s="2">
        <v>1005647</v>
      </c>
    </row>
    <row r="433" spans="1:1" x14ac:dyDescent="0.25">
      <c r="A433" s="2">
        <v>1005661</v>
      </c>
    </row>
    <row r="434" spans="1:1" x14ac:dyDescent="0.25">
      <c r="A434" s="2">
        <v>1005677</v>
      </c>
    </row>
    <row r="435" spans="1:1" x14ac:dyDescent="0.25">
      <c r="A435" s="2">
        <v>1005679</v>
      </c>
    </row>
    <row r="436" spans="1:1" x14ac:dyDescent="0.25">
      <c r="A436" s="2">
        <v>1005701</v>
      </c>
    </row>
    <row r="437" spans="1:1" x14ac:dyDescent="0.25">
      <c r="A437" s="2">
        <v>1005709</v>
      </c>
    </row>
    <row r="438" spans="1:1" x14ac:dyDescent="0.25">
      <c r="A438" s="2">
        <v>1005751</v>
      </c>
    </row>
    <row r="439" spans="1:1" x14ac:dyDescent="0.25">
      <c r="A439" s="2">
        <v>1005761</v>
      </c>
    </row>
    <row r="440" spans="1:1" x14ac:dyDescent="0.25">
      <c r="A440" s="2">
        <v>1005821</v>
      </c>
    </row>
    <row r="441" spans="1:1" x14ac:dyDescent="0.25">
      <c r="A441" s="2">
        <v>1005827</v>
      </c>
    </row>
    <row r="442" spans="1:1" x14ac:dyDescent="0.25">
      <c r="A442" s="2">
        <v>1005833</v>
      </c>
    </row>
    <row r="443" spans="1:1" x14ac:dyDescent="0.25">
      <c r="A443" s="2">
        <v>1005883</v>
      </c>
    </row>
    <row r="444" spans="1:1" x14ac:dyDescent="0.25">
      <c r="A444" s="2">
        <v>1005911</v>
      </c>
    </row>
    <row r="445" spans="1:1" x14ac:dyDescent="0.25">
      <c r="A445" s="2">
        <v>1005913</v>
      </c>
    </row>
    <row r="446" spans="1:1" x14ac:dyDescent="0.25">
      <c r="A446" s="2">
        <v>1005931</v>
      </c>
    </row>
    <row r="447" spans="1:1" x14ac:dyDescent="0.25">
      <c r="A447" s="2">
        <v>1005937</v>
      </c>
    </row>
    <row r="448" spans="1:1" x14ac:dyDescent="0.25">
      <c r="A448" s="2">
        <v>1005959</v>
      </c>
    </row>
    <row r="449" spans="1:1" x14ac:dyDescent="0.25">
      <c r="A449" s="2">
        <v>1005971</v>
      </c>
    </row>
    <row r="450" spans="1:1" x14ac:dyDescent="0.25">
      <c r="A450" s="2">
        <v>1005989</v>
      </c>
    </row>
    <row r="451" spans="1:1" x14ac:dyDescent="0.25">
      <c r="A451" s="2">
        <v>1006003</v>
      </c>
    </row>
    <row r="452" spans="1:1" x14ac:dyDescent="0.25">
      <c r="A452" s="2">
        <v>1006007</v>
      </c>
    </row>
    <row r="453" spans="1:1" x14ac:dyDescent="0.25">
      <c r="A453" s="2">
        <v>1006021</v>
      </c>
    </row>
    <row r="454" spans="1:1" x14ac:dyDescent="0.25">
      <c r="A454" s="2">
        <v>1006037</v>
      </c>
    </row>
    <row r="455" spans="1:1" x14ac:dyDescent="0.25">
      <c r="A455" s="2">
        <v>1006063</v>
      </c>
    </row>
    <row r="456" spans="1:1" x14ac:dyDescent="0.25">
      <c r="A456" s="2">
        <v>1006087</v>
      </c>
    </row>
    <row r="457" spans="1:1" x14ac:dyDescent="0.25">
      <c r="A457" s="2">
        <v>1006091</v>
      </c>
    </row>
    <row r="458" spans="1:1" x14ac:dyDescent="0.25">
      <c r="A458" s="2">
        <v>1006123</v>
      </c>
    </row>
    <row r="459" spans="1:1" x14ac:dyDescent="0.25">
      <c r="A459" s="2">
        <v>1006133</v>
      </c>
    </row>
    <row r="460" spans="1:1" x14ac:dyDescent="0.25">
      <c r="A460" s="2">
        <v>1006147</v>
      </c>
    </row>
    <row r="461" spans="1:1" x14ac:dyDescent="0.25">
      <c r="A461" s="2">
        <v>1006151</v>
      </c>
    </row>
    <row r="462" spans="1:1" x14ac:dyDescent="0.25">
      <c r="A462" s="2">
        <v>1006153</v>
      </c>
    </row>
    <row r="463" spans="1:1" x14ac:dyDescent="0.25">
      <c r="A463" s="2">
        <v>1006163</v>
      </c>
    </row>
    <row r="464" spans="1:1" x14ac:dyDescent="0.25">
      <c r="A464" s="2">
        <v>1006169</v>
      </c>
    </row>
    <row r="465" spans="1:1" x14ac:dyDescent="0.25">
      <c r="A465" s="2">
        <v>1006171</v>
      </c>
    </row>
    <row r="466" spans="1:1" x14ac:dyDescent="0.25">
      <c r="A466" s="2">
        <v>1006177</v>
      </c>
    </row>
    <row r="467" spans="1:1" x14ac:dyDescent="0.25">
      <c r="A467" s="2">
        <v>1006189</v>
      </c>
    </row>
    <row r="468" spans="1:1" x14ac:dyDescent="0.25">
      <c r="A468" s="2">
        <v>1006193</v>
      </c>
    </row>
    <row r="469" spans="1:1" x14ac:dyDescent="0.25">
      <c r="A469" s="2">
        <v>1006217</v>
      </c>
    </row>
    <row r="470" spans="1:1" x14ac:dyDescent="0.25">
      <c r="A470" s="2">
        <v>1006219</v>
      </c>
    </row>
    <row r="471" spans="1:1" x14ac:dyDescent="0.25">
      <c r="A471" s="2">
        <v>1006231</v>
      </c>
    </row>
    <row r="472" spans="1:1" x14ac:dyDescent="0.25">
      <c r="A472" s="2">
        <v>1006237</v>
      </c>
    </row>
    <row r="473" spans="1:1" x14ac:dyDescent="0.25">
      <c r="A473" s="2">
        <v>1006241</v>
      </c>
    </row>
    <row r="474" spans="1:1" x14ac:dyDescent="0.25">
      <c r="A474" s="2">
        <v>1006249</v>
      </c>
    </row>
    <row r="475" spans="1:1" x14ac:dyDescent="0.25">
      <c r="A475" s="2">
        <v>1006253</v>
      </c>
    </row>
    <row r="476" spans="1:1" x14ac:dyDescent="0.25">
      <c r="A476" s="2">
        <v>1006267</v>
      </c>
    </row>
    <row r="477" spans="1:1" x14ac:dyDescent="0.25">
      <c r="A477" s="2">
        <v>1006279</v>
      </c>
    </row>
    <row r="478" spans="1:1" x14ac:dyDescent="0.25">
      <c r="A478" s="2">
        <v>1006301</v>
      </c>
    </row>
    <row r="479" spans="1:1" x14ac:dyDescent="0.25">
      <c r="A479" s="2">
        <v>1006303</v>
      </c>
    </row>
    <row r="480" spans="1:1" x14ac:dyDescent="0.25">
      <c r="A480" s="2">
        <v>1006307</v>
      </c>
    </row>
    <row r="481" spans="1:1" x14ac:dyDescent="0.25">
      <c r="A481" s="2">
        <v>1006309</v>
      </c>
    </row>
    <row r="482" spans="1:1" x14ac:dyDescent="0.25">
      <c r="A482" s="2">
        <v>1006331</v>
      </c>
    </row>
    <row r="483" spans="1:1" x14ac:dyDescent="0.25">
      <c r="A483" s="2">
        <v>1006333</v>
      </c>
    </row>
    <row r="484" spans="1:1" x14ac:dyDescent="0.25">
      <c r="A484" s="2">
        <v>1006337</v>
      </c>
    </row>
    <row r="485" spans="1:1" x14ac:dyDescent="0.25">
      <c r="A485" s="2">
        <v>1006339</v>
      </c>
    </row>
    <row r="486" spans="1:1" x14ac:dyDescent="0.25">
      <c r="A486" s="2">
        <v>1006351</v>
      </c>
    </row>
    <row r="487" spans="1:1" x14ac:dyDescent="0.25">
      <c r="A487" s="2">
        <v>1006361</v>
      </c>
    </row>
    <row r="488" spans="1:1" x14ac:dyDescent="0.25">
      <c r="A488" s="2">
        <v>1006367</v>
      </c>
    </row>
    <row r="489" spans="1:1" x14ac:dyDescent="0.25">
      <c r="A489" s="2">
        <v>1006391</v>
      </c>
    </row>
    <row r="490" spans="1:1" x14ac:dyDescent="0.25">
      <c r="A490" s="2">
        <v>1006393</v>
      </c>
    </row>
    <row r="491" spans="1:1" x14ac:dyDescent="0.25">
      <c r="A491" s="2">
        <v>1006433</v>
      </c>
    </row>
    <row r="492" spans="1:1" x14ac:dyDescent="0.25">
      <c r="A492" s="2">
        <v>1006441</v>
      </c>
    </row>
    <row r="493" spans="1:1" x14ac:dyDescent="0.25">
      <c r="A493" s="2">
        <v>1006463</v>
      </c>
    </row>
    <row r="494" spans="1:1" x14ac:dyDescent="0.25">
      <c r="A494" s="2">
        <v>1006469</v>
      </c>
    </row>
    <row r="495" spans="1:1" x14ac:dyDescent="0.25">
      <c r="A495" s="2">
        <v>1006471</v>
      </c>
    </row>
    <row r="496" spans="1:1" x14ac:dyDescent="0.25">
      <c r="A496" s="2">
        <v>1006493</v>
      </c>
    </row>
    <row r="497" spans="1:1" x14ac:dyDescent="0.25">
      <c r="A497" s="2">
        <v>1006507</v>
      </c>
    </row>
    <row r="498" spans="1:1" x14ac:dyDescent="0.25">
      <c r="A498" s="2">
        <v>1006513</v>
      </c>
    </row>
    <row r="499" spans="1:1" x14ac:dyDescent="0.25">
      <c r="A499" s="2">
        <v>1006531</v>
      </c>
    </row>
    <row r="500" spans="1:1" x14ac:dyDescent="0.25">
      <c r="A500" s="2">
        <v>1006543</v>
      </c>
    </row>
    <row r="501" spans="1:1" x14ac:dyDescent="0.25">
      <c r="A501" s="2">
        <v>1006547</v>
      </c>
    </row>
    <row r="502" spans="1:1" x14ac:dyDescent="0.25">
      <c r="A502" s="2">
        <v>1006559</v>
      </c>
    </row>
    <row r="503" spans="1:1" x14ac:dyDescent="0.25">
      <c r="A503" s="2">
        <v>1006583</v>
      </c>
    </row>
    <row r="504" spans="1:1" x14ac:dyDescent="0.25">
      <c r="A504" s="2">
        <v>1006589</v>
      </c>
    </row>
    <row r="505" spans="1:1" x14ac:dyDescent="0.25">
      <c r="A505" s="2">
        <v>1006609</v>
      </c>
    </row>
    <row r="506" spans="1:1" x14ac:dyDescent="0.25">
      <c r="A506" s="2">
        <v>1006613</v>
      </c>
    </row>
    <row r="507" spans="1:1" x14ac:dyDescent="0.25">
      <c r="A507" s="2">
        <v>1006633</v>
      </c>
    </row>
    <row r="508" spans="1:1" x14ac:dyDescent="0.25">
      <c r="A508" s="2">
        <v>1006637</v>
      </c>
    </row>
    <row r="509" spans="1:1" x14ac:dyDescent="0.25">
      <c r="A509" s="2">
        <v>1006651</v>
      </c>
    </row>
    <row r="510" spans="1:1" x14ac:dyDescent="0.25">
      <c r="A510" s="2">
        <v>1006711</v>
      </c>
    </row>
    <row r="511" spans="1:1" x14ac:dyDescent="0.25">
      <c r="A511" s="2">
        <v>1006721</v>
      </c>
    </row>
    <row r="512" spans="1:1" x14ac:dyDescent="0.25">
      <c r="A512" s="2">
        <v>1006739</v>
      </c>
    </row>
    <row r="513" spans="1:1" x14ac:dyDescent="0.25">
      <c r="A513" s="2">
        <v>1006751</v>
      </c>
    </row>
    <row r="514" spans="1:1" x14ac:dyDescent="0.25">
      <c r="A514" s="2">
        <v>1006769</v>
      </c>
    </row>
    <row r="515" spans="1:1" x14ac:dyDescent="0.25">
      <c r="A515" s="2">
        <v>1006781</v>
      </c>
    </row>
    <row r="516" spans="1:1" x14ac:dyDescent="0.25">
      <c r="A516" s="2">
        <v>1006783</v>
      </c>
    </row>
    <row r="517" spans="1:1" x14ac:dyDescent="0.25">
      <c r="A517" s="2">
        <v>1006799</v>
      </c>
    </row>
    <row r="518" spans="1:1" x14ac:dyDescent="0.25">
      <c r="A518" s="2">
        <v>1006847</v>
      </c>
    </row>
    <row r="519" spans="1:1" x14ac:dyDescent="0.25">
      <c r="A519" s="2">
        <v>1006853</v>
      </c>
    </row>
    <row r="520" spans="1:1" x14ac:dyDescent="0.25">
      <c r="A520" s="2">
        <v>1006861</v>
      </c>
    </row>
    <row r="521" spans="1:1" x14ac:dyDescent="0.25">
      <c r="A521" s="2">
        <v>1006877</v>
      </c>
    </row>
    <row r="522" spans="1:1" x14ac:dyDescent="0.25">
      <c r="A522" s="2">
        <v>1006879</v>
      </c>
    </row>
    <row r="523" spans="1:1" x14ac:dyDescent="0.25">
      <c r="A523" s="2">
        <v>1006883</v>
      </c>
    </row>
    <row r="524" spans="1:1" x14ac:dyDescent="0.25">
      <c r="A524" s="2">
        <v>1006891</v>
      </c>
    </row>
    <row r="525" spans="1:1" x14ac:dyDescent="0.25">
      <c r="A525" s="2">
        <v>1006897</v>
      </c>
    </row>
    <row r="526" spans="1:1" x14ac:dyDescent="0.25">
      <c r="A526" s="2">
        <v>1006933</v>
      </c>
    </row>
    <row r="527" spans="1:1" x14ac:dyDescent="0.25">
      <c r="A527" s="2">
        <v>1006937</v>
      </c>
    </row>
    <row r="528" spans="1:1" x14ac:dyDescent="0.25">
      <c r="A528" s="2">
        <v>1006949</v>
      </c>
    </row>
    <row r="529" spans="1:1" x14ac:dyDescent="0.25">
      <c r="A529" s="2">
        <v>1006969</v>
      </c>
    </row>
    <row r="530" spans="1:1" x14ac:dyDescent="0.25">
      <c r="A530" s="2">
        <v>1006979</v>
      </c>
    </row>
    <row r="531" spans="1:1" x14ac:dyDescent="0.25">
      <c r="A531" s="2">
        <v>1006987</v>
      </c>
    </row>
    <row r="532" spans="1:1" x14ac:dyDescent="0.25">
      <c r="A532" s="2">
        <v>1006991</v>
      </c>
    </row>
    <row r="533" spans="1:1" x14ac:dyDescent="0.25">
      <c r="A533" s="2">
        <v>1007021</v>
      </c>
    </row>
    <row r="534" spans="1:1" x14ac:dyDescent="0.25">
      <c r="A534" s="2">
        <v>1007023</v>
      </c>
    </row>
    <row r="535" spans="1:1" x14ac:dyDescent="0.25">
      <c r="A535" s="2">
        <v>1007047</v>
      </c>
    </row>
    <row r="536" spans="1:1" x14ac:dyDescent="0.25">
      <c r="A536" s="2">
        <v>1007059</v>
      </c>
    </row>
    <row r="537" spans="1:1" x14ac:dyDescent="0.25">
      <c r="A537" s="2">
        <v>1007081</v>
      </c>
    </row>
    <row r="538" spans="1:1" x14ac:dyDescent="0.25">
      <c r="A538" s="2">
        <v>1007089</v>
      </c>
    </row>
    <row r="539" spans="1:1" x14ac:dyDescent="0.25">
      <c r="A539" s="2">
        <v>1007099</v>
      </c>
    </row>
    <row r="540" spans="1:1" x14ac:dyDescent="0.25">
      <c r="A540" s="2">
        <v>1007117</v>
      </c>
    </row>
    <row r="541" spans="1:1" x14ac:dyDescent="0.25">
      <c r="A541" s="2">
        <v>1007119</v>
      </c>
    </row>
    <row r="542" spans="1:1" x14ac:dyDescent="0.25">
      <c r="A542" s="2">
        <v>1007129</v>
      </c>
    </row>
    <row r="543" spans="1:1" x14ac:dyDescent="0.25">
      <c r="A543" s="2">
        <v>1007137</v>
      </c>
    </row>
    <row r="544" spans="1:1" x14ac:dyDescent="0.25">
      <c r="A544" s="2">
        <v>1007161</v>
      </c>
    </row>
    <row r="545" spans="1:1" x14ac:dyDescent="0.25">
      <c r="A545" s="2">
        <v>1007173</v>
      </c>
    </row>
    <row r="546" spans="1:1" x14ac:dyDescent="0.25">
      <c r="A546" s="2">
        <v>1007179</v>
      </c>
    </row>
    <row r="547" spans="1:1" x14ac:dyDescent="0.25">
      <c r="A547" s="2">
        <v>1007203</v>
      </c>
    </row>
    <row r="548" spans="1:1" x14ac:dyDescent="0.25">
      <c r="A548" s="2">
        <v>1007231</v>
      </c>
    </row>
    <row r="549" spans="1:1" x14ac:dyDescent="0.25">
      <c r="A549" s="2">
        <v>1007243</v>
      </c>
    </row>
    <row r="550" spans="1:1" x14ac:dyDescent="0.25">
      <c r="A550" s="2">
        <v>1007249</v>
      </c>
    </row>
    <row r="551" spans="1:1" x14ac:dyDescent="0.25">
      <c r="A551" s="2">
        <v>1007297</v>
      </c>
    </row>
    <row r="552" spans="1:1" x14ac:dyDescent="0.25">
      <c r="A552" s="2">
        <v>1007299</v>
      </c>
    </row>
    <row r="553" spans="1:1" x14ac:dyDescent="0.25">
      <c r="A553" s="2">
        <v>1007309</v>
      </c>
    </row>
    <row r="554" spans="1:1" x14ac:dyDescent="0.25">
      <c r="A554" s="2">
        <v>1007317</v>
      </c>
    </row>
    <row r="555" spans="1:1" x14ac:dyDescent="0.25">
      <c r="A555" s="2">
        <v>1007339</v>
      </c>
    </row>
    <row r="556" spans="1:1" x14ac:dyDescent="0.25">
      <c r="A556" s="2">
        <v>1007353</v>
      </c>
    </row>
    <row r="557" spans="1:1" x14ac:dyDescent="0.25">
      <c r="A557" s="2">
        <v>1007359</v>
      </c>
    </row>
    <row r="558" spans="1:1" x14ac:dyDescent="0.25">
      <c r="A558" s="2">
        <v>1007381</v>
      </c>
    </row>
    <row r="559" spans="1:1" x14ac:dyDescent="0.25">
      <c r="A559" s="2">
        <v>1007387</v>
      </c>
    </row>
    <row r="560" spans="1:1" x14ac:dyDescent="0.25">
      <c r="A560" s="2">
        <v>1007401</v>
      </c>
    </row>
    <row r="561" spans="1:1" x14ac:dyDescent="0.25">
      <c r="A561" s="2">
        <v>1007417</v>
      </c>
    </row>
    <row r="562" spans="1:1" x14ac:dyDescent="0.25">
      <c r="A562" s="2">
        <v>1007429</v>
      </c>
    </row>
    <row r="563" spans="1:1" x14ac:dyDescent="0.25">
      <c r="A563" s="2">
        <v>1007441</v>
      </c>
    </row>
    <row r="564" spans="1:1" x14ac:dyDescent="0.25">
      <c r="A564" s="2">
        <v>1007459</v>
      </c>
    </row>
    <row r="565" spans="1:1" x14ac:dyDescent="0.25">
      <c r="A565" s="2">
        <v>1007467</v>
      </c>
    </row>
    <row r="566" spans="1:1" x14ac:dyDescent="0.25">
      <c r="A566" s="2">
        <v>1007483</v>
      </c>
    </row>
    <row r="567" spans="1:1" x14ac:dyDescent="0.25">
      <c r="A567" s="2">
        <v>1007497</v>
      </c>
    </row>
    <row r="568" spans="1:1" x14ac:dyDescent="0.25">
      <c r="A568" s="2">
        <v>1007519</v>
      </c>
    </row>
    <row r="569" spans="1:1" x14ac:dyDescent="0.25">
      <c r="A569" s="2">
        <v>1007527</v>
      </c>
    </row>
    <row r="570" spans="1:1" x14ac:dyDescent="0.25">
      <c r="A570" s="2">
        <v>1007549</v>
      </c>
    </row>
    <row r="571" spans="1:1" x14ac:dyDescent="0.25">
      <c r="A571" s="2">
        <v>1007557</v>
      </c>
    </row>
    <row r="572" spans="1:1" x14ac:dyDescent="0.25">
      <c r="A572" s="2">
        <v>1007597</v>
      </c>
    </row>
    <row r="573" spans="1:1" x14ac:dyDescent="0.25">
      <c r="A573" s="2">
        <v>1007599</v>
      </c>
    </row>
    <row r="574" spans="1:1" x14ac:dyDescent="0.25">
      <c r="A574" s="2">
        <v>1007609</v>
      </c>
    </row>
    <row r="575" spans="1:1" x14ac:dyDescent="0.25">
      <c r="A575" s="2">
        <v>1007647</v>
      </c>
    </row>
    <row r="576" spans="1:1" x14ac:dyDescent="0.25">
      <c r="A576" s="2">
        <v>1007651</v>
      </c>
    </row>
    <row r="577" spans="1:1" x14ac:dyDescent="0.25">
      <c r="A577" s="2">
        <v>1007681</v>
      </c>
    </row>
    <row r="578" spans="1:1" x14ac:dyDescent="0.25">
      <c r="A578" s="2">
        <v>1007683</v>
      </c>
    </row>
    <row r="579" spans="1:1" x14ac:dyDescent="0.25">
      <c r="A579" s="2">
        <v>1007693</v>
      </c>
    </row>
    <row r="580" spans="1:1" x14ac:dyDescent="0.25">
      <c r="A580" s="2">
        <v>1007701</v>
      </c>
    </row>
    <row r="581" spans="1:1" x14ac:dyDescent="0.25">
      <c r="A581" s="2">
        <v>1007711</v>
      </c>
    </row>
    <row r="582" spans="1:1" x14ac:dyDescent="0.25">
      <c r="A582" s="2">
        <v>1007719</v>
      </c>
    </row>
    <row r="583" spans="1:1" x14ac:dyDescent="0.25">
      <c r="A583" s="2">
        <v>1007723</v>
      </c>
    </row>
    <row r="584" spans="1:1" x14ac:dyDescent="0.25">
      <c r="A584" s="2">
        <v>1007729</v>
      </c>
    </row>
    <row r="585" spans="1:1" x14ac:dyDescent="0.25">
      <c r="A585" s="2">
        <v>1007731</v>
      </c>
    </row>
    <row r="586" spans="1:1" x14ac:dyDescent="0.25">
      <c r="A586" s="2">
        <v>1007749</v>
      </c>
    </row>
    <row r="587" spans="1:1" x14ac:dyDescent="0.25">
      <c r="A587" s="2">
        <v>1007753</v>
      </c>
    </row>
    <row r="588" spans="1:1" x14ac:dyDescent="0.25">
      <c r="A588" s="2">
        <v>1007759</v>
      </c>
    </row>
    <row r="589" spans="1:1" x14ac:dyDescent="0.25">
      <c r="A589" s="2">
        <v>1007767</v>
      </c>
    </row>
    <row r="590" spans="1:1" x14ac:dyDescent="0.25">
      <c r="A590" s="2">
        <v>1007771</v>
      </c>
    </row>
    <row r="591" spans="1:1" x14ac:dyDescent="0.25">
      <c r="A591" s="2">
        <v>1007789</v>
      </c>
    </row>
    <row r="592" spans="1:1" x14ac:dyDescent="0.25">
      <c r="A592" s="2">
        <v>1007801</v>
      </c>
    </row>
    <row r="593" spans="1:1" x14ac:dyDescent="0.25">
      <c r="A593" s="2">
        <v>1007807</v>
      </c>
    </row>
    <row r="594" spans="1:1" x14ac:dyDescent="0.25">
      <c r="A594" s="2">
        <v>1007813</v>
      </c>
    </row>
    <row r="595" spans="1:1" x14ac:dyDescent="0.25">
      <c r="A595" s="2">
        <v>1007819</v>
      </c>
    </row>
    <row r="596" spans="1:1" x14ac:dyDescent="0.25">
      <c r="A596" s="2">
        <v>1007827</v>
      </c>
    </row>
    <row r="597" spans="1:1" x14ac:dyDescent="0.25">
      <c r="A597" s="2">
        <v>1007857</v>
      </c>
    </row>
    <row r="598" spans="1:1" x14ac:dyDescent="0.25">
      <c r="A598" s="2">
        <v>1007861</v>
      </c>
    </row>
    <row r="599" spans="1:1" x14ac:dyDescent="0.25">
      <c r="A599" s="2">
        <v>1007873</v>
      </c>
    </row>
    <row r="600" spans="1:1" x14ac:dyDescent="0.25">
      <c r="A600" s="2">
        <v>1007887</v>
      </c>
    </row>
    <row r="601" spans="1:1" x14ac:dyDescent="0.25">
      <c r="A601" s="2">
        <v>1007891</v>
      </c>
    </row>
    <row r="602" spans="1:1" x14ac:dyDescent="0.25">
      <c r="A602" s="2">
        <v>1007921</v>
      </c>
    </row>
    <row r="603" spans="1:1" x14ac:dyDescent="0.25">
      <c r="A603" s="2">
        <v>1007933</v>
      </c>
    </row>
    <row r="604" spans="1:1" x14ac:dyDescent="0.25">
      <c r="A604" s="2">
        <v>1007939</v>
      </c>
    </row>
    <row r="605" spans="1:1" x14ac:dyDescent="0.25">
      <c r="A605" s="2">
        <v>1007957</v>
      </c>
    </row>
    <row r="606" spans="1:1" x14ac:dyDescent="0.25">
      <c r="A606" s="2">
        <v>1007959</v>
      </c>
    </row>
    <row r="607" spans="1:1" x14ac:dyDescent="0.25">
      <c r="A607" s="2">
        <v>1007971</v>
      </c>
    </row>
    <row r="608" spans="1:1" x14ac:dyDescent="0.25">
      <c r="A608" s="2">
        <v>1007977</v>
      </c>
    </row>
    <row r="609" spans="1:1" x14ac:dyDescent="0.25">
      <c r="A609" s="2">
        <v>1008001</v>
      </c>
    </row>
    <row r="610" spans="1:1" x14ac:dyDescent="0.25">
      <c r="A610" s="2">
        <v>1008013</v>
      </c>
    </row>
    <row r="611" spans="1:1" x14ac:dyDescent="0.25">
      <c r="A611" s="2">
        <v>1008017</v>
      </c>
    </row>
    <row r="612" spans="1:1" x14ac:dyDescent="0.25">
      <c r="A612" s="2">
        <v>1008031</v>
      </c>
    </row>
    <row r="613" spans="1:1" x14ac:dyDescent="0.25">
      <c r="A613" s="2">
        <v>1008037</v>
      </c>
    </row>
    <row r="614" spans="1:1" x14ac:dyDescent="0.25">
      <c r="A614" s="2">
        <v>1008041</v>
      </c>
    </row>
    <row r="615" spans="1:1" x14ac:dyDescent="0.25">
      <c r="A615" s="2">
        <v>1008043</v>
      </c>
    </row>
    <row r="616" spans="1:1" x14ac:dyDescent="0.25">
      <c r="A616" s="2">
        <v>1008101</v>
      </c>
    </row>
    <row r="617" spans="1:1" x14ac:dyDescent="0.25">
      <c r="A617" s="2">
        <v>1008131</v>
      </c>
    </row>
    <row r="618" spans="1:1" x14ac:dyDescent="0.25">
      <c r="A618" s="2">
        <v>1008157</v>
      </c>
    </row>
    <row r="619" spans="1:1" x14ac:dyDescent="0.25">
      <c r="A619" s="2">
        <v>1008181</v>
      </c>
    </row>
    <row r="620" spans="1:1" x14ac:dyDescent="0.25">
      <c r="A620" s="2">
        <v>1008187</v>
      </c>
    </row>
    <row r="621" spans="1:1" x14ac:dyDescent="0.25">
      <c r="A621" s="2">
        <v>1008193</v>
      </c>
    </row>
    <row r="622" spans="1:1" x14ac:dyDescent="0.25">
      <c r="A622" s="2">
        <v>1008199</v>
      </c>
    </row>
    <row r="623" spans="1:1" x14ac:dyDescent="0.25">
      <c r="A623" s="2">
        <v>1008209</v>
      </c>
    </row>
    <row r="624" spans="1:1" x14ac:dyDescent="0.25">
      <c r="A624" s="2">
        <v>1008223</v>
      </c>
    </row>
    <row r="625" spans="1:1" x14ac:dyDescent="0.25">
      <c r="A625" s="2">
        <v>1008229</v>
      </c>
    </row>
    <row r="626" spans="1:1" x14ac:dyDescent="0.25">
      <c r="A626" s="2">
        <v>1008233</v>
      </c>
    </row>
    <row r="627" spans="1:1" x14ac:dyDescent="0.25">
      <c r="A627" s="2">
        <v>1008239</v>
      </c>
    </row>
    <row r="628" spans="1:1" x14ac:dyDescent="0.25">
      <c r="A628" s="2">
        <v>1008247</v>
      </c>
    </row>
    <row r="629" spans="1:1" x14ac:dyDescent="0.25">
      <c r="A629" s="2">
        <v>1008257</v>
      </c>
    </row>
    <row r="630" spans="1:1" x14ac:dyDescent="0.25">
      <c r="A630" s="2">
        <v>1008263</v>
      </c>
    </row>
    <row r="631" spans="1:1" x14ac:dyDescent="0.25">
      <c r="A631" s="2">
        <v>1008317</v>
      </c>
    </row>
    <row r="632" spans="1:1" x14ac:dyDescent="0.25">
      <c r="A632" s="2">
        <v>1008323</v>
      </c>
    </row>
    <row r="633" spans="1:1" x14ac:dyDescent="0.25">
      <c r="A633" s="2">
        <v>1008331</v>
      </c>
    </row>
    <row r="634" spans="1:1" x14ac:dyDescent="0.25">
      <c r="A634" s="2">
        <v>1008347</v>
      </c>
    </row>
    <row r="635" spans="1:1" x14ac:dyDescent="0.25">
      <c r="A635" s="2">
        <v>1008353</v>
      </c>
    </row>
    <row r="636" spans="1:1" x14ac:dyDescent="0.25">
      <c r="A636" s="2">
        <v>1008373</v>
      </c>
    </row>
    <row r="637" spans="1:1" x14ac:dyDescent="0.25">
      <c r="A637" s="2">
        <v>1008379</v>
      </c>
    </row>
    <row r="638" spans="1:1" x14ac:dyDescent="0.25">
      <c r="A638" s="2">
        <v>1008401</v>
      </c>
    </row>
    <row r="639" spans="1:1" x14ac:dyDescent="0.25">
      <c r="A639" s="2">
        <v>1008407</v>
      </c>
    </row>
    <row r="640" spans="1:1" x14ac:dyDescent="0.25">
      <c r="A640" s="2">
        <v>1008409</v>
      </c>
    </row>
    <row r="641" spans="1:1" x14ac:dyDescent="0.25">
      <c r="A641" s="2">
        <v>1008419</v>
      </c>
    </row>
    <row r="642" spans="1:1" x14ac:dyDescent="0.25">
      <c r="A642" s="2">
        <v>1008421</v>
      </c>
    </row>
    <row r="643" spans="1:1" x14ac:dyDescent="0.25">
      <c r="A643" s="2">
        <v>1008433</v>
      </c>
    </row>
    <row r="644" spans="1:1" x14ac:dyDescent="0.25">
      <c r="A644" s="2">
        <v>1008437</v>
      </c>
    </row>
    <row r="645" spans="1:1" x14ac:dyDescent="0.25">
      <c r="A645" s="2">
        <v>1008451</v>
      </c>
    </row>
    <row r="646" spans="1:1" x14ac:dyDescent="0.25">
      <c r="A646" s="2">
        <v>1008467</v>
      </c>
    </row>
    <row r="647" spans="1:1" x14ac:dyDescent="0.25">
      <c r="A647" s="2">
        <v>1008493</v>
      </c>
    </row>
    <row r="648" spans="1:1" x14ac:dyDescent="0.25">
      <c r="A648" s="2">
        <v>1008499</v>
      </c>
    </row>
    <row r="649" spans="1:1" x14ac:dyDescent="0.25">
      <c r="A649" s="2">
        <v>1008503</v>
      </c>
    </row>
    <row r="650" spans="1:1" x14ac:dyDescent="0.25">
      <c r="A650" s="2">
        <v>1008517</v>
      </c>
    </row>
    <row r="651" spans="1:1" x14ac:dyDescent="0.25">
      <c r="A651" s="2">
        <v>1008541</v>
      </c>
    </row>
    <row r="652" spans="1:1" x14ac:dyDescent="0.25">
      <c r="A652" s="2">
        <v>1008547</v>
      </c>
    </row>
    <row r="653" spans="1:1" x14ac:dyDescent="0.25">
      <c r="A653" s="2">
        <v>1008563</v>
      </c>
    </row>
    <row r="654" spans="1:1" x14ac:dyDescent="0.25">
      <c r="A654" s="2">
        <v>1008571</v>
      </c>
    </row>
    <row r="655" spans="1:1" x14ac:dyDescent="0.25">
      <c r="A655" s="2">
        <v>1008587</v>
      </c>
    </row>
    <row r="656" spans="1:1" x14ac:dyDescent="0.25">
      <c r="A656" s="2">
        <v>1008589</v>
      </c>
    </row>
    <row r="657" spans="1:1" x14ac:dyDescent="0.25">
      <c r="A657" s="2">
        <v>1008607</v>
      </c>
    </row>
    <row r="658" spans="1:1" x14ac:dyDescent="0.25">
      <c r="A658" s="2">
        <v>1008611</v>
      </c>
    </row>
    <row r="659" spans="1:1" x14ac:dyDescent="0.25">
      <c r="A659" s="2">
        <v>1008613</v>
      </c>
    </row>
    <row r="660" spans="1:1" x14ac:dyDescent="0.25">
      <c r="A660" s="2">
        <v>1008617</v>
      </c>
    </row>
    <row r="661" spans="1:1" x14ac:dyDescent="0.25">
      <c r="A661" s="2">
        <v>1008659</v>
      </c>
    </row>
    <row r="662" spans="1:1" x14ac:dyDescent="0.25">
      <c r="A662" s="2">
        <v>1008701</v>
      </c>
    </row>
    <row r="663" spans="1:1" x14ac:dyDescent="0.25">
      <c r="A663" s="2">
        <v>1008719</v>
      </c>
    </row>
    <row r="664" spans="1:1" x14ac:dyDescent="0.25">
      <c r="A664" s="2">
        <v>1008743</v>
      </c>
    </row>
    <row r="665" spans="1:1" x14ac:dyDescent="0.25">
      <c r="A665" s="2">
        <v>1008773</v>
      </c>
    </row>
    <row r="666" spans="1:1" x14ac:dyDescent="0.25">
      <c r="A666" s="2">
        <v>1008779</v>
      </c>
    </row>
    <row r="667" spans="1:1" x14ac:dyDescent="0.25">
      <c r="A667" s="2">
        <v>1008781</v>
      </c>
    </row>
    <row r="668" spans="1:1" x14ac:dyDescent="0.25">
      <c r="A668" s="2">
        <v>1008793</v>
      </c>
    </row>
    <row r="669" spans="1:1" x14ac:dyDescent="0.25">
      <c r="A669" s="2">
        <v>1008809</v>
      </c>
    </row>
    <row r="670" spans="1:1" x14ac:dyDescent="0.25">
      <c r="A670" s="2">
        <v>1008817</v>
      </c>
    </row>
    <row r="671" spans="1:1" x14ac:dyDescent="0.25">
      <c r="A671" s="2">
        <v>1008829</v>
      </c>
    </row>
    <row r="672" spans="1:1" x14ac:dyDescent="0.25">
      <c r="A672" s="2">
        <v>1008851</v>
      </c>
    </row>
    <row r="673" spans="1:1" x14ac:dyDescent="0.25">
      <c r="A673" s="2">
        <v>1008853</v>
      </c>
    </row>
    <row r="674" spans="1:1" x14ac:dyDescent="0.25">
      <c r="A674" s="2">
        <v>1008857</v>
      </c>
    </row>
    <row r="675" spans="1:1" x14ac:dyDescent="0.25">
      <c r="A675" s="2">
        <v>1008859</v>
      </c>
    </row>
    <row r="676" spans="1:1" x14ac:dyDescent="0.25">
      <c r="A676" s="2">
        <v>1008863</v>
      </c>
    </row>
    <row r="677" spans="1:1" x14ac:dyDescent="0.25">
      <c r="A677" s="2">
        <v>1008871</v>
      </c>
    </row>
    <row r="678" spans="1:1" x14ac:dyDescent="0.25">
      <c r="A678" s="2">
        <v>1008901</v>
      </c>
    </row>
    <row r="679" spans="1:1" x14ac:dyDescent="0.25">
      <c r="A679" s="2">
        <v>1008911</v>
      </c>
    </row>
    <row r="680" spans="1:1" x14ac:dyDescent="0.25">
      <c r="A680" s="2">
        <v>1008913</v>
      </c>
    </row>
    <row r="681" spans="1:1" x14ac:dyDescent="0.25">
      <c r="A681" s="2">
        <v>1008923</v>
      </c>
    </row>
    <row r="682" spans="1:1" x14ac:dyDescent="0.25">
      <c r="A682" s="2">
        <v>1008937</v>
      </c>
    </row>
    <row r="683" spans="1:1" x14ac:dyDescent="0.25">
      <c r="A683" s="2">
        <v>1008947</v>
      </c>
    </row>
    <row r="684" spans="1:1" x14ac:dyDescent="0.25">
      <c r="A684" s="2">
        <v>1008979</v>
      </c>
    </row>
    <row r="685" spans="1:1" x14ac:dyDescent="0.25">
      <c r="A685" s="2">
        <v>1008983</v>
      </c>
    </row>
    <row r="686" spans="1:1" x14ac:dyDescent="0.25">
      <c r="A686" s="2">
        <v>1008989</v>
      </c>
    </row>
    <row r="687" spans="1:1" x14ac:dyDescent="0.25">
      <c r="A687" s="2">
        <v>1008991</v>
      </c>
    </row>
    <row r="688" spans="1:1" x14ac:dyDescent="0.25">
      <c r="A688" s="2">
        <v>1009007</v>
      </c>
    </row>
    <row r="689" spans="1:1" x14ac:dyDescent="0.25">
      <c r="A689" s="2">
        <v>1009037</v>
      </c>
    </row>
    <row r="690" spans="1:1" x14ac:dyDescent="0.25">
      <c r="A690" s="2">
        <v>1009049</v>
      </c>
    </row>
    <row r="691" spans="1:1" x14ac:dyDescent="0.25">
      <c r="A691" s="2">
        <v>1009061</v>
      </c>
    </row>
    <row r="692" spans="1:1" x14ac:dyDescent="0.25">
      <c r="A692" s="2">
        <v>1009097</v>
      </c>
    </row>
    <row r="693" spans="1:1" x14ac:dyDescent="0.25">
      <c r="A693" s="2">
        <v>1009121</v>
      </c>
    </row>
    <row r="694" spans="1:1" x14ac:dyDescent="0.25">
      <c r="A694" s="2">
        <v>1009139</v>
      </c>
    </row>
    <row r="695" spans="1:1" x14ac:dyDescent="0.25">
      <c r="A695" s="2">
        <v>1009153</v>
      </c>
    </row>
    <row r="696" spans="1:1" x14ac:dyDescent="0.25">
      <c r="A696" s="2">
        <v>1009157</v>
      </c>
    </row>
    <row r="697" spans="1:1" x14ac:dyDescent="0.25">
      <c r="A697" s="2">
        <v>1009159</v>
      </c>
    </row>
    <row r="698" spans="1:1" x14ac:dyDescent="0.25">
      <c r="A698" s="2">
        <v>1009163</v>
      </c>
    </row>
    <row r="699" spans="1:1" x14ac:dyDescent="0.25">
      <c r="A699" s="2">
        <v>1009189</v>
      </c>
    </row>
    <row r="700" spans="1:1" x14ac:dyDescent="0.25">
      <c r="A700" s="2">
        <v>1009193</v>
      </c>
    </row>
    <row r="701" spans="1:1" x14ac:dyDescent="0.25">
      <c r="A701" s="2">
        <v>1009199</v>
      </c>
    </row>
    <row r="702" spans="1:1" x14ac:dyDescent="0.25">
      <c r="A702" s="2">
        <v>1009201</v>
      </c>
    </row>
    <row r="703" spans="1:1" x14ac:dyDescent="0.25">
      <c r="A703" s="2">
        <v>1009207</v>
      </c>
    </row>
    <row r="704" spans="1:1" x14ac:dyDescent="0.25">
      <c r="A704" s="2">
        <v>1009237</v>
      </c>
    </row>
    <row r="705" spans="1:1" x14ac:dyDescent="0.25">
      <c r="A705" s="2">
        <v>1009243</v>
      </c>
    </row>
    <row r="706" spans="1:1" x14ac:dyDescent="0.25">
      <c r="A706" s="2">
        <v>1009247</v>
      </c>
    </row>
    <row r="707" spans="1:1" x14ac:dyDescent="0.25">
      <c r="A707" s="2">
        <v>1009259</v>
      </c>
    </row>
    <row r="708" spans="1:1" x14ac:dyDescent="0.25">
      <c r="A708" s="2">
        <v>1009289</v>
      </c>
    </row>
    <row r="709" spans="1:1" x14ac:dyDescent="0.25">
      <c r="A709" s="2">
        <v>1009291</v>
      </c>
    </row>
    <row r="710" spans="1:1" x14ac:dyDescent="0.25">
      <c r="A710" s="2">
        <v>1009301</v>
      </c>
    </row>
    <row r="711" spans="1:1" x14ac:dyDescent="0.25">
      <c r="A711" s="2">
        <v>1009303</v>
      </c>
    </row>
    <row r="712" spans="1:1" x14ac:dyDescent="0.25">
      <c r="A712" s="2">
        <v>1009319</v>
      </c>
    </row>
    <row r="713" spans="1:1" x14ac:dyDescent="0.25">
      <c r="A713" s="2">
        <v>1009321</v>
      </c>
    </row>
    <row r="714" spans="1:1" x14ac:dyDescent="0.25">
      <c r="A714" s="2">
        <v>1009343</v>
      </c>
    </row>
    <row r="715" spans="1:1" x14ac:dyDescent="0.25">
      <c r="A715" s="2">
        <v>1009357</v>
      </c>
    </row>
    <row r="716" spans="1:1" x14ac:dyDescent="0.25">
      <c r="A716" s="2">
        <v>1009361</v>
      </c>
    </row>
    <row r="717" spans="1:1" x14ac:dyDescent="0.25">
      <c r="A717" s="2">
        <v>1009369</v>
      </c>
    </row>
    <row r="718" spans="1:1" x14ac:dyDescent="0.25">
      <c r="A718" s="2">
        <v>1009373</v>
      </c>
    </row>
    <row r="719" spans="1:1" x14ac:dyDescent="0.25">
      <c r="A719" s="2">
        <v>1009387</v>
      </c>
    </row>
    <row r="720" spans="1:1" x14ac:dyDescent="0.25">
      <c r="A720" s="2">
        <v>1009399</v>
      </c>
    </row>
    <row r="721" spans="1:1" x14ac:dyDescent="0.25">
      <c r="A721" s="2">
        <v>1009417</v>
      </c>
    </row>
    <row r="722" spans="1:1" x14ac:dyDescent="0.25">
      <c r="A722" s="2">
        <v>1009433</v>
      </c>
    </row>
    <row r="723" spans="1:1" x14ac:dyDescent="0.25">
      <c r="A723" s="2">
        <v>1009439</v>
      </c>
    </row>
    <row r="724" spans="1:1" x14ac:dyDescent="0.25">
      <c r="A724" s="2">
        <v>1009457</v>
      </c>
    </row>
    <row r="725" spans="1:1" x14ac:dyDescent="0.25">
      <c r="A725" s="2">
        <v>1009483</v>
      </c>
    </row>
    <row r="726" spans="1:1" x14ac:dyDescent="0.25">
      <c r="A726" s="2">
        <v>1009487</v>
      </c>
    </row>
    <row r="727" spans="1:1" x14ac:dyDescent="0.25">
      <c r="A727" s="2">
        <v>1009499</v>
      </c>
    </row>
    <row r="728" spans="1:1" x14ac:dyDescent="0.25">
      <c r="A728" s="2">
        <v>1009501</v>
      </c>
    </row>
    <row r="729" spans="1:1" x14ac:dyDescent="0.25">
      <c r="A729" s="2">
        <v>1009507</v>
      </c>
    </row>
    <row r="730" spans="1:1" x14ac:dyDescent="0.25">
      <c r="A730" s="2">
        <v>1009531</v>
      </c>
    </row>
    <row r="731" spans="1:1" x14ac:dyDescent="0.25">
      <c r="A731" s="2">
        <v>1009537</v>
      </c>
    </row>
    <row r="732" spans="1:1" x14ac:dyDescent="0.25">
      <c r="A732" s="2">
        <v>1009559</v>
      </c>
    </row>
    <row r="733" spans="1:1" x14ac:dyDescent="0.25">
      <c r="A733" s="2">
        <v>1009573</v>
      </c>
    </row>
    <row r="734" spans="1:1" x14ac:dyDescent="0.25">
      <c r="A734" s="2">
        <v>1009601</v>
      </c>
    </row>
    <row r="735" spans="1:1" x14ac:dyDescent="0.25">
      <c r="A735" s="2">
        <v>1009609</v>
      </c>
    </row>
    <row r="736" spans="1:1" x14ac:dyDescent="0.25">
      <c r="A736" s="2">
        <v>1009621</v>
      </c>
    </row>
    <row r="737" spans="1:1" x14ac:dyDescent="0.25">
      <c r="A737" s="2">
        <v>1009627</v>
      </c>
    </row>
    <row r="738" spans="1:1" x14ac:dyDescent="0.25">
      <c r="A738" s="2">
        <v>1009637</v>
      </c>
    </row>
    <row r="739" spans="1:1" x14ac:dyDescent="0.25">
      <c r="A739" s="2">
        <v>1009643</v>
      </c>
    </row>
    <row r="740" spans="1:1" x14ac:dyDescent="0.25">
      <c r="A740" s="2">
        <v>1009649</v>
      </c>
    </row>
    <row r="741" spans="1:1" x14ac:dyDescent="0.25">
      <c r="A741" s="2">
        <v>1009651</v>
      </c>
    </row>
    <row r="742" spans="1:1" x14ac:dyDescent="0.25">
      <c r="A742" s="2">
        <v>1009669</v>
      </c>
    </row>
    <row r="743" spans="1:1" x14ac:dyDescent="0.25">
      <c r="A743" s="2">
        <v>1009727</v>
      </c>
    </row>
    <row r="744" spans="1:1" x14ac:dyDescent="0.25">
      <c r="A744" s="2">
        <v>1009741</v>
      </c>
    </row>
    <row r="745" spans="1:1" x14ac:dyDescent="0.25">
      <c r="A745" s="2">
        <v>1009747</v>
      </c>
    </row>
    <row r="746" spans="1:1" x14ac:dyDescent="0.25">
      <c r="A746" s="2">
        <v>1009781</v>
      </c>
    </row>
    <row r="747" spans="1:1" x14ac:dyDescent="0.25">
      <c r="A747" s="2">
        <v>1009787</v>
      </c>
    </row>
    <row r="748" spans="1:1" x14ac:dyDescent="0.25">
      <c r="A748" s="2">
        <v>1009807</v>
      </c>
    </row>
    <row r="749" spans="1:1" x14ac:dyDescent="0.25">
      <c r="A749" s="2">
        <v>1009819</v>
      </c>
    </row>
    <row r="750" spans="1:1" x14ac:dyDescent="0.25">
      <c r="A750" s="2">
        <v>1009837</v>
      </c>
    </row>
    <row r="751" spans="1:1" x14ac:dyDescent="0.25">
      <c r="A751" s="2">
        <v>1009843</v>
      </c>
    </row>
    <row r="752" spans="1:1" x14ac:dyDescent="0.25">
      <c r="A752" s="2">
        <v>1009859</v>
      </c>
    </row>
    <row r="753" spans="1:1" x14ac:dyDescent="0.25">
      <c r="A753" s="2">
        <v>1009873</v>
      </c>
    </row>
    <row r="754" spans="1:1" x14ac:dyDescent="0.25">
      <c r="A754" s="2">
        <v>1009901</v>
      </c>
    </row>
    <row r="755" spans="1:1" x14ac:dyDescent="0.25">
      <c r="A755" s="2">
        <v>1009909</v>
      </c>
    </row>
    <row r="756" spans="1:1" x14ac:dyDescent="0.25">
      <c r="A756" s="2">
        <v>1009927</v>
      </c>
    </row>
    <row r="757" spans="1:1" x14ac:dyDescent="0.25">
      <c r="A757" s="2">
        <v>1009937</v>
      </c>
    </row>
    <row r="758" spans="1:1" x14ac:dyDescent="0.25">
      <c r="A758" s="2">
        <v>1009951</v>
      </c>
    </row>
    <row r="759" spans="1:1" x14ac:dyDescent="0.25">
      <c r="A759" s="2">
        <v>1009963</v>
      </c>
    </row>
    <row r="760" spans="1:1" x14ac:dyDescent="0.25">
      <c r="A760" s="2">
        <v>1009991</v>
      </c>
    </row>
    <row r="761" spans="1:1" x14ac:dyDescent="0.25">
      <c r="A761" s="2">
        <v>1009993</v>
      </c>
    </row>
    <row r="762" spans="1:1" x14ac:dyDescent="0.25">
      <c r="A762" s="2">
        <v>1009997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EEB4A-4D0A-4876-B129-33A852FFCB55}">
  <sheetPr codeName="Sheet2"/>
  <dimension ref="A1:F2"/>
  <sheetViews>
    <sheetView workbookViewId="0">
      <selection activeCell="B1" sqref="B1"/>
    </sheetView>
  </sheetViews>
  <sheetFormatPr defaultRowHeight="15" x14ac:dyDescent="0.25"/>
  <sheetData>
    <row r="1" spans="1:6" x14ac:dyDescent="0.25">
      <c r="A1" t="s">
        <v>33</v>
      </c>
      <c r="B1" t="str" cm="1">
        <f t="array" ref="B1:F2">SPLIT_TEXT(A1:A2,",")</f>
        <v>2</v>
      </c>
      <c r="C1" t="str">
        <v>3</v>
      </c>
      <c r="D1" t="str">
        <v>4</v>
      </c>
      <c r="E1" t="str">
        <v>5</v>
      </c>
      <c r="F1" t="str">
        <v/>
      </c>
    </row>
    <row r="2" spans="1:6" x14ac:dyDescent="0.25">
      <c r="A2" t="s">
        <v>34</v>
      </c>
      <c r="B2" t="str">
        <v>6</v>
      </c>
      <c r="C2" t="str">
        <v>7</v>
      </c>
      <c r="D2" t="str">
        <v>8</v>
      </c>
      <c r="E2" t="str">
        <v>9</v>
      </c>
      <c r="F2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2025-04-18T04:52:11Z</dcterms:created>
  <dcterms:modified xsi:type="dcterms:W3CDTF">2025-06-04T05:08:29Z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2025-04-18T05:13:01Z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7dab1a95-9dc1-4f29-95aa-e6062ccece9a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