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301" documentId="8_{CE687C0E-FF4A-43D0-B788-D12A5ACC1B16}" xr6:coauthVersionLast="47" xr6:coauthVersionMax="47" xr10:uidLastSave="{391A33F1-6263-48EB-B00D-712AF8689582}"/>
  <bookViews>
    <workbookView xWindow="-120" yWindow="-120" windowWidth="20730" windowHeight="11040" xr2:uid="{2757AC02-BE8A-4C92-958A-DDE28F485553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custom_operator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derive_annual_interest_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XOR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RWORDS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js_compare_non_strict_equivalent">
          <x14:argumentDescriptions count="1">
            <x14:argumentDescription index="0">Positional argument 1</x14:argumentDescription>
          </x14:argumentDescriptions>
        </x14:definedName>
        <x14:definedName name="js_compare_pre_increment">
          <x14:argumentDescriptions count="1">
            <x14:argumentDescription index="0">Positional argument 1</x14:argumentDescription>
          </x14:argumentDescriptions>
        </x14:definedName>
        <x14:definedName name="js_compare_strict_equivalen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pcre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ud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PASSRDRAND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B1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V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rt_Circuit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short_circuit_simpl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IMPLERATEDERIVATIO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87" i="1" l="1"/>
  <c r="L86" i="1"/>
  <c r="J86" i="1"/>
  <c r="J87" i="1"/>
  <c r="N83" i="1"/>
  <c r="P83" i="1"/>
  <c r="N84" i="1"/>
  <c r="L63" i="1"/>
  <c r="J64" i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P39" i="1"/>
  <c r="N39" i="1"/>
  <c r="N40" i="1" s="1"/>
  <c r="N41" i="1" s="1"/>
  <c r="N42" i="1" s="1"/>
  <c r="N43" i="1" s="1"/>
  <c r="N44" i="1" s="1"/>
  <c r="N45" i="1" s="1"/>
  <c r="N46" i="1" s="1"/>
  <c r="N47" i="1" s="1"/>
  <c r="N48" i="1" s="1"/>
  <c r="N49" i="1" s="1"/>
  <c r="N50" i="1" s="1"/>
  <c r="N51" i="1" s="1"/>
  <c r="N52" i="1" s="1"/>
  <c r="N53" i="1" s="1"/>
  <c r="N54" i="1" s="1"/>
  <c r="N55" i="1" s="1"/>
  <c r="N56" i="1" s="1"/>
  <c r="N57" i="1" s="1"/>
  <c r="N58" i="1" s="1"/>
  <c r="N59" i="1" s="1"/>
  <c r="N60" i="1" s="1"/>
  <c r="N61" i="1" s="1"/>
  <c r="N62" i="1" s="1"/>
  <c r="N63" i="1" s="1"/>
  <c r="N64" i="1" s="1"/>
  <c r="N65" i="1" s="1"/>
  <c r="N66" i="1" s="1"/>
  <c r="N67" i="1" s="1"/>
  <c r="N68" i="1" s="1"/>
  <c r="N69" i="1" s="1"/>
  <c r="N70" i="1" s="1"/>
  <c r="N71" i="1" s="1"/>
  <c r="N72" i="1" s="1"/>
  <c r="N73" i="1" s="1"/>
  <c r="N74" i="1" s="1"/>
  <c r="N75" i="1" s="1"/>
  <c r="N76" i="1" s="1"/>
  <c r="N77" i="1" s="1"/>
  <c r="N78" i="1" s="1"/>
  <c r="L39" i="1"/>
  <c r="K40" i="1" s="1"/>
  <c r="L40" i="1" s="1"/>
  <c r="J41" i="1"/>
  <c r="J42" i="1" s="1"/>
  <c r="J43" i="1" s="1"/>
  <c r="J44" i="1" s="1"/>
  <c r="J45" i="1" s="1"/>
  <c r="J46" i="1" s="1"/>
  <c r="J47" i="1" s="1"/>
  <c r="J48" i="1" s="1"/>
  <c r="J49" i="1" s="1"/>
  <c r="J50" i="1" s="1"/>
  <c r="J51" i="1" s="1"/>
  <c r="J52" i="1" s="1"/>
  <c r="J53" i="1" s="1"/>
  <c r="J54" i="1" s="1"/>
  <c r="J55" i="1" s="1"/>
  <c r="J56" i="1" s="1"/>
  <c r="J57" i="1" s="1"/>
  <c r="J58" i="1" s="1"/>
  <c r="J40" i="1"/>
  <c r="G52" i="1"/>
  <c r="H52" i="1" s="1"/>
  <c r="F52" i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G40" i="1"/>
  <c r="H40" i="1" s="1"/>
  <c r="F41" i="1"/>
  <c r="F42" i="1"/>
  <c r="F43" i="1" s="1"/>
  <c r="F44" i="1" s="1"/>
  <c r="F45" i="1" s="1"/>
  <c r="F46" i="1" s="1"/>
  <c r="F47" i="1" s="1"/>
  <c r="F48" i="1" s="1"/>
  <c r="F40" i="1"/>
  <c r="A2" i="1"/>
  <c r="E48" i="1" a="1"/>
  <c r="E47" i="1" a="1"/>
  <c r="E46" i="1" a="1"/>
  <c r="E43" i="1" a="1"/>
  <c r="E39" i="1" a="1"/>
  <c r="E44" i="1" a="1"/>
  <c r="E48" i="1" l="1"/>
  <c r="E44" i="1"/>
  <c r="E39" i="1"/>
  <c r="E43" i="1"/>
  <c r="E46" i="1"/>
  <c r="K62" i="1" s="1"/>
  <c r="E47" i="1"/>
  <c r="O82" i="1" s="1"/>
  <c r="O40" i="1"/>
  <c r="J88" i="1"/>
  <c r="J89" i="1" s="1"/>
  <c r="J90" i="1" s="1"/>
  <c r="J91" i="1" s="1"/>
  <c r="J92" i="1" s="1"/>
  <c r="J93" i="1" s="1"/>
  <c r="J94" i="1" s="1"/>
  <c r="J95" i="1" s="1"/>
  <c r="J96" i="1" s="1"/>
  <c r="J97" i="1" s="1"/>
  <c r="J98" i="1" s="1"/>
  <c r="J99" i="1" s="1"/>
  <c r="J100" i="1" s="1"/>
  <c r="J101" i="1" s="1"/>
  <c r="L87" i="1"/>
  <c r="N85" i="1"/>
  <c r="N86" i="1" s="1"/>
  <c r="N87" i="1" s="1"/>
  <c r="N88" i="1" s="1"/>
  <c r="N89" i="1" s="1"/>
  <c r="N90" i="1" s="1"/>
  <c r="N91" i="1" s="1"/>
  <c r="N92" i="1" s="1"/>
  <c r="N93" i="1" s="1"/>
  <c r="N94" i="1" s="1"/>
  <c r="N95" i="1" s="1"/>
  <c r="N96" i="1" s="1"/>
  <c r="N97" i="1" s="1"/>
  <c r="N98" i="1" s="1"/>
  <c r="N99" i="1" s="1"/>
  <c r="N100" i="1" s="1"/>
  <c r="N101" i="1" s="1"/>
  <c r="N102" i="1" s="1"/>
  <c r="N103" i="1" s="1"/>
  <c r="N104" i="1" s="1"/>
  <c r="N105" i="1" s="1"/>
  <c r="N106" i="1" s="1"/>
  <c r="N107" i="1" s="1"/>
  <c r="N108" i="1" s="1"/>
  <c r="N109" i="1" s="1"/>
  <c r="N110" i="1" s="1"/>
  <c r="N111" i="1" s="1"/>
  <c r="N112" i="1" s="1"/>
  <c r="N113" i="1" s="1"/>
  <c r="N114" i="1" s="1"/>
  <c r="N115" i="1" s="1"/>
  <c r="N116" i="1" s="1"/>
  <c r="N117" i="1" s="1"/>
  <c r="N118" i="1" s="1"/>
  <c r="N119" i="1" s="1"/>
  <c r="N120" i="1" s="1"/>
  <c r="N121" i="1" s="1"/>
  <c r="N122" i="1" s="1"/>
  <c r="O84" i="1"/>
  <c r="P84" i="1"/>
  <c r="K64" i="1"/>
  <c r="L64" i="1"/>
  <c r="K65" i="1" s="1"/>
  <c r="P40" i="1"/>
  <c r="K41" i="1"/>
  <c r="L41" i="1"/>
  <c r="G53" i="1"/>
  <c r="H53" i="1" s="1"/>
  <c r="G41" i="1"/>
  <c r="H41" i="1" s="1"/>
  <c r="A3" i="1"/>
  <c r="B2" i="1"/>
  <c r="K88" i="1" l="1"/>
  <c r="L88" i="1" s="1"/>
  <c r="K89" i="1" s="1"/>
  <c r="O85" i="1"/>
  <c r="P85" i="1" s="1"/>
  <c r="O86" i="1" s="1"/>
  <c r="L65" i="1"/>
  <c r="K66" i="1" s="1"/>
  <c r="O41" i="1"/>
  <c r="P41" i="1"/>
  <c r="O42" i="1" s="1"/>
  <c r="P42" i="1" s="1"/>
  <c r="O43" i="1" s="1"/>
  <c r="P43" i="1" s="1"/>
  <c r="O44" i="1" s="1"/>
  <c r="P44" i="1" s="1"/>
  <c r="K42" i="1"/>
  <c r="L42" i="1" s="1"/>
  <c r="G54" i="1"/>
  <c r="H54" i="1" s="1"/>
  <c r="G42" i="1"/>
  <c r="H42" i="1" s="1"/>
  <c r="B3" i="1"/>
  <c r="A4" i="1"/>
  <c r="L89" i="1" l="1"/>
  <c r="K90" i="1" s="1"/>
  <c r="P86" i="1"/>
  <c r="O87" i="1" s="1"/>
  <c r="L66" i="1"/>
  <c r="K67" i="1" s="1"/>
  <c r="O45" i="1"/>
  <c r="P45" i="1" s="1"/>
  <c r="K43" i="1"/>
  <c r="L43" i="1" s="1"/>
  <c r="G55" i="1"/>
  <c r="H55" i="1" s="1"/>
  <c r="G43" i="1"/>
  <c r="H43" i="1" s="1"/>
  <c r="B4" i="1"/>
  <c r="A5" i="1"/>
  <c r="L90" i="1" l="1"/>
  <c r="K91" i="1" s="1"/>
  <c r="P87" i="1"/>
  <c r="O88" i="1" s="1"/>
  <c r="L67" i="1"/>
  <c r="K68" i="1" s="1"/>
  <c r="O46" i="1"/>
  <c r="P46" i="1" s="1"/>
  <c r="K44" i="1"/>
  <c r="L44" i="1" s="1"/>
  <c r="G56" i="1"/>
  <c r="H56" i="1" s="1"/>
  <c r="G44" i="1"/>
  <c r="H44" i="1" s="1"/>
  <c r="B5" i="1"/>
  <c r="A6" i="1"/>
  <c r="L91" i="1" l="1"/>
  <c r="K92" i="1" s="1"/>
  <c r="P88" i="1"/>
  <c r="O89" i="1" s="1"/>
  <c r="L68" i="1"/>
  <c r="K69" i="1" s="1"/>
  <c r="O47" i="1"/>
  <c r="P47" i="1" s="1"/>
  <c r="K45" i="1"/>
  <c r="L45" i="1" s="1"/>
  <c r="G57" i="1"/>
  <c r="H57" i="1" s="1"/>
  <c r="G45" i="1"/>
  <c r="H45" i="1" s="1"/>
  <c r="B6" i="1"/>
  <c r="A7" i="1"/>
  <c r="L92" i="1" l="1"/>
  <c r="K93" i="1" s="1"/>
  <c r="P89" i="1"/>
  <c r="O90" i="1" s="1"/>
  <c r="L69" i="1"/>
  <c r="K70" i="1" s="1"/>
  <c r="O48" i="1"/>
  <c r="P48" i="1" s="1"/>
  <c r="K46" i="1"/>
  <c r="L46" i="1" s="1"/>
  <c r="G58" i="1"/>
  <c r="H58" i="1" s="1"/>
  <c r="G46" i="1"/>
  <c r="H46" i="1" s="1"/>
  <c r="B7" i="1"/>
  <c r="A8" i="1"/>
  <c r="L93" i="1" l="1"/>
  <c r="K94" i="1" s="1"/>
  <c r="P90" i="1"/>
  <c r="O91" i="1" s="1"/>
  <c r="L70" i="1"/>
  <c r="K71" i="1" s="1"/>
  <c r="O49" i="1"/>
  <c r="P49" i="1" s="1"/>
  <c r="K47" i="1"/>
  <c r="L47" i="1" s="1"/>
  <c r="G59" i="1"/>
  <c r="H59" i="1" s="1"/>
  <c r="G47" i="1"/>
  <c r="H47" i="1" s="1"/>
  <c r="B8" i="1"/>
  <c r="A9" i="1"/>
  <c r="L94" i="1" l="1"/>
  <c r="K95" i="1" s="1"/>
  <c r="P91" i="1"/>
  <c r="O92" i="1" s="1"/>
  <c r="L71" i="1"/>
  <c r="K72" i="1" s="1"/>
  <c r="O50" i="1"/>
  <c r="P50" i="1" s="1"/>
  <c r="K48" i="1"/>
  <c r="L48" i="1" s="1"/>
  <c r="G60" i="1"/>
  <c r="H60" i="1" s="1"/>
  <c r="G48" i="1"/>
  <c r="H48" i="1" s="1"/>
  <c r="B9" i="1"/>
  <c r="A10" i="1"/>
  <c r="L95" i="1" l="1"/>
  <c r="K96" i="1" s="1"/>
  <c r="P92" i="1"/>
  <c r="O93" i="1" s="1"/>
  <c r="L72" i="1"/>
  <c r="K73" i="1" s="1"/>
  <c r="O51" i="1"/>
  <c r="P51" i="1" s="1"/>
  <c r="K49" i="1"/>
  <c r="L49" i="1" s="1"/>
  <c r="G61" i="1"/>
  <c r="H61" i="1" s="1"/>
  <c r="G49" i="1"/>
  <c r="H49" i="1" s="1"/>
  <c r="B10" i="1"/>
  <c r="A11" i="1"/>
  <c r="L96" i="1" l="1"/>
  <c r="K97" i="1" s="1"/>
  <c r="P93" i="1"/>
  <c r="O94" i="1" s="1"/>
  <c r="L73" i="1"/>
  <c r="K74" i="1" s="1"/>
  <c r="O52" i="1"/>
  <c r="P52" i="1" s="1"/>
  <c r="K50" i="1"/>
  <c r="L50" i="1" s="1"/>
  <c r="G62" i="1"/>
  <c r="H62" i="1" s="1"/>
  <c r="B11" i="1"/>
  <c r="A12" i="1"/>
  <c r="L97" i="1" l="1"/>
  <c r="K98" i="1" s="1"/>
  <c r="P94" i="1"/>
  <c r="O95" i="1" s="1"/>
  <c r="L74" i="1"/>
  <c r="K75" i="1" s="1"/>
  <c r="O53" i="1"/>
  <c r="P53" i="1" s="1"/>
  <c r="K51" i="1"/>
  <c r="L51" i="1" s="1"/>
  <c r="G63" i="1"/>
  <c r="H63" i="1" s="1"/>
  <c r="B12" i="1"/>
  <c r="A13" i="1"/>
  <c r="L98" i="1" l="1"/>
  <c r="K99" i="1" s="1"/>
  <c r="P95" i="1"/>
  <c r="O96" i="1" s="1"/>
  <c r="L75" i="1"/>
  <c r="K76" i="1" s="1"/>
  <c r="O54" i="1"/>
  <c r="P54" i="1" s="1"/>
  <c r="K52" i="1"/>
  <c r="L52" i="1" s="1"/>
  <c r="G64" i="1"/>
  <c r="H64" i="1" s="1"/>
  <c r="B13" i="1"/>
  <c r="A14" i="1"/>
  <c r="L99" i="1" l="1"/>
  <c r="K100" i="1" s="1"/>
  <c r="P96" i="1"/>
  <c r="O97" i="1" s="1"/>
  <c r="L76" i="1"/>
  <c r="K77" i="1" s="1"/>
  <c r="O55" i="1"/>
  <c r="P55" i="1" s="1"/>
  <c r="K53" i="1"/>
  <c r="L53" i="1" s="1"/>
  <c r="G65" i="1"/>
  <c r="H65" i="1" s="1"/>
  <c r="A15" i="1"/>
  <c r="B14" i="1"/>
  <c r="L100" i="1" l="1"/>
  <c r="K101" i="1" s="1"/>
  <c r="P97" i="1"/>
  <c r="O98" i="1" s="1"/>
  <c r="L77" i="1"/>
  <c r="K78" i="1" s="1"/>
  <c r="O56" i="1"/>
  <c r="P56" i="1" s="1"/>
  <c r="K54" i="1"/>
  <c r="L54" i="1" s="1"/>
  <c r="G66" i="1"/>
  <c r="H66" i="1" s="1"/>
  <c r="A16" i="1"/>
  <c r="B15" i="1"/>
  <c r="L101" i="1" l="1"/>
  <c r="K102" i="1" s="1"/>
  <c r="P98" i="1"/>
  <c r="O99" i="1" s="1"/>
  <c r="L78" i="1"/>
  <c r="K79" i="1" s="1"/>
  <c r="O57" i="1"/>
  <c r="P57" i="1" s="1"/>
  <c r="K55" i="1"/>
  <c r="L55" i="1" s="1"/>
  <c r="G67" i="1"/>
  <c r="H67" i="1" s="1"/>
  <c r="B16" i="1"/>
  <c r="A17" i="1"/>
  <c r="L102" i="1" l="1"/>
  <c r="P99" i="1"/>
  <c r="O100" i="1" s="1"/>
  <c r="L79" i="1"/>
  <c r="K80" i="1" s="1"/>
  <c r="O58" i="1"/>
  <c r="P58" i="1" s="1"/>
  <c r="K56" i="1"/>
  <c r="L56" i="1" s="1"/>
  <c r="G68" i="1"/>
  <c r="H68" i="1" s="1"/>
  <c r="B17" i="1"/>
  <c r="A18" i="1"/>
  <c r="P100" i="1" l="1"/>
  <c r="O101" i="1" s="1"/>
  <c r="L80" i="1"/>
  <c r="K81" i="1" s="1"/>
  <c r="O59" i="1"/>
  <c r="P59" i="1" s="1"/>
  <c r="K57" i="1"/>
  <c r="L57" i="1" s="1"/>
  <c r="G69" i="1"/>
  <c r="H69" i="1" s="1"/>
  <c r="B18" i="1"/>
  <c r="A19" i="1"/>
  <c r="P101" i="1" l="1"/>
  <c r="O102" i="1" s="1"/>
  <c r="L81" i="1"/>
  <c r="K82" i="1" s="1"/>
  <c r="O60" i="1"/>
  <c r="P60" i="1" s="1"/>
  <c r="K58" i="1"/>
  <c r="L58" i="1" s="1"/>
  <c r="K59" i="1" s="1"/>
  <c r="L59" i="1" s="1"/>
  <c r="B19" i="1"/>
  <c r="A20" i="1"/>
  <c r="P102" i="1" l="1"/>
  <c r="O103" i="1" s="1"/>
  <c r="L82" i="1"/>
  <c r="K83" i="1" s="1"/>
  <c r="O61" i="1"/>
  <c r="P61" i="1" s="1"/>
  <c r="B20" i="1"/>
  <c r="A21" i="1"/>
  <c r="P103" i="1" l="1"/>
  <c r="O104" i="1" s="1"/>
  <c r="L83" i="1"/>
  <c r="O62" i="1"/>
  <c r="P62" i="1" s="1"/>
  <c r="B21" i="1"/>
  <c r="A22" i="1"/>
  <c r="P104" i="1" l="1"/>
  <c r="O105" i="1" s="1"/>
  <c r="O63" i="1"/>
  <c r="P63" i="1" s="1"/>
  <c r="A23" i="1"/>
  <c r="B22" i="1"/>
  <c r="P105" i="1" l="1"/>
  <c r="O106" i="1" s="1"/>
  <c r="O64" i="1"/>
  <c r="P64" i="1" s="1"/>
  <c r="B23" i="1"/>
  <c r="A24" i="1"/>
  <c r="P106" i="1" l="1"/>
  <c r="O107" i="1" s="1"/>
  <c r="O65" i="1"/>
  <c r="P65" i="1" s="1"/>
  <c r="B24" i="1"/>
  <c r="A25" i="1"/>
  <c r="P107" i="1" l="1"/>
  <c r="O108" i="1" s="1"/>
  <c r="O66" i="1"/>
  <c r="P66" i="1" s="1"/>
  <c r="B25" i="1"/>
  <c r="A26" i="1"/>
  <c r="P108" i="1" l="1"/>
  <c r="O109" i="1" s="1"/>
  <c r="O67" i="1"/>
  <c r="P67" i="1" s="1"/>
  <c r="B26" i="1"/>
  <c r="A27" i="1"/>
  <c r="P109" i="1" l="1"/>
  <c r="O110" i="1" s="1"/>
  <c r="O68" i="1"/>
  <c r="P68" i="1" s="1"/>
  <c r="B27" i="1"/>
  <c r="A28" i="1"/>
  <c r="P110" i="1" l="1"/>
  <c r="O111" i="1" s="1"/>
  <c r="O69" i="1"/>
  <c r="P69" i="1" s="1"/>
  <c r="B28" i="1"/>
  <c r="A29" i="1"/>
  <c r="P111" i="1" l="1"/>
  <c r="O112" i="1" s="1"/>
  <c r="O70" i="1"/>
  <c r="P70" i="1" s="1"/>
  <c r="B29" i="1"/>
  <c r="A30" i="1"/>
  <c r="P112" i="1" l="1"/>
  <c r="O113" i="1" s="1"/>
  <c r="O71" i="1"/>
  <c r="P71" i="1" s="1"/>
  <c r="B30" i="1"/>
  <c r="A31" i="1"/>
  <c r="P113" i="1" l="1"/>
  <c r="O114" i="1" s="1"/>
  <c r="O72" i="1"/>
  <c r="P72" i="1" s="1"/>
  <c r="B31" i="1"/>
  <c r="A32" i="1"/>
  <c r="P114" i="1" l="1"/>
  <c r="O115" i="1" s="1"/>
  <c r="O73" i="1"/>
  <c r="P73" i="1" s="1"/>
  <c r="B32" i="1"/>
  <c r="A33" i="1"/>
  <c r="F2" i="1" s="1" a="1"/>
  <c r="F2" i="1" l="1"/>
  <c r="I35" i="1"/>
  <c r="J35" i="1" s="1"/>
  <c r="P115" i="1"/>
  <c r="O116" i="1" s="1"/>
  <c r="O74" i="1"/>
  <c r="P74" i="1" s="1"/>
  <c r="B33" i="1"/>
  <c r="P116" i="1" l="1"/>
  <c r="O117" i="1" s="1"/>
  <c r="O75" i="1"/>
  <c r="P75" i="1" s="1"/>
  <c r="B34" i="1"/>
  <c r="P117" i="1" l="1"/>
  <c r="O118" i="1" s="1"/>
  <c r="O76" i="1"/>
  <c r="P76" i="1" s="1"/>
  <c r="I2" i="1"/>
  <c r="J2" i="1" s="1"/>
  <c r="I3" i="1"/>
  <c r="I4" i="1"/>
  <c r="G3" i="1"/>
  <c r="H3" i="1" s="1"/>
  <c r="G4" i="1" s="1"/>
  <c r="H4" i="1" s="1"/>
  <c r="G5" i="1" s="1"/>
  <c r="H5" i="1" s="1"/>
  <c r="G6" i="1" s="1"/>
  <c r="H6" i="1" s="1"/>
  <c r="G7" i="1" s="1"/>
  <c r="H7" i="1" s="1"/>
  <c r="G8" i="1" s="1"/>
  <c r="H8" i="1" s="1"/>
  <c r="G9" i="1" s="1"/>
  <c r="H9" i="1" s="1"/>
  <c r="G10" i="1" s="1"/>
  <c r="H10" i="1" s="1"/>
  <c r="G11" i="1" s="1"/>
  <c r="H11" i="1" s="1"/>
  <c r="G12" i="1" s="1"/>
  <c r="H12" i="1" s="1"/>
  <c r="G13" i="1" s="1"/>
  <c r="H13" i="1" s="1"/>
  <c r="G14" i="1" s="1"/>
  <c r="H14" i="1" s="1"/>
  <c r="G15" i="1" s="1"/>
  <c r="H15" i="1" s="1"/>
  <c r="G16" i="1" s="1"/>
  <c r="H16" i="1" s="1"/>
  <c r="G17" i="1" s="1"/>
  <c r="H17" i="1" s="1"/>
  <c r="G18" i="1" s="1"/>
  <c r="H18" i="1" s="1"/>
  <c r="G19" i="1" s="1"/>
  <c r="H19" i="1" s="1"/>
  <c r="G20" i="1" s="1"/>
  <c r="H20" i="1" s="1"/>
  <c r="G21" i="1" s="1"/>
  <c r="H21" i="1" s="1"/>
  <c r="G22" i="1" s="1"/>
  <c r="H22" i="1" s="1"/>
  <c r="G23" i="1" s="1"/>
  <c r="H23" i="1" s="1"/>
  <c r="G24" i="1" s="1"/>
  <c r="H24" i="1" s="1"/>
  <c r="G25" i="1" s="1"/>
  <c r="H25" i="1" s="1"/>
  <c r="G26" i="1" s="1"/>
  <c r="H26" i="1" s="1"/>
  <c r="G27" i="1" s="1"/>
  <c r="H27" i="1" s="1"/>
  <c r="G28" i="1" s="1"/>
  <c r="H28" i="1" s="1"/>
  <c r="G29" i="1" s="1"/>
  <c r="H29" i="1" s="1"/>
  <c r="G30" i="1" s="1"/>
  <c r="H30" i="1" s="1"/>
  <c r="G31" i="1" s="1"/>
  <c r="H31" i="1" s="1"/>
  <c r="G32" i="1" s="1"/>
  <c r="H32" i="1" s="1"/>
  <c r="G33" i="1" s="1"/>
  <c r="H33" i="1" s="1"/>
  <c r="G34" i="1" s="1"/>
  <c r="H34" i="1" s="1"/>
  <c r="G35" i="1" s="1"/>
  <c r="H35" i="1" s="1"/>
  <c r="P118" i="1" l="1"/>
  <c r="O119" i="1" s="1"/>
  <c r="O77" i="1"/>
  <c r="P77" i="1" s="1"/>
  <c r="P119" i="1" l="1"/>
  <c r="O120" i="1" s="1"/>
  <c r="O78" i="1"/>
  <c r="P78" i="1" s="1"/>
  <c r="O79" i="1" s="1"/>
  <c r="P120" i="1" l="1"/>
  <c r="O121" i="1" s="1"/>
  <c r="P79" i="1"/>
  <c r="P121" i="1" l="1"/>
  <c r="O122" i="1" s="1"/>
  <c r="P122" i="1" l="1"/>
  <c r="O123" i="1" s="1"/>
  <c r="P12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<sst xmlns="http://schemas.openxmlformats.org/spreadsheetml/2006/main" count="5" uniqueCount="4">
  <si>
    <t>Nifty</t>
  </si>
  <si>
    <t>&lt;&lt;&lt; Quarterly Compounded Return - NIFTY 5 &amp; 10 Years</t>
  </si>
  <si>
    <t>&lt;&lt;&lt; Without First and Last Day (Add / Less) adjustment</t>
  </si>
  <si>
    <t>Without First / Last Day (Add / Less Adjustment)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</si>
</sst>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%"/>
    <numFmt numFmtId="165" formatCode="0.00000000000"/>
  </numFmts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10" fontId="0" fillId="0" borderId="0" xfId="0" applyNumberFormat="1"/>
    <xf numFmtId="0" fontId="0" fillId="0" borderId="0" xfId="1" applyNumberFormat="1" applyFont="1"/>
    <xf numFmtId="164" fontId="0" fillId="0" borderId="0" xfId="1" applyNumberFormat="1" applyFont="1"/>
    <xf numFmtId="165" fontId="0" fillId="0" borderId="0" xfId="0" applyNumberFormat="1"/>
    <xf numFmtId="9" fontId="0" fillId="0" borderId="0" xfId="1" applyFont="1"/>
    <xf numFmtId="1" fontId="0" fillId="0" borderId="0" xfId="0" applyNumberFormat="1"/>
    <xf numFmtId="14" fontId="2" fillId="0" borderId="0" xfId="0" applyNumberFormat="1" applyFont="1"/>
    <xf numFmtId="0" fontId="2" fillId="0" borderId="0" xfId="0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39107-03AF-4698-9A4A-873E50C48E1E}">
  <sheetPr codeName="Sheet1"/>
  <dimension ref="A1:T123"/>
  <sheetViews>
    <sheetView tabSelected="1" topLeftCell="A40" workbookViewId="0">
      <selection activeCell="A38" sqref="A38"/>
    </sheetView>
  </sheetViews>
  <sheetFormatPr defaultRowHeight="15" x14ac:dyDescent="0.25"/>
  <cols>
    <col min="1" max="2" width="10.42578125" bestFit="1" customWidth="1"/>
    <col min="5" max="5" width="13" customWidth="1"/>
    <col min="6" max="6" width="10.42578125" bestFit="1" customWidth="1"/>
    <col min="7" max="7" width="13.28515625" bestFit="1" customWidth="1"/>
    <col min="8" max="8" width="21.28515625" customWidth="1"/>
    <col min="9" max="9" width="10.42578125" bestFit="1" customWidth="1"/>
    <col min="10" max="10" width="17.85546875" bestFit="1" customWidth="1"/>
    <col min="11" max="11" width="13.28515625" bestFit="1" customWidth="1"/>
    <col min="12" max="12" width="10.42578125" bestFit="1" customWidth="1"/>
    <col min="14" max="14" width="10.42578125" bestFit="1" customWidth="1"/>
    <col min="15" max="15" width="11.140625" bestFit="1" customWidth="1"/>
  </cols>
  <sheetData>
    <row r="1" spans="1:10" x14ac:dyDescent="0.25">
      <c r="A1" s="1">
        <v>42631</v>
      </c>
      <c r="B1" s="1"/>
      <c r="G1" s="2">
        <v>6.7500000000000004E-2</v>
      </c>
    </row>
    <row r="2" spans="1:10" x14ac:dyDescent="0.25">
      <c r="A2" s="1">
        <f>EDATE(A1,3)</f>
        <v>42722</v>
      </c>
      <c r="B2">
        <f>A2-A1+1</f>
        <v>92</v>
      </c>
      <c r="F2" s="1" cm="1">
        <f t="array" ref="F2:F35">A1:A34</f>
        <v>42631</v>
      </c>
      <c r="H2">
        <v>100</v>
      </c>
      <c r="I2" t="str">
        <f>TEXT(F2,"dd-mm-yyyy")</f>
        <v>18-09-2016</v>
      </c>
      <c r="J2">
        <f>DATEVALUE(I2)</f>
        <v>42631</v>
      </c>
    </row>
    <row r="3" spans="1:10" x14ac:dyDescent="0.25">
      <c r="A3" s="1">
        <f t="shared" ref="A3:A14" si="0">EDATE(A2,3)</f>
        <v>42812</v>
      </c>
      <c r="B3">
        <f>A3-A2</f>
        <v>90</v>
      </c>
      <c r="F3" s="1">
        <v>42722</v>
      </c>
      <c r="G3">
        <f>H2*$G$1*((F3-F2+1)/365)</f>
        <v>1.7013698630136989</v>
      </c>
      <c r="H3">
        <f>H2+G3</f>
        <v>101.7013698630137</v>
      </c>
      <c r="I3">
        <f>F3-F2+1</f>
        <v>92</v>
      </c>
    </row>
    <row r="4" spans="1:10" x14ac:dyDescent="0.25">
      <c r="A4" s="1">
        <f t="shared" si="0"/>
        <v>42904</v>
      </c>
      <c r="B4">
        <f t="shared" ref="B4:B34" si="1">A4-A3</f>
        <v>92</v>
      </c>
      <c r="F4" s="1">
        <v>42812</v>
      </c>
      <c r="G4">
        <f t="shared" ref="G4:G16" si="2">H3*$G$1*((F4-F3)/365)</f>
        <v>1.6927008819665978</v>
      </c>
      <c r="H4">
        <f t="shared" ref="H4:H16" si="3">H3+G4</f>
        <v>103.3940707449803</v>
      </c>
      <c r="I4">
        <f>F4-F3</f>
        <v>90</v>
      </c>
    </row>
    <row r="5" spans="1:10" x14ac:dyDescent="0.25">
      <c r="A5" s="1">
        <f t="shared" si="0"/>
        <v>42996</v>
      </c>
      <c r="B5">
        <f t="shared" si="1"/>
        <v>92</v>
      </c>
      <c r="F5" s="1">
        <v>42904</v>
      </c>
      <c r="G5">
        <f t="shared" si="2"/>
        <v>1.759115559798158</v>
      </c>
      <c r="H5">
        <f t="shared" si="3"/>
        <v>105.15318630477846</v>
      </c>
    </row>
    <row r="6" spans="1:10" x14ac:dyDescent="0.25">
      <c r="A6" s="1">
        <f t="shared" si="0"/>
        <v>43087</v>
      </c>
      <c r="B6">
        <f t="shared" si="1"/>
        <v>91</v>
      </c>
      <c r="F6" s="1">
        <v>42996</v>
      </c>
      <c r="G6">
        <f t="shared" si="2"/>
        <v>1.7890446217881488</v>
      </c>
      <c r="H6">
        <f t="shared" si="3"/>
        <v>106.94223092656661</v>
      </c>
    </row>
    <row r="7" spans="1:10" x14ac:dyDescent="0.25">
      <c r="A7" s="1">
        <f t="shared" si="0"/>
        <v>43177</v>
      </c>
      <c r="B7">
        <f t="shared" si="1"/>
        <v>90</v>
      </c>
      <c r="F7" s="1">
        <v>43087</v>
      </c>
      <c r="G7">
        <f t="shared" si="2"/>
        <v>1.7997058999080422</v>
      </c>
      <c r="H7">
        <f t="shared" si="3"/>
        <v>108.74193682647466</v>
      </c>
    </row>
    <row r="8" spans="1:10" x14ac:dyDescent="0.25">
      <c r="A8" s="1">
        <f t="shared" si="0"/>
        <v>43269</v>
      </c>
      <c r="B8">
        <f t="shared" si="1"/>
        <v>92</v>
      </c>
      <c r="F8" s="1">
        <v>43177</v>
      </c>
      <c r="G8">
        <f t="shared" si="2"/>
        <v>1.8098829211529686</v>
      </c>
      <c r="H8">
        <f t="shared" si="3"/>
        <v>110.55181974762762</v>
      </c>
    </row>
    <row r="9" spans="1:10" x14ac:dyDescent="0.25">
      <c r="A9" s="1">
        <f t="shared" si="0"/>
        <v>43361</v>
      </c>
      <c r="B9">
        <f t="shared" si="1"/>
        <v>92</v>
      </c>
      <c r="F9" s="1">
        <v>43269</v>
      </c>
      <c r="G9">
        <f t="shared" si="2"/>
        <v>1.8808953441993632</v>
      </c>
      <c r="H9">
        <f t="shared" si="3"/>
        <v>112.43271509182698</v>
      </c>
    </row>
    <row r="10" spans="1:10" x14ac:dyDescent="0.25">
      <c r="A10" s="1">
        <f t="shared" si="0"/>
        <v>43452</v>
      </c>
      <c r="B10">
        <f t="shared" si="1"/>
        <v>91</v>
      </c>
      <c r="F10" s="1">
        <v>43361</v>
      </c>
      <c r="G10">
        <f t="shared" si="2"/>
        <v>1.912896330740399</v>
      </c>
      <c r="H10">
        <f t="shared" si="3"/>
        <v>114.34561142256737</v>
      </c>
    </row>
    <row r="11" spans="1:10" x14ac:dyDescent="0.25">
      <c r="A11" s="1">
        <f>EDATE(A10,3)</f>
        <v>43542</v>
      </c>
      <c r="B11">
        <f t="shared" si="1"/>
        <v>90</v>
      </c>
      <c r="F11" s="1">
        <v>43452</v>
      </c>
      <c r="G11">
        <f t="shared" si="2"/>
        <v>1.9242956662003292</v>
      </c>
      <c r="H11">
        <f t="shared" si="3"/>
        <v>116.2699070887677</v>
      </c>
    </row>
    <row r="12" spans="1:10" x14ac:dyDescent="0.25">
      <c r="A12" s="1">
        <f t="shared" si="0"/>
        <v>43634</v>
      </c>
      <c r="B12">
        <f t="shared" si="1"/>
        <v>92</v>
      </c>
      <c r="F12" s="1">
        <v>43542</v>
      </c>
      <c r="G12">
        <f t="shared" si="2"/>
        <v>1.9351772207240103</v>
      </c>
      <c r="H12">
        <f t="shared" si="3"/>
        <v>118.20508430949171</v>
      </c>
    </row>
    <row r="13" spans="1:10" x14ac:dyDescent="0.25">
      <c r="A13" s="1">
        <f t="shared" si="0"/>
        <v>43726</v>
      </c>
      <c r="B13">
        <f t="shared" si="1"/>
        <v>92</v>
      </c>
      <c r="F13" s="1">
        <v>43634</v>
      </c>
      <c r="G13">
        <f t="shared" si="2"/>
        <v>2.0111056809916263</v>
      </c>
      <c r="H13">
        <f t="shared" si="3"/>
        <v>120.21618999048334</v>
      </c>
    </row>
    <row r="14" spans="1:10" x14ac:dyDescent="0.25">
      <c r="A14" s="1">
        <f t="shared" si="0"/>
        <v>43817</v>
      </c>
      <c r="B14">
        <f t="shared" si="1"/>
        <v>91</v>
      </c>
      <c r="F14" s="1">
        <v>43726</v>
      </c>
      <c r="G14">
        <f t="shared" si="2"/>
        <v>2.0453220269613741</v>
      </c>
      <c r="H14">
        <f t="shared" si="3"/>
        <v>122.26151201744472</v>
      </c>
    </row>
    <row r="15" spans="1:10" x14ac:dyDescent="0.25">
      <c r="A15" s="1">
        <f>EDATE(A14,3)</f>
        <v>43908</v>
      </c>
      <c r="B15">
        <f t="shared" si="1"/>
        <v>91</v>
      </c>
      <c r="F15" s="1">
        <v>43817</v>
      </c>
      <c r="G15">
        <f t="shared" si="2"/>
        <v>2.0575105138826144</v>
      </c>
      <c r="H15">
        <f t="shared" si="3"/>
        <v>124.31902253132733</v>
      </c>
      <c r="I15" s="1"/>
      <c r="J15" s="1"/>
    </row>
    <row r="16" spans="1:10" x14ac:dyDescent="0.25">
      <c r="A16" s="1">
        <f t="shared" ref="A16:A33" si="4">EDATE(A15,3)</f>
        <v>44000</v>
      </c>
      <c r="B16">
        <f t="shared" si="1"/>
        <v>92</v>
      </c>
      <c r="F16" s="1">
        <v>43908</v>
      </c>
      <c r="G16">
        <f t="shared" si="2"/>
        <v>2.0921358791744606</v>
      </c>
      <c r="H16">
        <f t="shared" si="3"/>
        <v>126.4111584105018</v>
      </c>
    </row>
    <row r="17" spans="1:8" x14ac:dyDescent="0.25">
      <c r="A17" s="1">
        <f t="shared" si="4"/>
        <v>44092</v>
      </c>
      <c r="B17">
        <f t="shared" si="1"/>
        <v>92</v>
      </c>
      <c r="F17" s="1">
        <v>44000</v>
      </c>
      <c r="G17">
        <f t="shared" ref="G17:G34" si="5">H16*$G$1*((F17-F16)/365)</f>
        <v>2.1507213526827846</v>
      </c>
      <c r="H17">
        <f t="shared" ref="H17:H35" si="6">H16+G17</f>
        <v>128.56187976318458</v>
      </c>
    </row>
    <row r="18" spans="1:8" x14ac:dyDescent="0.25">
      <c r="A18" s="1">
        <f t="shared" si="4"/>
        <v>44183</v>
      </c>
      <c r="B18">
        <f t="shared" si="1"/>
        <v>91</v>
      </c>
      <c r="F18" s="1">
        <v>44092</v>
      </c>
      <c r="G18">
        <f t="shared" si="5"/>
        <v>2.1873130776147298</v>
      </c>
      <c r="H18">
        <f t="shared" si="6"/>
        <v>130.74919284079931</v>
      </c>
    </row>
    <row r="19" spans="1:8" x14ac:dyDescent="0.25">
      <c r="A19" s="1">
        <f t="shared" si="4"/>
        <v>44273</v>
      </c>
      <c r="B19">
        <f t="shared" si="1"/>
        <v>90</v>
      </c>
      <c r="F19" s="1">
        <v>44183</v>
      </c>
      <c r="G19">
        <f t="shared" si="5"/>
        <v>2.2003477178756432</v>
      </c>
      <c r="H19">
        <f t="shared" si="6"/>
        <v>132.94954055867495</v>
      </c>
    </row>
    <row r="20" spans="1:8" x14ac:dyDescent="0.25">
      <c r="A20" s="1">
        <f t="shared" si="4"/>
        <v>44365</v>
      </c>
      <c r="B20">
        <f t="shared" si="1"/>
        <v>92</v>
      </c>
      <c r="F20" s="1">
        <v>44273</v>
      </c>
      <c r="G20">
        <f t="shared" si="5"/>
        <v>2.21279029833959</v>
      </c>
      <c r="H20">
        <f t="shared" si="6"/>
        <v>135.16233085701455</v>
      </c>
    </row>
    <row r="21" spans="1:8" x14ac:dyDescent="0.25">
      <c r="A21" s="1">
        <f t="shared" si="4"/>
        <v>44457</v>
      </c>
      <c r="B21">
        <f t="shared" si="1"/>
        <v>92</v>
      </c>
      <c r="F21" s="1">
        <v>44365</v>
      </c>
      <c r="G21">
        <f t="shared" si="5"/>
        <v>2.2996111633481111</v>
      </c>
      <c r="H21">
        <f t="shared" si="6"/>
        <v>137.46194202036267</v>
      </c>
    </row>
    <row r="22" spans="1:8" x14ac:dyDescent="0.25">
      <c r="A22" s="1">
        <f t="shared" si="4"/>
        <v>44548</v>
      </c>
      <c r="B22">
        <f t="shared" si="1"/>
        <v>91</v>
      </c>
      <c r="F22" s="1">
        <v>44457</v>
      </c>
      <c r="G22">
        <f t="shared" si="5"/>
        <v>2.3387360546478146</v>
      </c>
      <c r="H22">
        <f t="shared" si="6"/>
        <v>139.8006780750105</v>
      </c>
    </row>
    <row r="23" spans="1:8" x14ac:dyDescent="0.25">
      <c r="A23" s="1">
        <f t="shared" si="4"/>
        <v>44638</v>
      </c>
      <c r="B23">
        <f t="shared" si="1"/>
        <v>90</v>
      </c>
      <c r="F23" s="1">
        <v>44548</v>
      </c>
      <c r="G23">
        <f t="shared" si="5"/>
        <v>2.35267305500206</v>
      </c>
      <c r="H23">
        <f t="shared" si="6"/>
        <v>142.15335113001257</v>
      </c>
    </row>
    <row r="24" spans="1:8" x14ac:dyDescent="0.25">
      <c r="A24" s="1">
        <f t="shared" si="4"/>
        <v>44730</v>
      </c>
      <c r="B24">
        <f t="shared" si="1"/>
        <v>92</v>
      </c>
      <c r="F24" s="1">
        <v>44638</v>
      </c>
      <c r="G24">
        <f t="shared" si="5"/>
        <v>2.3659770085337706</v>
      </c>
      <c r="H24">
        <f t="shared" si="6"/>
        <v>144.51932813854634</v>
      </c>
    </row>
    <row r="25" spans="1:8" x14ac:dyDescent="0.25">
      <c r="A25" s="1">
        <f t="shared" si="4"/>
        <v>44822</v>
      </c>
      <c r="B25">
        <f t="shared" si="1"/>
        <v>92</v>
      </c>
      <c r="F25" s="1">
        <v>44730</v>
      </c>
      <c r="G25">
        <f t="shared" si="5"/>
        <v>2.4588082951791037</v>
      </c>
      <c r="H25">
        <f t="shared" si="6"/>
        <v>146.97813643372544</v>
      </c>
    </row>
    <row r="26" spans="1:8" x14ac:dyDescent="0.25">
      <c r="A26" s="1">
        <f t="shared" si="4"/>
        <v>44913</v>
      </c>
      <c r="B26">
        <f t="shared" si="1"/>
        <v>91</v>
      </c>
      <c r="F26" s="1">
        <v>44822</v>
      </c>
      <c r="G26">
        <f t="shared" si="5"/>
        <v>2.5006417185025618</v>
      </c>
      <c r="H26">
        <f t="shared" si="6"/>
        <v>149.47877815222799</v>
      </c>
    </row>
    <row r="27" spans="1:8" x14ac:dyDescent="0.25">
      <c r="A27" s="1">
        <f t="shared" si="4"/>
        <v>45003</v>
      </c>
      <c r="B27">
        <f t="shared" si="1"/>
        <v>90</v>
      </c>
      <c r="F27" s="1">
        <v>44913</v>
      </c>
      <c r="G27">
        <f t="shared" si="5"/>
        <v>2.5155435473974257</v>
      </c>
      <c r="H27">
        <f t="shared" si="6"/>
        <v>151.9943216996254</v>
      </c>
    </row>
    <row r="28" spans="1:8" x14ac:dyDescent="0.25">
      <c r="A28" s="1">
        <f t="shared" si="4"/>
        <v>45095</v>
      </c>
      <c r="B28">
        <f t="shared" si="1"/>
        <v>92</v>
      </c>
      <c r="F28" s="1">
        <v>45003</v>
      </c>
      <c r="G28">
        <f t="shared" si="5"/>
        <v>2.5297685050006149</v>
      </c>
      <c r="H28">
        <f t="shared" si="6"/>
        <v>154.52409020462602</v>
      </c>
    </row>
    <row r="29" spans="1:8" x14ac:dyDescent="0.25">
      <c r="A29" s="1">
        <f t="shared" si="4"/>
        <v>45187</v>
      </c>
      <c r="B29">
        <f t="shared" si="1"/>
        <v>92</v>
      </c>
      <c r="F29" s="1">
        <v>45095</v>
      </c>
      <c r="G29">
        <f t="shared" si="5"/>
        <v>2.6290263018376105</v>
      </c>
      <c r="H29">
        <f t="shared" si="6"/>
        <v>157.15311650646362</v>
      </c>
    </row>
    <row r="30" spans="1:8" x14ac:dyDescent="0.25">
      <c r="A30" s="1">
        <f t="shared" si="4"/>
        <v>45278</v>
      </c>
      <c r="B30">
        <f t="shared" si="1"/>
        <v>91</v>
      </c>
      <c r="F30" s="1">
        <v>45187</v>
      </c>
      <c r="G30">
        <f t="shared" si="5"/>
        <v>2.6737557630277786</v>
      </c>
      <c r="H30">
        <f t="shared" si="6"/>
        <v>159.82687226949139</v>
      </c>
    </row>
    <row r="31" spans="1:8" x14ac:dyDescent="0.25">
      <c r="A31" s="1">
        <f t="shared" si="4"/>
        <v>45369</v>
      </c>
      <c r="B31">
        <f t="shared" si="1"/>
        <v>91</v>
      </c>
      <c r="F31" s="1">
        <v>45278</v>
      </c>
      <c r="G31">
        <f t="shared" si="5"/>
        <v>2.689689213466715</v>
      </c>
      <c r="H31">
        <f t="shared" si="6"/>
        <v>162.51656148295811</v>
      </c>
    </row>
    <row r="32" spans="1:8" x14ac:dyDescent="0.25">
      <c r="A32" s="1">
        <f t="shared" si="4"/>
        <v>45461</v>
      </c>
      <c r="B32">
        <f t="shared" si="1"/>
        <v>92</v>
      </c>
      <c r="F32" s="1">
        <v>45369</v>
      </c>
      <c r="G32">
        <f t="shared" si="5"/>
        <v>2.7349533668741652</v>
      </c>
      <c r="H32">
        <f t="shared" si="6"/>
        <v>165.25151484983226</v>
      </c>
    </row>
    <row r="33" spans="1:20" x14ac:dyDescent="0.25">
      <c r="A33" s="1">
        <f t="shared" si="4"/>
        <v>45553</v>
      </c>
      <c r="B33">
        <f t="shared" si="1"/>
        <v>92</v>
      </c>
      <c r="F33" s="1">
        <v>45461</v>
      </c>
      <c r="G33">
        <f t="shared" si="5"/>
        <v>2.8115394718286533</v>
      </c>
      <c r="H33">
        <f t="shared" si="6"/>
        <v>168.06305432166093</v>
      </c>
    </row>
    <row r="34" spans="1:20" x14ac:dyDescent="0.25">
      <c r="A34" s="1">
        <v>45601</v>
      </c>
      <c r="B34">
        <f t="shared" si="1"/>
        <v>48</v>
      </c>
      <c r="F34" s="1">
        <v>45553</v>
      </c>
      <c r="G34">
        <f t="shared" si="5"/>
        <v>2.8593741570890812</v>
      </c>
      <c r="H34">
        <f t="shared" si="6"/>
        <v>170.92242847875002</v>
      </c>
    </row>
    <row r="35" spans="1:20" x14ac:dyDescent="0.25">
      <c r="A35" s="1"/>
      <c r="F35" s="1">
        <v>45601</v>
      </c>
      <c r="G35">
        <f>H34*$G$1*((F35-F34-1)/365)</f>
        <v>1.4856202858872178</v>
      </c>
      <c r="H35">
        <f t="shared" si="6"/>
        <v>172.40804876463724</v>
      </c>
      <c r="I35" t="str">
        <f>TEXT(F35,"dd-mm-yyyy")</f>
        <v>05-11-2024</v>
      </c>
      <c r="J35">
        <f>DATEVALUE(I35)</f>
        <v>45601</v>
      </c>
    </row>
    <row r="36" spans="1:20" x14ac:dyDescent="0.25">
      <c r="A36" s="1"/>
      <c r="F36" s="1"/>
    </row>
    <row r="37" spans="1:20" x14ac:dyDescent="0.25">
      <c r="A37" s="1"/>
      <c r="F37" s="1"/>
    </row>
    <row r="38" spans="1:20" x14ac:dyDescent="0.25">
      <c r="A38" s="1"/>
      <c r="F38" s="1"/>
      <c r="G38" s="4">
        <v>0.28201308129291602</v>
      </c>
      <c r="J38" s="5"/>
      <c r="K38" s="4">
        <v>0.14194202562539188</v>
      </c>
      <c r="O38" s="4">
        <v>0.10596700652749105</v>
      </c>
      <c r="Q38" t="s">
        <v>1</v>
      </c>
    </row>
    <row r="39" spans="1:20" x14ac:dyDescent="0.25">
      <c r="A39" s="1">
        <v>44501</v>
      </c>
      <c r="B39" s="1">
        <v>45360</v>
      </c>
      <c r="C39">
        <v>100</v>
      </c>
      <c r="D39">
        <v>190</v>
      </c>
      <c r="E39" s="3" cm="1">
        <f t="array" ref="E39:E41">derive_annual_interest_rates(A39:A41,B39:B41,C39:C41,D39:D41)</f>
        <v>28.201308129291647</v>
      </c>
      <c r="F39" s="1">
        <v>44501</v>
      </c>
      <c r="H39">
        <v>100</v>
      </c>
      <c r="J39" s="1">
        <v>43784</v>
      </c>
      <c r="L39">
        <f>C43</f>
        <v>11895.45</v>
      </c>
      <c r="N39" s="1">
        <f>A44</f>
        <v>41957</v>
      </c>
      <c r="P39">
        <f>C44</f>
        <v>8389.9</v>
      </c>
    </row>
    <row r="40" spans="1:20" x14ac:dyDescent="0.25">
      <c r="A40" s="1">
        <v>44044</v>
      </c>
      <c r="B40" s="1">
        <v>45601</v>
      </c>
      <c r="C40">
        <v>100</v>
      </c>
      <c r="D40">
        <v>210</v>
      </c>
      <c r="E40" s="3">
        <v>17.776572784782729</v>
      </c>
      <c r="F40" s="1">
        <f>EDATE(F39,3)</f>
        <v>44593</v>
      </c>
      <c r="G40">
        <f>H39*$G$38*((F40-F39+1)/365)</f>
        <v>7.1855387836277238</v>
      </c>
      <c r="H40">
        <f>H39+G40</f>
        <v>107.18553878362772</v>
      </c>
      <c r="J40" s="1">
        <f>EDATE(J39,3)</f>
        <v>43876</v>
      </c>
      <c r="K40">
        <f>L39*$K$38*((J40-J39+1)/365)</f>
        <v>430.21144381226804</v>
      </c>
      <c r="L40">
        <f>L39+K40</f>
        <v>12325.661443812269</v>
      </c>
      <c r="N40" s="1">
        <f>EDATE(N39,3)</f>
        <v>42049</v>
      </c>
      <c r="O40">
        <f>P39*$O$38*((N40-N39+1)/365)</f>
        <v>226.52572791793079</v>
      </c>
      <c r="P40">
        <f>P39+O40</f>
        <v>8616.425727917931</v>
      </c>
    </row>
    <row r="41" spans="1:20" x14ac:dyDescent="0.25">
      <c r="A41" s="1">
        <v>43222</v>
      </c>
      <c r="B41" s="1">
        <v>45571</v>
      </c>
      <c r="C41">
        <v>100</v>
      </c>
      <c r="D41">
        <v>195</v>
      </c>
      <c r="E41" s="3">
        <v>10.511982915704721</v>
      </c>
      <c r="F41" s="1">
        <f t="shared" ref="F41:F48" si="7">EDATE(F40,3)</f>
        <v>44682</v>
      </c>
      <c r="G41">
        <f>H40*$G$38*((F41-F40)/365)</f>
        <v>7.3705957302868121</v>
      </c>
      <c r="H41">
        <f>H40+G41</f>
        <v>114.55613451391453</v>
      </c>
      <c r="J41" s="1">
        <f t="shared" ref="J41:J58" si="8">EDATE(J40,3)</f>
        <v>43966</v>
      </c>
      <c r="K41">
        <f>L40*$K$38*((J41-J40)/365)</f>
        <v>431.39079924842605</v>
      </c>
      <c r="L41">
        <f>L40+K41</f>
        <v>12757.052243060694</v>
      </c>
      <c r="N41" s="1">
        <f t="shared" ref="N41:N68" si="9">EDATE(N40,3)</f>
        <v>42138</v>
      </c>
      <c r="O41">
        <f>P40*$O$38*((N41-N40)/365)</f>
        <v>222.63577775479177</v>
      </c>
      <c r="P41">
        <f>P40+O41</f>
        <v>8839.061505672722</v>
      </c>
    </row>
    <row r="42" spans="1:20" x14ac:dyDescent="0.25">
      <c r="A42" s="9" t="s">
        <v>0</v>
      </c>
      <c r="F42" s="1">
        <f t="shared" si="7"/>
        <v>44774</v>
      </c>
      <c r="G42">
        <f t="shared" ref="G42:G48" si="10">H41*$G$38*((F42-F41)/365)</f>
        <v>8.1429649855487174</v>
      </c>
      <c r="H42">
        <f t="shared" ref="H42:H49" si="11">H41+G42</f>
        <v>122.69909949946324</v>
      </c>
      <c r="J42" s="1">
        <f t="shared" si="8"/>
        <v>44058</v>
      </c>
      <c r="K42">
        <f t="shared" ref="K42:K58" si="12">L41*$K$38*((J42-J41)/365)</f>
        <v>456.41120259667542</v>
      </c>
      <c r="L42">
        <f t="shared" ref="L42:L59" si="13">L41+K42</f>
        <v>13213.463445657369</v>
      </c>
      <c r="N42" s="1">
        <f t="shared" si="9"/>
        <v>42230</v>
      </c>
      <c r="O42">
        <f t="shared" ref="O42:O78" si="14">P41*$O$38*((N42-N41)/365)</f>
        <v>236.08684307042054</v>
      </c>
      <c r="P42">
        <f t="shared" ref="P42:P79" si="15">P41+O42</f>
        <v>9075.1483487431433</v>
      </c>
    </row>
    <row r="43" spans="1:20" x14ac:dyDescent="0.25">
      <c r="A43" s="1">
        <v>43784</v>
      </c>
      <c r="B43" s="1">
        <v>45608</v>
      </c>
      <c r="C43">
        <v>11895.45</v>
      </c>
      <c r="D43">
        <v>23883.45</v>
      </c>
      <c r="E43" cm="1">
        <f t="array" ref="E43">derive_annual_interest_rates(A43,B43,C43,D43)</f>
        <v>14.194202562728364</v>
      </c>
      <c r="F43" s="1">
        <f t="shared" si="7"/>
        <v>44866</v>
      </c>
      <c r="G43">
        <f t="shared" si="10"/>
        <v>8.7217893238282045</v>
      </c>
      <c r="H43">
        <f t="shared" si="11"/>
        <v>131.42088882329145</v>
      </c>
      <c r="J43" s="1">
        <f t="shared" si="8"/>
        <v>44150</v>
      </c>
      <c r="K43">
        <f t="shared" si="12"/>
        <v>472.74030291599536</v>
      </c>
      <c r="L43">
        <f t="shared" si="13"/>
        <v>13686.203748573365</v>
      </c>
      <c r="N43" s="1">
        <f t="shared" si="9"/>
        <v>42322</v>
      </c>
      <c r="O43">
        <f t="shared" si="14"/>
        <v>242.39260272999377</v>
      </c>
      <c r="P43">
        <f t="shared" si="15"/>
        <v>9317.5409514731364</v>
      </c>
      <c r="S43" s="7"/>
      <c r="T43" s="7"/>
    </row>
    <row r="44" spans="1:20" x14ac:dyDescent="0.25">
      <c r="A44" s="1">
        <v>41957</v>
      </c>
      <c r="B44" s="1">
        <v>45608</v>
      </c>
      <c r="C44">
        <v>8389.9</v>
      </c>
      <c r="D44">
        <v>23883.45</v>
      </c>
      <c r="E44" cm="1">
        <f t="array" ref="E44">derive_annual_interest_rates(A44,B44,C44,D44)</f>
        <v>10.596700660537106</v>
      </c>
      <c r="F44" s="1">
        <f t="shared" si="7"/>
        <v>44958</v>
      </c>
      <c r="G44">
        <f t="shared" si="10"/>
        <v>9.3417580874096871</v>
      </c>
      <c r="H44">
        <f t="shared" si="11"/>
        <v>140.76264691070114</v>
      </c>
      <c r="J44" s="1">
        <f t="shared" si="8"/>
        <v>44242</v>
      </c>
      <c r="K44">
        <f t="shared" si="12"/>
        <v>489.65361220240771</v>
      </c>
      <c r="L44">
        <f t="shared" si="13"/>
        <v>14175.857360775773</v>
      </c>
      <c r="N44" s="1">
        <f t="shared" si="9"/>
        <v>42414</v>
      </c>
      <c r="O44">
        <f t="shared" si="14"/>
        <v>248.8667860271029</v>
      </c>
      <c r="P44">
        <f t="shared" si="15"/>
        <v>9566.4077375002398</v>
      </c>
      <c r="S44" s="7"/>
      <c r="T44" s="7"/>
    </row>
    <row r="45" spans="1:20" x14ac:dyDescent="0.25">
      <c r="A45" s="8" t="s">
        <v>3</v>
      </c>
      <c r="F45" s="1">
        <f>EDATE(F44,3)</f>
        <v>45047</v>
      </c>
      <c r="G45">
        <f t="shared" si="10"/>
        <v>9.6795199807528487</v>
      </c>
      <c r="H45">
        <f t="shared" si="11"/>
        <v>150.44216689145398</v>
      </c>
      <c r="J45" s="1">
        <f t="shared" si="8"/>
        <v>44331</v>
      </c>
      <c r="K45">
        <f t="shared" si="12"/>
        <v>490.63381337012873</v>
      </c>
      <c r="L45">
        <f t="shared" si="13"/>
        <v>14666.491174145902</v>
      </c>
      <c r="N45" s="1">
        <f t="shared" si="9"/>
        <v>42504</v>
      </c>
      <c r="O45">
        <f t="shared" si="14"/>
        <v>249.95924165695777</v>
      </c>
      <c r="P45">
        <f t="shared" si="15"/>
        <v>9816.3669791571974</v>
      </c>
    </row>
    <row r="46" spans="1:20" x14ac:dyDescent="0.25">
      <c r="A46" s="1">
        <v>43784</v>
      </c>
      <c r="B46" s="1">
        <v>45608</v>
      </c>
      <c r="C46">
        <v>11895.45</v>
      </c>
      <c r="D46">
        <v>23883.45</v>
      </c>
      <c r="E46" cm="1">
        <f t="array" ref="E46">SIMPLERATEDERIVATION(A46,B46,C46,D46)</f>
        <v>14.194190866125389</v>
      </c>
      <c r="F46" s="1">
        <f t="shared" si="7"/>
        <v>45139</v>
      </c>
      <c r="G46">
        <f t="shared" si="10"/>
        <v>10.693842826884024</v>
      </c>
      <c r="H46">
        <f t="shared" si="11"/>
        <v>161.13600971833802</v>
      </c>
      <c r="J46" s="1">
        <f t="shared" si="8"/>
        <v>44423</v>
      </c>
      <c r="K46">
        <f t="shared" si="12"/>
        <v>524.72552021621516</v>
      </c>
      <c r="L46">
        <f t="shared" si="13"/>
        <v>15191.216694362118</v>
      </c>
      <c r="N46" s="1">
        <f t="shared" si="9"/>
        <v>42596</v>
      </c>
      <c r="O46">
        <f t="shared" si="14"/>
        <v>262.19017585097828</v>
      </c>
      <c r="P46">
        <f t="shared" si="15"/>
        <v>10078.557155008175</v>
      </c>
    </row>
    <row r="47" spans="1:20" x14ac:dyDescent="0.25">
      <c r="A47" s="1">
        <v>41957</v>
      </c>
      <c r="B47" s="1">
        <v>45608</v>
      </c>
      <c r="C47">
        <v>8389.9</v>
      </c>
      <c r="D47">
        <v>23883.45</v>
      </c>
      <c r="E47" cm="1">
        <f t="array" ref="E47">SIMPLERATEDERIVATION(A47,B47,C47,D47)</f>
        <v>10.596698197511589</v>
      </c>
      <c r="F47" s="1">
        <f>EDATE(F46,3)</f>
        <v>45231</v>
      </c>
      <c r="G47">
        <f t="shared" si="10"/>
        <v>11.453990575145388</v>
      </c>
      <c r="H47">
        <f t="shared" si="11"/>
        <v>172.5900002934834</v>
      </c>
      <c r="J47" s="1">
        <f t="shared" si="8"/>
        <v>44515</v>
      </c>
      <c r="K47">
        <f t="shared" si="12"/>
        <v>543.49871336084016</v>
      </c>
      <c r="L47">
        <f t="shared" si="13"/>
        <v>15734.715407722957</v>
      </c>
      <c r="N47" s="1">
        <f t="shared" si="9"/>
        <v>42688</v>
      </c>
      <c r="O47">
        <f t="shared" si="14"/>
        <v>269.19314227009528</v>
      </c>
      <c r="P47">
        <f t="shared" si="15"/>
        <v>10347.750297278269</v>
      </c>
    </row>
    <row r="48" spans="1:20" x14ac:dyDescent="0.25">
      <c r="A48" s="1">
        <v>44209</v>
      </c>
      <c r="B48" s="1">
        <v>45666</v>
      </c>
      <c r="C48">
        <v>100000</v>
      </c>
      <c r="D48">
        <v>140000</v>
      </c>
      <c r="E48" cm="1">
        <f t="array" ref="E48">SIMPLERATEDERIVATION(A48,B48,C48,D48)</f>
        <v>8.5183934700787667</v>
      </c>
      <c r="F48" s="1">
        <f t="shared" si="7"/>
        <v>45323</v>
      </c>
      <c r="G48">
        <f t="shared" si="10"/>
        <v>12.268171715194985</v>
      </c>
      <c r="H48">
        <f t="shared" si="11"/>
        <v>184.85817200867839</v>
      </c>
      <c r="J48" s="1">
        <f t="shared" si="8"/>
        <v>44607</v>
      </c>
      <c r="K48">
        <f t="shared" si="12"/>
        <v>562.9435581924273</v>
      </c>
      <c r="L48">
        <f t="shared" si="13"/>
        <v>16297.658965915385</v>
      </c>
      <c r="N48" s="1">
        <f t="shared" si="9"/>
        <v>42780</v>
      </c>
      <c r="O48">
        <f t="shared" si="14"/>
        <v>276.38315436515376</v>
      </c>
      <c r="P48">
        <f t="shared" si="15"/>
        <v>10624.133451643424</v>
      </c>
    </row>
    <row r="49" spans="6:16" x14ac:dyDescent="0.25">
      <c r="F49" s="1">
        <v>45360</v>
      </c>
      <c r="G49">
        <f>H48*$G$38*((F49-F48-1)/365)</f>
        <v>5.1418279913763234</v>
      </c>
      <c r="H49">
        <f t="shared" si="11"/>
        <v>190.00000000005471</v>
      </c>
      <c r="J49" s="1">
        <f t="shared" si="8"/>
        <v>44696</v>
      </c>
      <c r="K49">
        <f t="shared" si="12"/>
        <v>564.07047305499577</v>
      </c>
      <c r="L49">
        <f t="shared" si="13"/>
        <v>16861.729438970382</v>
      </c>
      <c r="N49" s="1">
        <f t="shared" si="9"/>
        <v>42869</v>
      </c>
      <c r="O49">
        <f t="shared" si="14"/>
        <v>274.511994725786</v>
      </c>
      <c r="P49">
        <f t="shared" si="15"/>
        <v>10898.64544636921</v>
      </c>
    </row>
    <row r="50" spans="6:16" x14ac:dyDescent="0.25">
      <c r="F50" s="1"/>
      <c r="G50" s="4">
        <v>0.17776572784782699</v>
      </c>
      <c r="J50" s="1">
        <f t="shared" si="8"/>
        <v>44788</v>
      </c>
      <c r="K50">
        <f t="shared" si="12"/>
        <v>603.26492864262411</v>
      </c>
      <c r="L50">
        <f t="shared" si="13"/>
        <v>17464.994367613006</v>
      </c>
      <c r="N50" s="1">
        <f t="shared" si="9"/>
        <v>42961</v>
      </c>
      <c r="O50">
        <f t="shared" si="14"/>
        <v>291.09728397362176</v>
      </c>
      <c r="P50">
        <f t="shared" si="15"/>
        <v>11189.742730342832</v>
      </c>
    </row>
    <row r="51" spans="6:16" x14ac:dyDescent="0.25">
      <c r="F51" s="1">
        <v>44044</v>
      </c>
      <c r="H51">
        <v>100</v>
      </c>
      <c r="J51" s="1">
        <f t="shared" si="8"/>
        <v>44880</v>
      </c>
      <c r="K51">
        <f t="shared" si="12"/>
        <v>624.84803940521817</v>
      </c>
      <c r="L51">
        <f t="shared" si="13"/>
        <v>18089.842407018223</v>
      </c>
      <c r="N51" s="1">
        <f t="shared" si="9"/>
        <v>43053</v>
      </c>
      <c r="O51">
        <f t="shared" si="14"/>
        <v>298.87234456750957</v>
      </c>
      <c r="P51">
        <f t="shared" si="15"/>
        <v>11488.615074910342</v>
      </c>
    </row>
    <row r="52" spans="6:16" x14ac:dyDescent="0.25">
      <c r="F52" s="1">
        <f>EDATE(F51,3)</f>
        <v>44136</v>
      </c>
      <c r="G52">
        <f>H51*$G$50*((F52-F51+1)/365)</f>
        <v>4.5293733396843585</v>
      </c>
      <c r="H52">
        <f>H51+G52</f>
        <v>104.52937333968435</v>
      </c>
      <c r="J52" s="1">
        <f t="shared" si="8"/>
        <v>44972</v>
      </c>
      <c r="K52">
        <f t="shared" si="12"/>
        <v>647.20333274974769</v>
      </c>
      <c r="L52">
        <f t="shared" si="13"/>
        <v>18737.045739767971</v>
      </c>
      <c r="N52" s="1">
        <f t="shared" si="9"/>
        <v>43145</v>
      </c>
      <c r="O52">
        <f t="shared" si="14"/>
        <v>306.85507308056651</v>
      </c>
      <c r="P52">
        <f t="shared" si="15"/>
        <v>11795.470147990909</v>
      </c>
    </row>
    <row r="53" spans="6:16" x14ac:dyDescent="0.25">
      <c r="F53" s="1">
        <f t="shared" ref="F53:F68" si="16">EDATE(F52,3)</f>
        <v>44228</v>
      </c>
      <c r="G53">
        <f>H52*$G$50*((F53-F52)/365)</f>
        <v>4.6836166911095161</v>
      </c>
      <c r="H53">
        <f t="shared" ref="H53:H69" si="17">H52+G53</f>
        <v>109.21299003079388</v>
      </c>
      <c r="J53" s="1">
        <f t="shared" si="8"/>
        <v>45061</v>
      </c>
      <c r="K53">
        <f t="shared" si="12"/>
        <v>648.49892099152703</v>
      </c>
      <c r="L53">
        <f t="shared" si="13"/>
        <v>19385.544660759497</v>
      </c>
      <c r="N53" s="1">
        <f t="shared" si="9"/>
        <v>43234</v>
      </c>
      <c r="O53">
        <f t="shared" si="14"/>
        <v>304.77761351468791</v>
      </c>
      <c r="P53">
        <f t="shared" si="15"/>
        <v>12100.247761505598</v>
      </c>
    </row>
    <row r="54" spans="6:16" x14ac:dyDescent="0.25">
      <c r="F54" s="1">
        <f t="shared" si="16"/>
        <v>44317</v>
      </c>
      <c r="G54">
        <f t="shared" ref="G54:G68" si="18">H53*$G$50*((F54-F53)/365)</f>
        <v>4.7339043096719928</v>
      </c>
      <c r="H54">
        <f t="shared" si="17"/>
        <v>113.94689434046587</v>
      </c>
      <c r="J54" s="1">
        <f t="shared" si="8"/>
        <v>45153</v>
      </c>
      <c r="K54">
        <f t="shared" si="12"/>
        <v>693.55989009307586</v>
      </c>
      <c r="L54">
        <f t="shared" si="13"/>
        <v>20079.104550852571</v>
      </c>
      <c r="N54" s="1">
        <f t="shared" si="9"/>
        <v>43326</v>
      </c>
      <c r="O54">
        <f t="shared" si="14"/>
        <v>323.1914714645219</v>
      </c>
      <c r="P54">
        <f t="shared" si="15"/>
        <v>12423.43923297012</v>
      </c>
    </row>
    <row r="55" spans="6:16" x14ac:dyDescent="0.25">
      <c r="F55" s="1">
        <f t="shared" si="16"/>
        <v>44409</v>
      </c>
      <c r="G55">
        <f t="shared" si="18"/>
        <v>5.1055847670569223</v>
      </c>
      <c r="H55">
        <f t="shared" si="17"/>
        <v>119.0524791075228</v>
      </c>
      <c r="J55" s="1">
        <f>EDATE(J54,3)</f>
        <v>45245</v>
      </c>
      <c r="K55">
        <f t="shared" si="12"/>
        <v>718.37349887032201</v>
      </c>
      <c r="L55">
        <f t="shared" si="13"/>
        <v>20797.478049722893</v>
      </c>
      <c r="N55" s="1">
        <f t="shared" si="9"/>
        <v>43418</v>
      </c>
      <c r="O55">
        <f t="shared" si="14"/>
        <v>331.82375150424946</v>
      </c>
      <c r="P55">
        <f t="shared" si="15"/>
        <v>12755.26298447437</v>
      </c>
    </row>
    <row r="56" spans="6:16" x14ac:dyDescent="0.25">
      <c r="F56" s="1">
        <f t="shared" si="16"/>
        <v>44501</v>
      </c>
      <c r="G56">
        <f t="shared" si="18"/>
        <v>5.334349192489328</v>
      </c>
      <c r="H56">
        <f t="shared" si="17"/>
        <v>124.38682830001213</v>
      </c>
      <c r="J56" s="1">
        <f t="shared" si="8"/>
        <v>45337</v>
      </c>
      <c r="K56">
        <f t="shared" si="12"/>
        <v>744.07486830002983</v>
      </c>
      <c r="L56">
        <f t="shared" si="13"/>
        <v>21541.552918022924</v>
      </c>
      <c r="N56" s="1">
        <f t="shared" si="9"/>
        <v>43510</v>
      </c>
      <c r="O56">
        <f t="shared" si="14"/>
        <v>340.68659535912542</v>
      </c>
      <c r="P56">
        <f t="shared" si="15"/>
        <v>13095.949579833496</v>
      </c>
    </row>
    <row r="57" spans="6:16" x14ac:dyDescent="0.25">
      <c r="F57" s="1">
        <f t="shared" si="16"/>
        <v>44593</v>
      </c>
      <c r="G57">
        <f t="shared" si="18"/>
        <v>5.5733637978190664</v>
      </c>
      <c r="H57">
        <f t="shared" si="17"/>
        <v>129.9601920978312</v>
      </c>
      <c r="J57" s="1">
        <f t="shared" si="8"/>
        <v>45427</v>
      </c>
      <c r="K57">
        <f t="shared" si="12"/>
        <v>753.94150429333433</v>
      </c>
      <c r="L57">
        <f t="shared" si="13"/>
        <v>22295.49442231626</v>
      </c>
      <c r="N57" s="1">
        <f t="shared" si="9"/>
        <v>43599</v>
      </c>
      <c r="O57">
        <f t="shared" si="14"/>
        <v>338.38009079529309</v>
      </c>
      <c r="P57">
        <f t="shared" si="15"/>
        <v>13434.329670628789</v>
      </c>
    </row>
    <row r="58" spans="6:16" x14ac:dyDescent="0.25">
      <c r="F58" s="1">
        <f t="shared" si="16"/>
        <v>44682</v>
      </c>
      <c r="G58">
        <f t="shared" si="18"/>
        <v>5.6332045600459706</v>
      </c>
      <c r="H58">
        <f t="shared" si="17"/>
        <v>135.59339665787718</v>
      </c>
      <c r="J58" s="1">
        <f t="shared" si="8"/>
        <v>45519</v>
      </c>
      <c r="K58">
        <f t="shared" si="12"/>
        <v>797.66965188310712</v>
      </c>
      <c r="L58">
        <f t="shared" si="13"/>
        <v>23093.164074199369</v>
      </c>
      <c r="N58" s="1">
        <f t="shared" si="9"/>
        <v>43691</v>
      </c>
      <c r="O58">
        <f t="shared" si="14"/>
        <v>358.82412161862709</v>
      </c>
      <c r="P58">
        <f t="shared" si="15"/>
        <v>13793.153792247416</v>
      </c>
    </row>
    <row r="59" spans="6:16" x14ac:dyDescent="0.25">
      <c r="F59" s="1">
        <f>EDATE(F58,3)</f>
        <v>44774</v>
      </c>
      <c r="G59">
        <f t="shared" si="18"/>
        <v>6.0754931891471013</v>
      </c>
      <c r="H59">
        <f t="shared" si="17"/>
        <v>141.66888984702427</v>
      </c>
      <c r="J59" s="1">
        <v>45608</v>
      </c>
      <c r="K59">
        <f>L58*$K$38*((J59-J58-1)/365)</f>
        <v>790.28592558258072</v>
      </c>
      <c r="L59">
        <f t="shared" si="13"/>
        <v>23883.449999781951</v>
      </c>
      <c r="N59" s="1">
        <f t="shared" si="9"/>
        <v>43783</v>
      </c>
      <c r="O59">
        <f t="shared" si="14"/>
        <v>368.40813164458859</v>
      </c>
      <c r="P59">
        <f t="shared" si="15"/>
        <v>14161.561923892004</v>
      </c>
    </row>
    <row r="60" spans="6:16" x14ac:dyDescent="0.25">
      <c r="F60" s="1">
        <f t="shared" si="16"/>
        <v>44866</v>
      </c>
      <c r="G60">
        <f t="shared" si="18"/>
        <v>6.3477160141605227</v>
      </c>
      <c r="H60">
        <f t="shared" si="17"/>
        <v>148.01660586118479</v>
      </c>
      <c r="J60" s="1"/>
      <c r="N60" s="1">
        <f t="shared" si="9"/>
        <v>43875</v>
      </c>
      <c r="O60">
        <f t="shared" si="14"/>
        <v>378.24812571020556</v>
      </c>
      <c r="P60">
        <f t="shared" si="15"/>
        <v>14539.810049602211</v>
      </c>
    </row>
    <row r="61" spans="6:16" x14ac:dyDescent="0.25">
      <c r="F61" s="1">
        <f t="shared" si="16"/>
        <v>44958</v>
      </c>
      <c r="G61">
        <f t="shared" si="18"/>
        <v>6.632136246717856</v>
      </c>
      <c r="H61">
        <f t="shared" si="17"/>
        <v>154.64874210790265</v>
      </c>
      <c r="J61" s="1" t="s">
        <v>3</v>
      </c>
      <c r="N61" s="1">
        <f t="shared" si="9"/>
        <v>43965</v>
      </c>
      <c r="O61" s="6">
        <f t="shared" si="14"/>
        <v>379.90852925786567</v>
      </c>
      <c r="P61">
        <f t="shared" si="15"/>
        <v>14919.718578860076</v>
      </c>
    </row>
    <row r="62" spans="6:16" x14ac:dyDescent="0.25">
      <c r="F62" s="1">
        <f t="shared" si="16"/>
        <v>45047</v>
      </c>
      <c r="G62">
        <f t="shared" si="18"/>
        <v>6.7033449642165381</v>
      </c>
      <c r="H62">
        <f t="shared" si="17"/>
        <v>161.35208707211919</v>
      </c>
      <c r="J62" s="5"/>
      <c r="K62" s="4">
        <f>E46/100</f>
        <v>0.14194190866125389</v>
      </c>
      <c r="N62" s="1">
        <f t="shared" si="9"/>
        <v>44057</v>
      </c>
      <c r="O62">
        <f t="shared" si="14"/>
        <v>398.49810486346405</v>
      </c>
      <c r="P62">
        <f t="shared" si="15"/>
        <v>15318.21668372354</v>
      </c>
    </row>
    <row r="63" spans="6:16" x14ac:dyDescent="0.25">
      <c r="F63" s="1">
        <f t="shared" si="16"/>
        <v>45139</v>
      </c>
      <c r="G63">
        <f t="shared" si="18"/>
        <v>7.2296552061068295</v>
      </c>
      <c r="H63">
        <f t="shared" si="17"/>
        <v>168.58174227822602</v>
      </c>
      <c r="J63" s="1">
        <v>43784</v>
      </c>
      <c r="L63">
        <f>C46</f>
        <v>11895.45</v>
      </c>
      <c r="N63" s="1">
        <f t="shared" si="9"/>
        <v>44149</v>
      </c>
      <c r="O63">
        <f t="shared" si="14"/>
        <v>409.14178682974313</v>
      </c>
      <c r="P63">
        <f t="shared" si="15"/>
        <v>15727.358470553283</v>
      </c>
    </row>
    <row r="64" spans="6:16" x14ac:dyDescent="0.25">
      <c r="F64" s="1">
        <f>EDATE(F63,3)</f>
        <v>45231</v>
      </c>
      <c r="G64">
        <f t="shared" si="18"/>
        <v>7.5535922269885338</v>
      </c>
      <c r="H64">
        <f t="shared" si="17"/>
        <v>176.13533450521456</v>
      </c>
      <c r="J64" s="1">
        <f>EDATE(J63,3)</f>
        <v>43876</v>
      </c>
      <c r="K64">
        <f t="shared" ref="K64:K83" si="19">L63*$K$62*((J64-J63)/365)</f>
        <v>425.58516361472653</v>
      </c>
      <c r="L64">
        <f>L63+K64</f>
        <v>12321.035163614728</v>
      </c>
      <c r="N64" s="1">
        <f t="shared" si="9"/>
        <v>44241</v>
      </c>
      <c r="O64">
        <f t="shared" si="14"/>
        <v>420.06975613494978</v>
      </c>
      <c r="P64">
        <f t="shared" si="15"/>
        <v>16147.428226688233</v>
      </c>
    </row>
    <row r="65" spans="6:16" x14ac:dyDescent="0.25">
      <c r="F65" s="1">
        <f t="shared" si="16"/>
        <v>45323</v>
      </c>
      <c r="G65">
        <f t="shared" si="18"/>
        <v>7.8920437980813007</v>
      </c>
      <c r="H65">
        <f t="shared" si="17"/>
        <v>184.02737830329585</v>
      </c>
      <c r="J65" s="1">
        <f t="shared" ref="J65:J82" si="20">EDATE(J64,3)</f>
        <v>43966</v>
      </c>
      <c r="K65">
        <f t="shared" si="19"/>
        <v>431.22852685624912</v>
      </c>
      <c r="L65">
        <f>L64+K65</f>
        <v>12752.263690470976</v>
      </c>
      <c r="N65" s="1">
        <f t="shared" si="9"/>
        <v>44330</v>
      </c>
      <c r="O65">
        <f t="shared" si="14"/>
        <v>417.22581445115128</v>
      </c>
      <c r="P65">
        <f t="shared" si="15"/>
        <v>16564.654041139383</v>
      </c>
    </row>
    <row r="66" spans="6:16" x14ac:dyDescent="0.25">
      <c r="F66" s="1">
        <f t="shared" si="16"/>
        <v>45413</v>
      </c>
      <c r="G66">
        <f t="shared" si="18"/>
        <v>8.0664067844415097</v>
      </c>
      <c r="H66">
        <f t="shared" si="17"/>
        <v>192.09378508773736</v>
      </c>
      <c r="J66" s="1">
        <f t="shared" si="20"/>
        <v>44058</v>
      </c>
      <c r="K66">
        <f t="shared" si="19"/>
        <v>456.23950579147714</v>
      </c>
      <c r="L66">
        <f t="shared" ref="L66:L83" si="21">L65+K66</f>
        <v>13208.503196262453</v>
      </c>
      <c r="N66" s="1">
        <f t="shared" si="9"/>
        <v>44422</v>
      </c>
      <c r="O66">
        <f t="shared" si="14"/>
        <v>442.43349552624778</v>
      </c>
      <c r="P66">
        <f t="shared" si="15"/>
        <v>17007.087536665633</v>
      </c>
    </row>
    <row r="67" spans="6:16" x14ac:dyDescent="0.25">
      <c r="F67" s="1">
        <f>EDATE(F66,3)</f>
        <v>45505</v>
      </c>
      <c r="G67">
        <f t="shared" si="18"/>
        <v>8.6070893697184747</v>
      </c>
      <c r="H67">
        <f t="shared" si="17"/>
        <v>200.70087445745582</v>
      </c>
      <c r="J67" s="1">
        <f t="shared" si="20"/>
        <v>44150</v>
      </c>
      <c r="K67">
        <f t="shared" si="19"/>
        <v>472.56244983476824</v>
      </c>
      <c r="L67">
        <f t="shared" si="21"/>
        <v>13681.06564609722</v>
      </c>
      <c r="N67" s="1">
        <f t="shared" si="9"/>
        <v>44514</v>
      </c>
      <c r="O67">
        <f t="shared" si="14"/>
        <v>454.25066946042256</v>
      </c>
      <c r="P67">
        <f t="shared" si="15"/>
        <v>17461.338206126056</v>
      </c>
    </row>
    <row r="68" spans="6:16" x14ac:dyDescent="0.25">
      <c r="F68" s="1">
        <f t="shared" si="16"/>
        <v>45597</v>
      </c>
      <c r="G68">
        <f t="shared" si="18"/>
        <v>8.9927446754561622</v>
      </c>
      <c r="H68">
        <f t="shared" si="17"/>
        <v>209.69361913291198</v>
      </c>
      <c r="J68" s="1">
        <f t="shared" si="20"/>
        <v>44242</v>
      </c>
      <c r="K68">
        <f t="shared" si="19"/>
        <v>489.46938210980665</v>
      </c>
      <c r="L68">
        <f t="shared" si="21"/>
        <v>14170.535028207027</v>
      </c>
      <c r="N68" s="1">
        <f t="shared" si="9"/>
        <v>44606</v>
      </c>
      <c r="O68">
        <f t="shared" si="14"/>
        <v>466.38347410791937</v>
      </c>
      <c r="P68">
        <f t="shared" si="15"/>
        <v>17927.721680233975</v>
      </c>
    </row>
    <row r="69" spans="6:16" x14ac:dyDescent="0.25">
      <c r="F69" s="1">
        <v>45601</v>
      </c>
      <c r="G69">
        <f>H68*$G$50*((F69-F68-1)/365)</f>
        <v>0.30638086709759271</v>
      </c>
      <c r="H69">
        <f t="shared" si="17"/>
        <v>210.00000000000958</v>
      </c>
      <c r="J69" s="1">
        <f t="shared" si="20"/>
        <v>44331</v>
      </c>
      <c r="K69">
        <f t="shared" si="19"/>
        <v>490.44920052132215</v>
      </c>
      <c r="L69">
        <f t="shared" si="21"/>
        <v>14660.984228728348</v>
      </c>
      <c r="N69" s="1">
        <f>EDATE(N68,3)</f>
        <v>44695</v>
      </c>
      <c r="O69">
        <f t="shared" si="14"/>
        <v>463.22598089809122</v>
      </c>
      <c r="P69">
        <f t="shared" si="15"/>
        <v>18390.947661132068</v>
      </c>
    </row>
    <row r="70" spans="6:16" x14ac:dyDescent="0.25">
      <c r="F70" s="1"/>
      <c r="J70" s="1">
        <f t="shared" si="20"/>
        <v>44423</v>
      </c>
      <c r="K70">
        <f t="shared" si="19"/>
        <v>524.52806507835169</v>
      </c>
      <c r="L70">
        <f t="shared" si="21"/>
        <v>15185.5122938067</v>
      </c>
      <c r="N70" s="1">
        <f>EDATE(N69,3)</f>
        <v>44787</v>
      </c>
      <c r="O70">
        <f t="shared" si="14"/>
        <v>491.21287046181209</v>
      </c>
      <c r="P70">
        <f t="shared" si="15"/>
        <v>18882.16053159388</v>
      </c>
    </row>
    <row r="71" spans="6:16" x14ac:dyDescent="0.25">
      <c r="J71" s="1">
        <f t="shared" si="20"/>
        <v>44515</v>
      </c>
      <c r="K71">
        <f t="shared" si="19"/>
        <v>543.29417837350968</v>
      </c>
      <c r="L71">
        <f t="shared" si="21"/>
        <v>15728.806472180209</v>
      </c>
      <c r="N71" s="1">
        <f t="shared" ref="N71:N72" si="22">EDATE(N70,3)</f>
        <v>44879</v>
      </c>
      <c r="O71">
        <f t="shared" si="14"/>
        <v>504.33291672333678</v>
      </c>
      <c r="P71">
        <f t="shared" si="15"/>
        <v>19386.493448317215</v>
      </c>
    </row>
    <row r="72" spans="6:16" x14ac:dyDescent="0.25">
      <c r="J72" s="1">
        <f t="shared" si="20"/>
        <v>44607</v>
      </c>
      <c r="K72">
        <f t="shared" si="19"/>
        <v>562.73168950541458</v>
      </c>
      <c r="L72">
        <f t="shared" si="21"/>
        <v>16291.538161685625</v>
      </c>
      <c r="N72" s="1">
        <f t="shared" si="22"/>
        <v>44971</v>
      </c>
      <c r="O72">
        <f t="shared" si="14"/>
        <v>517.80339275626113</v>
      </c>
      <c r="P72">
        <f t="shared" si="15"/>
        <v>19904.296841073476</v>
      </c>
    </row>
    <row r="73" spans="6:16" x14ac:dyDescent="0.25">
      <c r="J73" s="1">
        <f t="shared" si="20"/>
        <v>44696</v>
      </c>
      <c r="K73">
        <f t="shared" si="19"/>
        <v>563.85816419468733</v>
      </c>
      <c r="L73">
        <f t="shared" si="21"/>
        <v>16855.396325880312</v>
      </c>
      <c r="N73" s="1">
        <f>EDATE(N72,3)</f>
        <v>45060</v>
      </c>
      <c r="O73">
        <f t="shared" si="14"/>
        <v>514.29777819780986</v>
      </c>
      <c r="P73">
        <f t="shared" si="15"/>
        <v>20418.594619271287</v>
      </c>
    </row>
    <row r="74" spans="6:16" x14ac:dyDescent="0.25">
      <c r="J74" s="1">
        <f t="shared" si="20"/>
        <v>44788</v>
      </c>
      <c r="K74">
        <f t="shared" si="19"/>
        <v>603.03785087078109</v>
      </c>
      <c r="L74">
        <f t="shared" si="21"/>
        <v>17458.434176751092</v>
      </c>
      <c r="N74" s="1">
        <f t="shared" ref="N74:N75" si="23">EDATE(N73,3)</f>
        <v>45152</v>
      </c>
      <c r="O74">
        <f t="shared" si="14"/>
        <v>545.37029078309956</v>
      </c>
      <c r="P74">
        <f t="shared" si="15"/>
        <v>20963.964910054387</v>
      </c>
    </row>
    <row r="75" spans="6:16" x14ac:dyDescent="0.25">
      <c r="J75" s="1">
        <f t="shared" si="20"/>
        <v>44880</v>
      </c>
      <c r="K75">
        <f t="shared" si="19"/>
        <v>624.61281965537626</v>
      </c>
      <c r="L75">
        <f t="shared" si="21"/>
        <v>18083.046996406469</v>
      </c>
      <c r="N75" s="1">
        <f t="shared" si="23"/>
        <v>45244</v>
      </c>
      <c r="O75">
        <f t="shared" si="14"/>
        <v>559.93685423248235</v>
      </c>
      <c r="P75">
        <f t="shared" si="15"/>
        <v>21523.901764286868</v>
      </c>
    </row>
    <row r="76" spans="6:16" x14ac:dyDescent="0.25">
      <c r="J76" s="1">
        <f t="shared" si="20"/>
        <v>44972</v>
      </c>
      <c r="K76">
        <f t="shared" si="19"/>
        <v>646.95967908893192</v>
      </c>
      <c r="L76">
        <f t="shared" si="21"/>
        <v>18730.006675495402</v>
      </c>
      <c r="N76" s="1">
        <f>EDATE(N75,3)</f>
        <v>45336</v>
      </c>
      <c r="O76">
        <f t="shared" si="14"/>
        <v>574.89248319260321</v>
      </c>
      <c r="P76">
        <f t="shared" si="15"/>
        <v>22098.794247479469</v>
      </c>
    </row>
    <row r="77" spans="6:16" x14ac:dyDescent="0.25">
      <c r="J77" s="1">
        <f t="shared" si="20"/>
        <v>45061</v>
      </c>
      <c r="K77">
        <f t="shared" si="19"/>
        <v>648.25476112725505</v>
      </c>
      <c r="L77">
        <f t="shared" si="21"/>
        <v>19378.261436622659</v>
      </c>
      <c r="N77" s="1">
        <f t="shared" ref="N77:N78" si="24">EDATE(N76,3)</f>
        <v>45426</v>
      </c>
      <c r="O77">
        <f t="shared" si="14"/>
        <v>577.4161005055081</v>
      </c>
      <c r="P77">
        <f t="shared" si="15"/>
        <v>22676.210347984976</v>
      </c>
    </row>
    <row r="78" spans="6:16" x14ac:dyDescent="0.25">
      <c r="J78" s="1">
        <f t="shared" si="20"/>
        <v>45153</v>
      </c>
      <c r="K78">
        <f t="shared" si="19"/>
        <v>693.29874566107196</v>
      </c>
      <c r="L78">
        <f t="shared" si="21"/>
        <v>20071.560182283731</v>
      </c>
      <c r="N78" s="1">
        <f t="shared" si="24"/>
        <v>45518</v>
      </c>
      <c r="O78">
        <f t="shared" si="14"/>
        <v>605.67006015522998</v>
      </c>
      <c r="P78">
        <f t="shared" si="15"/>
        <v>23281.880408140205</v>
      </c>
    </row>
    <row r="79" spans="6:16" x14ac:dyDescent="0.25">
      <c r="J79" s="1">
        <f>EDATE(J78,3)</f>
        <v>45245</v>
      </c>
      <c r="K79">
        <f t="shared" si="19"/>
        <v>718.1029909906772</v>
      </c>
      <c r="L79">
        <f t="shared" si="21"/>
        <v>20789.663173274406</v>
      </c>
      <c r="N79" s="1">
        <v>45608</v>
      </c>
      <c r="O79">
        <f>P78*$O$38*((N79-N78-1)/365)</f>
        <v>601.56957373470595</v>
      </c>
      <c r="P79">
        <f t="shared" si="15"/>
        <v>23883.44998187491</v>
      </c>
    </row>
    <row r="80" spans="6:16" x14ac:dyDescent="0.25">
      <c r="J80" s="1">
        <f t="shared" si="20"/>
        <v>45337</v>
      </c>
      <c r="K80">
        <f t="shared" si="19"/>
        <v>743.79466124384055</v>
      </c>
      <c r="L80">
        <f t="shared" si="21"/>
        <v>21533.457834518245</v>
      </c>
    </row>
    <row r="81" spans="9:17" x14ac:dyDescent="0.25">
      <c r="J81" s="1">
        <f t="shared" si="20"/>
        <v>45427</v>
      </c>
      <c r="K81">
        <f t="shared" si="19"/>
        <v>753.65756016365356</v>
      </c>
      <c r="L81">
        <f t="shared" si="21"/>
        <v>22287.115394681899</v>
      </c>
    </row>
    <row r="82" spans="9:17" x14ac:dyDescent="0.25">
      <c r="J82" s="1">
        <f t="shared" si="20"/>
        <v>45519</v>
      </c>
      <c r="K82">
        <f t="shared" si="19"/>
        <v>797.36921694815965</v>
      </c>
      <c r="L82">
        <f t="shared" si="21"/>
        <v>23084.484611630058</v>
      </c>
      <c r="O82" s="4">
        <f>E47/100</f>
        <v>0.10596698197511589</v>
      </c>
      <c r="Q82" t="s">
        <v>2</v>
      </c>
    </row>
    <row r="83" spans="9:17" x14ac:dyDescent="0.25">
      <c r="J83" s="1">
        <v>45608</v>
      </c>
      <c r="K83">
        <f t="shared" si="19"/>
        <v>798.96538836990192</v>
      </c>
      <c r="L83">
        <f t="shared" si="21"/>
        <v>23883.449999999961</v>
      </c>
      <c r="N83" s="1">
        <f>A47</f>
        <v>41957</v>
      </c>
      <c r="P83">
        <f>C47</f>
        <v>8389.9</v>
      </c>
    </row>
    <row r="84" spans="9:17" x14ac:dyDescent="0.25">
      <c r="N84" s="1">
        <f>EDATE(N83,3)</f>
        <v>42049</v>
      </c>
      <c r="O84">
        <f t="shared" ref="O84:O123" si="25">P83*$O$82*((N84-N83)/365)</f>
        <v>224.08991548141995</v>
      </c>
      <c r="P84">
        <f>P83+O84</f>
        <v>8613.9899154814193</v>
      </c>
    </row>
    <row r="85" spans="9:17" x14ac:dyDescent="0.25">
      <c r="I85" s="4"/>
      <c r="K85" s="4">
        <v>8.5183934700787695E-2</v>
      </c>
      <c r="N85" s="1">
        <f t="shared" ref="N85:N112" si="26">EDATE(N84,3)</f>
        <v>42138</v>
      </c>
      <c r="O85">
        <f t="shared" si="25"/>
        <v>222.57278837145429</v>
      </c>
      <c r="P85">
        <f>P84+O85</f>
        <v>8836.5627038528728</v>
      </c>
    </row>
    <row r="86" spans="9:17" x14ac:dyDescent="0.25">
      <c r="J86" s="1">
        <f>A48</f>
        <v>44209</v>
      </c>
      <c r="L86">
        <f>C48</f>
        <v>100000</v>
      </c>
      <c r="N86" s="1">
        <f t="shared" si="26"/>
        <v>42230</v>
      </c>
      <c r="O86">
        <f t="shared" si="25"/>
        <v>236.02004665760714</v>
      </c>
      <c r="P86">
        <f t="shared" ref="P86:P123" si="27">P85+O86</f>
        <v>9072.5827505104808</v>
      </c>
    </row>
    <row r="87" spans="9:17" x14ac:dyDescent="0.25">
      <c r="J87" s="1">
        <f>EDATE(J86,3)</f>
        <v>44299</v>
      </c>
      <c r="K87">
        <f>L86*$K$85*((J87-J86)/365)</f>
        <v>2100.4257871427099</v>
      </c>
      <c r="L87">
        <f>L86+K87</f>
        <v>102100.42578714271</v>
      </c>
      <c r="N87" s="1">
        <f t="shared" si="26"/>
        <v>42322</v>
      </c>
      <c r="O87">
        <f t="shared" si="25"/>
        <v>242.32402075830254</v>
      </c>
      <c r="P87">
        <f t="shared" si="27"/>
        <v>9314.9067712687829</v>
      </c>
    </row>
    <row r="88" spans="9:17" x14ac:dyDescent="0.25">
      <c r="J88" s="1">
        <f t="shared" ref="J88:J102" si="28">EDATE(J87,3)</f>
        <v>44390</v>
      </c>
      <c r="K88">
        <f>L87*$K$85*((J88-J87)/365)</f>
        <v>2168.371935038047</v>
      </c>
      <c r="L88">
        <f>L87+K88</f>
        <v>104268.79772218075</v>
      </c>
      <c r="N88" s="1">
        <f t="shared" si="26"/>
        <v>42414</v>
      </c>
      <c r="O88">
        <f t="shared" si="25"/>
        <v>248.79637076615074</v>
      </c>
      <c r="P88">
        <f t="shared" si="27"/>
        <v>9563.703142034934</v>
      </c>
    </row>
    <row r="89" spans="9:17" x14ac:dyDescent="0.25">
      <c r="J89" s="1">
        <f t="shared" si="28"/>
        <v>44482</v>
      </c>
      <c r="K89">
        <f>L88*$K$85*((J89-J88)/365)</f>
        <v>2238.7573534181411</v>
      </c>
      <c r="L89">
        <f t="shared" ref="L89:L102" si="29">L88+K89</f>
        <v>106507.5550755989</v>
      </c>
      <c r="N89" s="1">
        <f t="shared" si="26"/>
        <v>42504</v>
      </c>
      <c r="O89">
        <f t="shared" si="25"/>
        <v>249.88851578647603</v>
      </c>
      <c r="P89">
        <f t="shared" si="27"/>
        <v>9813.5916578214092</v>
      </c>
    </row>
    <row r="90" spans="9:17" x14ac:dyDescent="0.25">
      <c r="J90" s="1">
        <f t="shared" si="28"/>
        <v>44574</v>
      </c>
      <c r="K90">
        <f>L89*$K$85*((J90-J89)/365)</f>
        <v>2286.8257554422839</v>
      </c>
      <c r="L90">
        <f t="shared" si="29"/>
        <v>108794.38083104118</v>
      </c>
      <c r="N90" s="1">
        <f t="shared" si="26"/>
        <v>42596</v>
      </c>
      <c r="O90">
        <f t="shared" si="25"/>
        <v>262.1159876959639</v>
      </c>
      <c r="P90">
        <f t="shared" si="27"/>
        <v>10075.707645517374</v>
      </c>
    </row>
    <row r="91" spans="9:17" x14ac:dyDescent="0.25">
      <c r="J91" s="1">
        <f t="shared" si="28"/>
        <v>44664</v>
      </c>
      <c r="K91">
        <f>L90*$K$85*((J91-J90)/365)</f>
        <v>2285.1452299374346</v>
      </c>
      <c r="L91">
        <f t="shared" si="29"/>
        <v>111079.52606097862</v>
      </c>
      <c r="N91" s="1">
        <f t="shared" si="26"/>
        <v>42688</v>
      </c>
      <c r="O91">
        <f t="shared" si="25"/>
        <v>269.11697096502763</v>
      </c>
      <c r="P91">
        <f t="shared" si="27"/>
        <v>10344.824616482401</v>
      </c>
    </row>
    <row r="92" spans="9:17" x14ac:dyDescent="0.25">
      <c r="J92" s="1">
        <f t="shared" si="28"/>
        <v>44755</v>
      </c>
      <c r="K92">
        <f>L91*$K$85*((J92-J91)/365)</f>
        <v>2359.0668208387096</v>
      </c>
      <c r="L92">
        <f t="shared" si="29"/>
        <v>113438.59288181733</v>
      </c>
      <c r="N92" s="1">
        <f t="shared" si="26"/>
        <v>42780</v>
      </c>
      <c r="O92">
        <f t="shared" si="25"/>
        <v>276.30494689777635</v>
      </c>
      <c r="P92">
        <f t="shared" si="27"/>
        <v>10621.129563380178</v>
      </c>
    </row>
    <row r="93" spans="9:17" x14ac:dyDescent="0.25">
      <c r="J93" s="1">
        <f t="shared" si="28"/>
        <v>44847</v>
      </c>
      <c r="K93">
        <f>L92*$K$85*((J93-J92)/365)</f>
        <v>2435.6422009606717</v>
      </c>
      <c r="L93">
        <f t="shared" si="29"/>
        <v>115874.235082778</v>
      </c>
      <c r="N93" s="1">
        <f t="shared" si="26"/>
        <v>42869</v>
      </c>
      <c r="O93">
        <f t="shared" si="25"/>
        <v>274.43431508172307</v>
      </c>
      <c r="P93">
        <f t="shared" si="27"/>
        <v>10895.5638784619</v>
      </c>
    </row>
    <row r="94" spans="9:17" x14ac:dyDescent="0.25">
      <c r="J94" s="1">
        <f t="shared" si="28"/>
        <v>44939</v>
      </c>
      <c r="K94">
        <f>L93*$K$85*((J94-J93)/365)</f>
        <v>2487.9379213182128</v>
      </c>
      <c r="L94">
        <f t="shared" si="29"/>
        <v>118362.17300409621</v>
      </c>
      <c r="N94" s="1">
        <f t="shared" si="26"/>
        <v>42961</v>
      </c>
      <c r="O94">
        <f t="shared" si="25"/>
        <v>291.0149094324056</v>
      </c>
      <c r="P94">
        <f t="shared" si="27"/>
        <v>11186.578787894307</v>
      </c>
    </row>
    <row r="95" spans="9:17" x14ac:dyDescent="0.25">
      <c r="J95" s="1">
        <f t="shared" si="28"/>
        <v>45029</v>
      </c>
      <c r="K95">
        <f>L94*$K$85*((J95-J94)/365)</f>
        <v>2486.1096040005045</v>
      </c>
      <c r="L95">
        <f t="shared" si="29"/>
        <v>120848.28260809672</v>
      </c>
      <c r="N95" s="1">
        <f t="shared" si="26"/>
        <v>43053</v>
      </c>
      <c r="O95">
        <f t="shared" si="25"/>
        <v>298.78776804318056</v>
      </c>
      <c r="P95">
        <f t="shared" si="27"/>
        <v>11485.366555937488</v>
      </c>
    </row>
    <row r="96" spans="9:17" x14ac:dyDescent="0.25">
      <c r="J96" s="1">
        <f t="shared" si="28"/>
        <v>45120</v>
      </c>
      <c r="K96">
        <f>L95*$K$85*((J96-J95)/365)</f>
        <v>2566.532141122002</v>
      </c>
      <c r="L96">
        <f t="shared" si="29"/>
        <v>123414.81474921873</v>
      </c>
      <c r="N96" s="1">
        <f t="shared" si="26"/>
        <v>43145</v>
      </c>
      <c r="O96">
        <f t="shared" si="25"/>
        <v>306.76823571117166</v>
      </c>
      <c r="P96">
        <f t="shared" si="27"/>
        <v>11792.134791648659</v>
      </c>
    </row>
    <row r="97" spans="10:16" x14ac:dyDescent="0.25">
      <c r="J97" s="1">
        <f t="shared" si="28"/>
        <v>45212</v>
      </c>
      <c r="K97">
        <f>L96*$K$85*((J97-J96)/365)</f>
        <v>2649.8418517947061</v>
      </c>
      <c r="L97">
        <f t="shared" si="29"/>
        <v>126064.65660101343</v>
      </c>
      <c r="N97" s="1">
        <f t="shared" si="26"/>
        <v>43234</v>
      </c>
      <c r="O97">
        <f t="shared" si="25"/>
        <v>304.6913622120947</v>
      </c>
      <c r="P97">
        <f t="shared" si="27"/>
        <v>12096.826153860755</v>
      </c>
    </row>
    <row r="98" spans="10:16" x14ac:dyDescent="0.25">
      <c r="J98" s="1">
        <f t="shared" si="28"/>
        <v>45304</v>
      </c>
      <c r="K98">
        <f>L97*$K$85*((J98-J97)/365)</f>
        <v>2706.7366569588266</v>
      </c>
      <c r="L98">
        <f t="shared" si="29"/>
        <v>128771.39325797226</v>
      </c>
      <c r="N98" s="1">
        <f t="shared" si="26"/>
        <v>43326</v>
      </c>
      <c r="O98">
        <f t="shared" si="25"/>
        <v>323.10000720057297</v>
      </c>
      <c r="P98">
        <f t="shared" si="27"/>
        <v>12419.926161061328</v>
      </c>
    </row>
    <row r="99" spans="10:16" x14ac:dyDescent="0.25">
      <c r="J99" s="1">
        <f t="shared" si="28"/>
        <v>45395</v>
      </c>
      <c r="K99">
        <f>L98*$K$85*((J99-J98)/365)</f>
        <v>2734.8003010139923</v>
      </c>
      <c r="L99">
        <f t="shared" si="29"/>
        <v>131506.19355898624</v>
      </c>
      <c r="N99" s="1">
        <f t="shared" si="26"/>
        <v>43418</v>
      </c>
      <c r="O99">
        <f t="shared" si="25"/>
        <v>331.72984227675062</v>
      </c>
      <c r="P99">
        <f t="shared" si="27"/>
        <v>12751.656003338079</v>
      </c>
    </row>
    <row r="100" spans="10:16" x14ac:dyDescent="0.25">
      <c r="J100" s="1">
        <f t="shared" si="28"/>
        <v>45486</v>
      </c>
      <c r="K100">
        <f>L99*$K$85*((J100-J99)/365)</f>
        <v>2792.8810012161171</v>
      </c>
      <c r="L100">
        <f t="shared" si="29"/>
        <v>134299.07456020237</v>
      </c>
      <c r="N100" s="1">
        <f t="shared" si="26"/>
        <v>43510</v>
      </c>
      <c r="O100">
        <f t="shared" si="25"/>
        <v>340.59017581093593</v>
      </c>
      <c r="P100">
        <f t="shared" si="27"/>
        <v>13092.246179149015</v>
      </c>
    </row>
    <row r="101" spans="10:16" x14ac:dyDescent="0.25">
      <c r="J101" s="1">
        <f t="shared" si="28"/>
        <v>45578</v>
      </c>
      <c r="K101">
        <f>L100*$K$85*((J101-J100)/365)</f>
        <v>2883.538002711095</v>
      </c>
      <c r="L101">
        <f t="shared" si="29"/>
        <v>137182.61256291345</v>
      </c>
      <c r="N101" s="1">
        <f t="shared" si="26"/>
        <v>43599</v>
      </c>
      <c r="O101">
        <f t="shared" si="25"/>
        <v>338.28432198435632</v>
      </c>
      <c r="P101">
        <f t="shared" si="27"/>
        <v>13430.530501133371</v>
      </c>
    </row>
    <row r="102" spans="10:16" x14ac:dyDescent="0.25">
      <c r="J102" s="1">
        <v>45666</v>
      </c>
      <c r="K102">
        <f>L101*$K$85*((J102-J101)/365)</f>
        <v>2817.3874370864537</v>
      </c>
      <c r="L102">
        <f t="shared" si="29"/>
        <v>139999.99999999991</v>
      </c>
      <c r="N102" s="1">
        <f t="shared" si="26"/>
        <v>43691</v>
      </c>
      <c r="O102">
        <f t="shared" si="25"/>
        <v>358.72256461574153</v>
      </c>
      <c r="P102">
        <f t="shared" si="27"/>
        <v>13789.253065749113</v>
      </c>
    </row>
    <row r="103" spans="10:16" x14ac:dyDescent="0.25">
      <c r="N103" s="1">
        <f t="shared" si="26"/>
        <v>43783</v>
      </c>
      <c r="O103">
        <f t="shared" si="25"/>
        <v>368.30385988577098</v>
      </c>
      <c r="P103">
        <f t="shared" si="27"/>
        <v>14157.556925634884</v>
      </c>
    </row>
    <row r="104" spans="10:16" x14ac:dyDescent="0.25">
      <c r="N104" s="1">
        <f t="shared" si="26"/>
        <v>43875</v>
      </c>
      <c r="O104">
        <f t="shared" si="25"/>
        <v>378.1410666264095</v>
      </c>
      <c r="P104">
        <f t="shared" si="27"/>
        <v>14535.697992261294</v>
      </c>
    </row>
    <row r="105" spans="10:16" x14ac:dyDescent="0.25">
      <c r="N105" s="1">
        <f t="shared" si="26"/>
        <v>43965</v>
      </c>
      <c r="O105">
        <f t="shared" si="25"/>
        <v>379.80099792534588</v>
      </c>
      <c r="P105">
        <f t="shared" si="27"/>
        <v>14915.498990186639</v>
      </c>
    </row>
    <row r="106" spans="10:16" x14ac:dyDescent="0.25">
      <c r="N106" s="1">
        <f t="shared" si="26"/>
        <v>44057</v>
      </c>
      <c r="O106">
        <f t="shared" si="25"/>
        <v>398.38530948809029</v>
      </c>
      <c r="P106">
        <f t="shared" si="27"/>
        <v>15313.88429967473</v>
      </c>
    </row>
    <row r="107" spans="10:16" x14ac:dyDescent="0.25">
      <c r="N107" s="1">
        <f t="shared" si="26"/>
        <v>44149</v>
      </c>
      <c r="O107">
        <f t="shared" si="25"/>
        <v>409.02597628176193</v>
      </c>
      <c r="P107">
        <f t="shared" si="27"/>
        <v>15722.910275956492</v>
      </c>
    </row>
    <row r="108" spans="10:16" x14ac:dyDescent="0.25">
      <c r="N108" s="1">
        <f t="shared" si="26"/>
        <v>44241</v>
      </c>
      <c r="O108">
        <f t="shared" si="25"/>
        <v>419.95084981478209</v>
      </c>
      <c r="P108">
        <f t="shared" si="27"/>
        <v>16142.861125771275</v>
      </c>
    </row>
    <row r="109" spans="10:16" x14ac:dyDescent="0.25">
      <c r="N109" s="1">
        <f t="shared" si="26"/>
        <v>44330</v>
      </c>
      <c r="O109">
        <f t="shared" si="25"/>
        <v>417.10771063228748</v>
      </c>
      <c r="P109">
        <f t="shared" si="27"/>
        <v>16559.968836403561</v>
      </c>
    </row>
    <row r="110" spans="10:16" x14ac:dyDescent="0.25">
      <c r="N110" s="1">
        <f t="shared" si="26"/>
        <v>44422</v>
      </c>
      <c r="O110">
        <f t="shared" si="25"/>
        <v>442.30825360548073</v>
      </c>
      <c r="P110">
        <f t="shared" si="27"/>
        <v>17002.27709000904</v>
      </c>
    </row>
    <row r="111" spans="10:16" x14ac:dyDescent="0.25">
      <c r="N111" s="1">
        <f t="shared" si="26"/>
        <v>44514</v>
      </c>
      <c r="O111">
        <f t="shared" si="25"/>
        <v>454.12207965432356</v>
      </c>
      <c r="P111">
        <f t="shared" si="27"/>
        <v>17456.399169663364</v>
      </c>
    </row>
    <row r="112" spans="10:16" x14ac:dyDescent="0.25">
      <c r="N112" s="1">
        <f t="shared" si="26"/>
        <v>44606</v>
      </c>
      <c r="O112">
        <f t="shared" si="25"/>
        <v>466.25144692306139</v>
      </c>
      <c r="P112">
        <f t="shared" si="27"/>
        <v>17922.650616586427</v>
      </c>
    </row>
    <row r="113" spans="14:16" x14ac:dyDescent="0.25">
      <c r="N113" s="1">
        <f>EDATE(N112,3)</f>
        <v>44695</v>
      </c>
      <c r="O113">
        <f t="shared" si="25"/>
        <v>463.09484476777016</v>
      </c>
      <c r="P113">
        <f t="shared" si="27"/>
        <v>18385.745461354196</v>
      </c>
    </row>
    <row r="114" spans="14:16" x14ac:dyDescent="0.25">
      <c r="N114" s="1">
        <f>EDATE(N113,3)</f>
        <v>44787</v>
      </c>
      <c r="O114">
        <f t="shared" si="25"/>
        <v>491.07380856717754</v>
      </c>
      <c r="P114">
        <f t="shared" si="27"/>
        <v>18876.819269921372</v>
      </c>
    </row>
    <row r="115" spans="14:16" x14ac:dyDescent="0.25">
      <c r="N115" s="1">
        <f t="shared" ref="N115:N116" si="30">EDATE(N114,3)</f>
        <v>44879</v>
      </c>
      <c r="O115">
        <f t="shared" si="25"/>
        <v>504.19013751710031</v>
      </c>
      <c r="P115">
        <f t="shared" si="27"/>
        <v>19381.009407438472</v>
      </c>
    </row>
    <row r="116" spans="14:16" x14ac:dyDescent="0.25">
      <c r="N116" s="1">
        <f t="shared" si="30"/>
        <v>44971</v>
      </c>
      <c r="O116">
        <f t="shared" si="25"/>
        <v>517.65679686974727</v>
      </c>
      <c r="P116">
        <f t="shared" si="27"/>
        <v>19898.666204308218</v>
      </c>
    </row>
    <row r="117" spans="14:16" x14ac:dyDescent="0.25">
      <c r="N117" s="1">
        <f>EDATE(N116,3)</f>
        <v>45060</v>
      </c>
      <c r="O117">
        <f t="shared" si="25"/>
        <v>514.15217169060031</v>
      </c>
      <c r="P117">
        <f t="shared" si="27"/>
        <v>20412.818375998817</v>
      </c>
    </row>
    <row r="118" spans="14:16" x14ac:dyDescent="0.25">
      <c r="N118" s="1">
        <f t="shared" ref="N118:N119" si="31">EDATE(N117,3)</f>
        <v>45152</v>
      </c>
      <c r="O118">
        <f t="shared" si="25"/>
        <v>545.21588393367631</v>
      </c>
      <c r="P118">
        <f t="shared" si="27"/>
        <v>20958.034259932494</v>
      </c>
    </row>
    <row r="119" spans="14:16" x14ac:dyDescent="0.25">
      <c r="N119" s="1">
        <f t="shared" si="31"/>
        <v>45244</v>
      </c>
      <c r="O119">
        <f t="shared" si="25"/>
        <v>559.77831988044875</v>
      </c>
      <c r="P119">
        <f t="shared" si="27"/>
        <v>21517.812579812944</v>
      </c>
    </row>
    <row r="120" spans="14:16" x14ac:dyDescent="0.25">
      <c r="N120" s="1">
        <f>EDATE(N119,3)</f>
        <v>45336</v>
      </c>
      <c r="O120">
        <f t="shared" si="25"/>
        <v>574.72971100434074</v>
      </c>
      <c r="P120">
        <f t="shared" si="27"/>
        <v>22092.542290817284</v>
      </c>
    </row>
    <row r="121" spans="14:16" x14ac:dyDescent="0.25">
      <c r="N121" s="1">
        <f t="shared" ref="N121:N122" si="32">EDATE(N120,3)</f>
        <v>45426</v>
      </c>
      <c r="O121">
        <f t="shared" si="25"/>
        <v>577.25261031341608</v>
      </c>
      <c r="P121">
        <f t="shared" si="27"/>
        <v>22669.794901130699</v>
      </c>
    </row>
    <row r="122" spans="14:16" x14ac:dyDescent="0.25">
      <c r="N122" s="1">
        <f t="shared" si="32"/>
        <v>45518</v>
      </c>
      <c r="O122">
        <f t="shared" si="25"/>
        <v>605.49856653541804</v>
      </c>
      <c r="P122">
        <f t="shared" si="27"/>
        <v>23275.293467666117</v>
      </c>
    </row>
    <row r="123" spans="14:16" x14ac:dyDescent="0.25">
      <c r="N123" s="1">
        <v>45608</v>
      </c>
      <c r="O123">
        <f t="shared" si="25"/>
        <v>608.15653233379101</v>
      </c>
      <c r="P123">
        <f t="shared" si="27"/>
        <v>23883.44999999991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2024-11-05T04:36:08Z</dcterms:created>
  <dcterms:modified xsi:type="dcterms:W3CDTF">2025-01-09T06:33:06Z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2024-11-05T05:32:23Z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adac9ffc-42bc-41ef-95fd-ceaf2e6bf6c1</vt:lpwstr>
  </property>
  <property fmtid="{D5CDD505-2E9C-101B-9397-08002B2CF9AE}" pid="8" name="MSIP_Label_defa4170-0d19-0005-0004-bc88714345d2_ContentBits">
    <vt:lpwstr>0</vt:lpwstr>
  </property>
</Properties>
</file>