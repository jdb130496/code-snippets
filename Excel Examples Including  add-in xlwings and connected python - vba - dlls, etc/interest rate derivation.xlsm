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72" documentId="8_{CE687C0E-FF4A-43D0-B788-D12A5ACC1B16}" xr6:coauthVersionLast="47" xr6:coauthVersionMax="47" xr10:uidLastSave="{77428925-074A-4D6B-8EC3-2DCB9F31549B}"/>
  <bookViews>
    <workbookView xWindow="-120" yWindow="-120" windowWidth="20730" windowHeight="11040" xr2:uid="{2757AC02-BE8A-4C92-958A-DDE28F48555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1" l="1" a="1"/>
  <c r="E39" i="1" s="1"/>
  <c r="G52" i="1"/>
  <c r="H52" i="1" s="1"/>
  <c r="F67" i="1"/>
  <c r="F68" i="1"/>
  <c r="F64" i="1"/>
  <c r="F65" i="1" s="1"/>
  <c r="F66" i="1" s="1"/>
  <c r="F59" i="1"/>
  <c r="F60" i="1"/>
  <c r="F61" i="1"/>
  <c r="F62" i="1"/>
  <c r="F63" i="1"/>
  <c r="F53" i="1"/>
  <c r="F54" i="1" s="1"/>
  <c r="F55" i="1" s="1"/>
  <c r="F56" i="1" s="1"/>
  <c r="F57" i="1" s="1"/>
  <c r="F58" i="1" s="1"/>
  <c r="F52" i="1"/>
  <c r="G40" i="1"/>
  <c r="H40" i="1" s="1"/>
  <c r="F47" i="1"/>
  <c r="F48" i="1"/>
  <c r="F45" i="1"/>
  <c r="F46" i="1" s="1"/>
  <c r="F41" i="1"/>
  <c r="F42" i="1"/>
  <c r="F43" i="1"/>
  <c r="F44" i="1" s="1"/>
  <c r="F40" i="1"/>
  <c r="I35" i="1"/>
  <c r="J35" i="1" s="1"/>
  <c r="F2" i="1" a="1"/>
  <c r="F2" i="1" s="1"/>
  <c r="A2" i="1"/>
  <c r="G53" i="1" l="1"/>
  <c r="H53" i="1" s="1"/>
  <c r="G41" i="1"/>
  <c r="H41" i="1" s="1"/>
  <c r="A3" i="1"/>
  <c r="B2" i="1"/>
  <c r="G54" i="1" l="1"/>
  <c r="H54" i="1" s="1"/>
  <c r="G42" i="1"/>
  <c r="H42" i="1" s="1"/>
  <c r="B3" i="1"/>
  <c r="A4" i="1"/>
  <c r="G55" i="1" l="1"/>
  <c r="H55" i="1" s="1"/>
  <c r="G43" i="1"/>
  <c r="H43" i="1" s="1"/>
  <c r="B4" i="1"/>
  <c r="A5" i="1"/>
  <c r="G56" i="1" l="1"/>
  <c r="H56" i="1" s="1"/>
  <c r="G44" i="1"/>
  <c r="H44" i="1" s="1"/>
  <c r="B5" i="1"/>
  <c r="A6" i="1"/>
  <c r="G57" i="1" l="1"/>
  <c r="H57" i="1" s="1"/>
  <c r="G45" i="1"/>
  <c r="H45" i="1" s="1"/>
  <c r="B6" i="1"/>
  <c r="A7" i="1"/>
  <c r="G58" i="1" l="1"/>
  <c r="H58" i="1" s="1"/>
  <c r="G46" i="1"/>
  <c r="H46" i="1" s="1"/>
  <c r="B7" i="1"/>
  <c r="A8" i="1"/>
  <c r="G59" i="1" l="1"/>
  <c r="H59" i="1" s="1"/>
  <c r="G47" i="1"/>
  <c r="H47" i="1" s="1"/>
  <c r="B8" i="1"/>
  <c r="A9" i="1"/>
  <c r="G60" i="1" l="1"/>
  <c r="H60" i="1" s="1"/>
  <c r="G48" i="1"/>
  <c r="H48" i="1" s="1"/>
  <c r="B9" i="1"/>
  <c r="A10" i="1"/>
  <c r="G61" i="1" l="1"/>
  <c r="H61" i="1" s="1"/>
  <c r="G49" i="1"/>
  <c r="H49" i="1" s="1"/>
  <c r="B10" i="1"/>
  <c r="A11" i="1"/>
  <c r="G62" i="1" l="1"/>
  <c r="H62" i="1" s="1"/>
  <c r="B11" i="1"/>
  <c r="A12" i="1"/>
  <c r="G63" i="1" l="1"/>
  <c r="H63" i="1" s="1"/>
  <c r="B12" i="1"/>
  <c r="A13" i="1"/>
  <c r="G64" i="1" l="1"/>
  <c r="H64" i="1" s="1"/>
  <c r="B13" i="1"/>
  <c r="A14" i="1"/>
  <c r="G65" i="1" l="1"/>
  <c r="H65" i="1" s="1"/>
  <c r="A15" i="1"/>
  <c r="B14" i="1"/>
  <c r="G66" i="1" l="1"/>
  <c r="H66" i="1" s="1"/>
  <c r="A16" i="1"/>
  <c r="B15" i="1"/>
  <c r="G67" i="1" l="1"/>
  <c r="H67" i="1" s="1"/>
  <c r="B16" i="1"/>
  <c r="A17" i="1"/>
  <c r="G68" i="1" l="1"/>
  <c r="H68" i="1" s="1"/>
  <c r="B17" i="1"/>
  <c r="A18" i="1"/>
  <c r="G69" i="1" l="1"/>
  <c r="H69" i="1" s="1"/>
  <c r="B18" i="1"/>
  <c r="A19" i="1"/>
  <c r="B19" i="1" l="1"/>
  <c r="A20" i="1"/>
  <c r="B20" i="1" l="1"/>
  <c r="A21" i="1"/>
  <c r="B21" i="1" l="1"/>
  <c r="A22" i="1"/>
  <c r="A23" i="1" l="1"/>
  <c r="B22" i="1"/>
  <c r="B23" i="1" l="1"/>
  <c r="A24" i="1"/>
  <c r="B24" i="1" l="1"/>
  <c r="A25" i="1"/>
  <c r="B25" i="1" l="1"/>
  <c r="A26" i="1"/>
  <c r="B26" i="1" l="1"/>
  <c r="A27" i="1"/>
  <c r="B27" i="1" l="1"/>
  <c r="A28" i="1"/>
  <c r="B28" i="1" l="1"/>
  <c r="A29" i="1"/>
  <c r="B29" i="1" l="1"/>
  <c r="A30" i="1"/>
  <c r="B30" i="1" l="1"/>
  <c r="A31" i="1"/>
  <c r="B31" i="1" l="1"/>
  <c r="A32" i="1"/>
  <c r="B32" i="1" l="1"/>
  <c r="A33" i="1"/>
  <c r="B33" i="1" l="1"/>
  <c r="B34" i="1" l="1"/>
  <c r="I2" i="1" l="1"/>
  <c r="J2" i="1" s="1"/>
  <c r="I3" i="1"/>
  <c r="I4" i="1"/>
  <c r="G3" i="1"/>
  <c r="H3" i="1" s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%"/>
    <numFmt numFmtId="168" formatCode="0.00000000000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0" borderId="0" xfId="1" applyNumberFormat="1" applyFont="1"/>
    <xf numFmtId="164" fontId="0" fillId="0" borderId="0" xfId="1" applyNumberFormat="1" applyFont="1"/>
    <xf numFmtId="168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39107-03AF-4698-9A4A-873E50C48E1E}">
  <sheetPr codeName="Sheet1"/>
  <dimension ref="A1:J70"/>
  <sheetViews>
    <sheetView tabSelected="1" topLeftCell="A34" workbookViewId="0">
      <selection activeCell="J38" sqref="J38"/>
    </sheetView>
  </sheetViews>
  <sheetFormatPr defaultRowHeight="15" x14ac:dyDescent="0.25"/>
  <cols>
    <col min="1" max="2" width="10.42578125" bestFit="1" customWidth="1"/>
    <col min="5" max="5" width="13" customWidth="1"/>
    <col min="6" max="6" width="10.42578125" bestFit="1" customWidth="1"/>
    <col min="7" max="7" width="13.28515625" bestFit="1" customWidth="1"/>
    <col min="8" max="8" width="21.28515625" customWidth="1"/>
    <col min="9" max="9" width="10.42578125" bestFit="1" customWidth="1"/>
    <col min="10" max="10" width="13.7109375" bestFit="1" customWidth="1"/>
    <col min="11" max="11" width="12" bestFit="1" customWidth="1"/>
  </cols>
  <sheetData>
    <row r="1" spans="1:10" x14ac:dyDescent="0.25">
      <c r="A1" s="1">
        <v>42631</v>
      </c>
      <c r="B1" s="1"/>
      <c r="G1" s="2">
        <v>6.7500000000000004E-2</v>
      </c>
    </row>
    <row r="2" spans="1:10" x14ac:dyDescent="0.25">
      <c r="A2" s="1">
        <f>EDATE(A1,3)</f>
        <v>42722</v>
      </c>
      <c r="B2">
        <f>A2-A1+1</f>
        <v>92</v>
      </c>
      <c r="F2" s="1" cm="1">
        <f t="array" ref="F2:F35">A1:A34</f>
        <v>42631</v>
      </c>
      <c r="H2">
        <v>100</v>
      </c>
      <c r="I2" t="str">
        <f>TEXT(F2,"dd-mm-yyyy")</f>
        <v>18-09-2016</v>
      </c>
      <c r="J2">
        <f>DATEVALUE(I2)</f>
        <v>42631</v>
      </c>
    </row>
    <row r="3" spans="1:10" x14ac:dyDescent="0.25">
      <c r="A3" s="1">
        <f t="shared" ref="A3:A14" si="0">EDATE(A2,3)</f>
        <v>42812</v>
      </c>
      <c r="B3">
        <f>A3-A2</f>
        <v>90</v>
      </c>
      <c r="F3" s="1">
        <v>42722</v>
      </c>
      <c r="G3">
        <f>H2*$G$1*((F3-F2+1)/365)</f>
        <v>1.7013698630136989</v>
      </c>
      <c r="H3">
        <f>H2+G3</f>
        <v>101.7013698630137</v>
      </c>
      <c r="I3">
        <f>F3-F2+1</f>
        <v>92</v>
      </c>
    </row>
    <row r="4" spans="1:10" x14ac:dyDescent="0.25">
      <c r="A4" s="1">
        <f t="shared" si="0"/>
        <v>42904</v>
      </c>
      <c r="B4">
        <f t="shared" ref="B4:B34" si="1">A4-A3</f>
        <v>92</v>
      </c>
      <c r="F4" s="1">
        <v>42812</v>
      </c>
      <c r="G4">
        <f t="shared" ref="G4:G16" si="2">H3*$G$1*((F4-F3)/365)</f>
        <v>1.6927008819665978</v>
      </c>
      <c r="H4">
        <f t="shared" ref="H4:H16" si="3">H3+G4</f>
        <v>103.3940707449803</v>
      </c>
      <c r="I4">
        <f>F4-F3</f>
        <v>90</v>
      </c>
    </row>
    <row r="5" spans="1:10" x14ac:dyDescent="0.25">
      <c r="A5" s="1">
        <f t="shared" si="0"/>
        <v>42996</v>
      </c>
      <c r="B5">
        <f t="shared" si="1"/>
        <v>92</v>
      </c>
      <c r="F5" s="1">
        <v>42904</v>
      </c>
      <c r="G5">
        <f t="shared" si="2"/>
        <v>1.759115559798158</v>
      </c>
      <c r="H5">
        <f t="shared" si="3"/>
        <v>105.15318630477846</v>
      </c>
    </row>
    <row r="6" spans="1:10" x14ac:dyDescent="0.25">
      <c r="A6" s="1">
        <f t="shared" si="0"/>
        <v>43087</v>
      </c>
      <c r="B6">
        <f t="shared" si="1"/>
        <v>91</v>
      </c>
      <c r="F6" s="1">
        <v>42996</v>
      </c>
      <c r="G6">
        <f t="shared" si="2"/>
        <v>1.7890446217881488</v>
      </c>
      <c r="H6">
        <f t="shared" si="3"/>
        <v>106.94223092656661</v>
      </c>
    </row>
    <row r="7" spans="1:10" x14ac:dyDescent="0.25">
      <c r="A7" s="1">
        <f t="shared" si="0"/>
        <v>43177</v>
      </c>
      <c r="B7">
        <f t="shared" si="1"/>
        <v>90</v>
      </c>
      <c r="F7" s="1">
        <v>43087</v>
      </c>
      <c r="G7">
        <f t="shared" si="2"/>
        <v>1.7997058999080422</v>
      </c>
      <c r="H7">
        <f t="shared" si="3"/>
        <v>108.74193682647466</v>
      </c>
    </row>
    <row r="8" spans="1:10" x14ac:dyDescent="0.25">
      <c r="A8" s="1">
        <f t="shared" si="0"/>
        <v>43269</v>
      </c>
      <c r="B8">
        <f t="shared" si="1"/>
        <v>92</v>
      </c>
      <c r="F8" s="1">
        <v>43177</v>
      </c>
      <c r="G8">
        <f t="shared" si="2"/>
        <v>1.8098829211529686</v>
      </c>
      <c r="H8">
        <f t="shared" si="3"/>
        <v>110.55181974762762</v>
      </c>
    </row>
    <row r="9" spans="1:10" x14ac:dyDescent="0.25">
      <c r="A9" s="1">
        <f t="shared" si="0"/>
        <v>43361</v>
      </c>
      <c r="B9">
        <f t="shared" si="1"/>
        <v>92</v>
      </c>
      <c r="F9" s="1">
        <v>43269</v>
      </c>
      <c r="G9">
        <f t="shared" si="2"/>
        <v>1.8808953441993632</v>
      </c>
      <c r="H9">
        <f t="shared" si="3"/>
        <v>112.43271509182698</v>
      </c>
    </row>
    <row r="10" spans="1:10" x14ac:dyDescent="0.25">
      <c r="A10" s="1">
        <f t="shared" si="0"/>
        <v>43452</v>
      </c>
      <c r="B10">
        <f t="shared" si="1"/>
        <v>91</v>
      </c>
      <c r="F10" s="1">
        <v>43361</v>
      </c>
      <c r="G10">
        <f t="shared" si="2"/>
        <v>1.912896330740399</v>
      </c>
      <c r="H10">
        <f t="shared" si="3"/>
        <v>114.34561142256737</v>
      </c>
    </row>
    <row r="11" spans="1:10" x14ac:dyDescent="0.25">
      <c r="A11" s="1">
        <f>EDATE(A10,3)</f>
        <v>43542</v>
      </c>
      <c r="B11">
        <f t="shared" si="1"/>
        <v>90</v>
      </c>
      <c r="F11" s="1">
        <v>43452</v>
      </c>
      <c r="G11">
        <f t="shared" si="2"/>
        <v>1.9242956662003292</v>
      </c>
      <c r="H11">
        <f t="shared" si="3"/>
        <v>116.2699070887677</v>
      </c>
    </row>
    <row r="12" spans="1:10" x14ac:dyDescent="0.25">
      <c r="A12" s="1">
        <f t="shared" si="0"/>
        <v>43634</v>
      </c>
      <c r="B12">
        <f t="shared" si="1"/>
        <v>92</v>
      </c>
      <c r="F12" s="1">
        <v>43542</v>
      </c>
      <c r="G12">
        <f t="shared" si="2"/>
        <v>1.9351772207240103</v>
      </c>
      <c r="H12">
        <f t="shared" si="3"/>
        <v>118.20508430949171</v>
      </c>
    </row>
    <row r="13" spans="1:10" x14ac:dyDescent="0.25">
      <c r="A13" s="1">
        <f t="shared" si="0"/>
        <v>43726</v>
      </c>
      <c r="B13">
        <f t="shared" si="1"/>
        <v>92</v>
      </c>
      <c r="F13" s="1">
        <v>43634</v>
      </c>
      <c r="G13">
        <f t="shared" si="2"/>
        <v>2.0111056809916263</v>
      </c>
      <c r="H13">
        <f t="shared" si="3"/>
        <v>120.21618999048334</v>
      </c>
    </row>
    <row r="14" spans="1:10" x14ac:dyDescent="0.25">
      <c r="A14" s="1">
        <f t="shared" si="0"/>
        <v>43817</v>
      </c>
      <c r="B14">
        <f t="shared" si="1"/>
        <v>91</v>
      </c>
      <c r="F14" s="1">
        <v>43726</v>
      </c>
      <c r="G14">
        <f t="shared" si="2"/>
        <v>2.0453220269613741</v>
      </c>
      <c r="H14">
        <f t="shared" si="3"/>
        <v>122.26151201744472</v>
      </c>
    </row>
    <row r="15" spans="1:10" x14ac:dyDescent="0.25">
      <c r="A15" s="1">
        <f>EDATE(A14,3)</f>
        <v>43908</v>
      </c>
      <c r="B15">
        <f t="shared" si="1"/>
        <v>91</v>
      </c>
      <c r="F15" s="1">
        <v>43817</v>
      </c>
      <c r="G15">
        <f t="shared" si="2"/>
        <v>2.0575105138826144</v>
      </c>
      <c r="H15">
        <f t="shared" si="3"/>
        <v>124.31902253132733</v>
      </c>
      <c r="I15" s="1"/>
      <c r="J15" s="1"/>
    </row>
    <row r="16" spans="1:10" x14ac:dyDescent="0.25">
      <c r="A16" s="1">
        <f t="shared" ref="A16:A33" si="4">EDATE(A15,3)</f>
        <v>44000</v>
      </c>
      <c r="B16">
        <f t="shared" si="1"/>
        <v>92</v>
      </c>
      <c r="F16" s="1">
        <v>43908</v>
      </c>
      <c r="G16">
        <f t="shared" si="2"/>
        <v>2.0921358791744606</v>
      </c>
      <c r="H16">
        <f t="shared" si="3"/>
        <v>126.4111584105018</v>
      </c>
    </row>
    <row r="17" spans="1:8" x14ac:dyDescent="0.25">
      <c r="A17" s="1">
        <f t="shared" si="4"/>
        <v>44092</v>
      </c>
      <c r="B17">
        <f t="shared" si="1"/>
        <v>92</v>
      </c>
      <c r="F17" s="1">
        <v>44000</v>
      </c>
      <c r="G17">
        <f t="shared" ref="G17:G34" si="5">H16*$G$1*((F17-F16)/365)</f>
        <v>2.1507213526827846</v>
      </c>
      <c r="H17">
        <f t="shared" ref="H17:H35" si="6">H16+G17</f>
        <v>128.56187976318458</v>
      </c>
    </row>
    <row r="18" spans="1:8" x14ac:dyDescent="0.25">
      <c r="A18" s="1">
        <f t="shared" si="4"/>
        <v>44183</v>
      </c>
      <c r="B18">
        <f t="shared" si="1"/>
        <v>91</v>
      </c>
      <c r="F18" s="1">
        <v>44092</v>
      </c>
      <c r="G18">
        <f t="shared" si="5"/>
        <v>2.1873130776147298</v>
      </c>
      <c r="H18">
        <f t="shared" si="6"/>
        <v>130.74919284079931</v>
      </c>
    </row>
    <row r="19" spans="1:8" x14ac:dyDescent="0.25">
      <c r="A19" s="1">
        <f t="shared" si="4"/>
        <v>44273</v>
      </c>
      <c r="B19">
        <f t="shared" si="1"/>
        <v>90</v>
      </c>
      <c r="F19" s="1">
        <v>44183</v>
      </c>
      <c r="G19">
        <f t="shared" si="5"/>
        <v>2.2003477178756432</v>
      </c>
      <c r="H19">
        <f t="shared" si="6"/>
        <v>132.94954055867495</v>
      </c>
    </row>
    <row r="20" spans="1:8" x14ac:dyDescent="0.25">
      <c r="A20" s="1">
        <f t="shared" si="4"/>
        <v>44365</v>
      </c>
      <c r="B20">
        <f t="shared" si="1"/>
        <v>92</v>
      </c>
      <c r="F20" s="1">
        <v>44273</v>
      </c>
      <c r="G20">
        <f t="shared" si="5"/>
        <v>2.21279029833959</v>
      </c>
      <c r="H20">
        <f t="shared" si="6"/>
        <v>135.16233085701455</v>
      </c>
    </row>
    <row r="21" spans="1:8" x14ac:dyDescent="0.25">
      <c r="A21" s="1">
        <f t="shared" si="4"/>
        <v>44457</v>
      </c>
      <c r="B21">
        <f t="shared" si="1"/>
        <v>92</v>
      </c>
      <c r="F21" s="1">
        <v>44365</v>
      </c>
      <c r="G21">
        <f t="shared" si="5"/>
        <v>2.2996111633481111</v>
      </c>
      <c r="H21">
        <f t="shared" si="6"/>
        <v>137.46194202036267</v>
      </c>
    </row>
    <row r="22" spans="1:8" x14ac:dyDescent="0.25">
      <c r="A22" s="1">
        <f t="shared" si="4"/>
        <v>44548</v>
      </c>
      <c r="B22">
        <f t="shared" si="1"/>
        <v>91</v>
      </c>
      <c r="F22" s="1">
        <v>44457</v>
      </c>
      <c r="G22">
        <f t="shared" si="5"/>
        <v>2.3387360546478146</v>
      </c>
      <c r="H22">
        <f t="shared" si="6"/>
        <v>139.8006780750105</v>
      </c>
    </row>
    <row r="23" spans="1:8" x14ac:dyDescent="0.25">
      <c r="A23" s="1">
        <f t="shared" si="4"/>
        <v>44638</v>
      </c>
      <c r="B23">
        <f t="shared" si="1"/>
        <v>90</v>
      </c>
      <c r="F23" s="1">
        <v>44548</v>
      </c>
      <c r="G23">
        <f t="shared" si="5"/>
        <v>2.35267305500206</v>
      </c>
      <c r="H23">
        <f t="shared" si="6"/>
        <v>142.15335113001257</v>
      </c>
    </row>
    <row r="24" spans="1:8" x14ac:dyDescent="0.25">
      <c r="A24" s="1">
        <f t="shared" si="4"/>
        <v>44730</v>
      </c>
      <c r="B24">
        <f t="shared" si="1"/>
        <v>92</v>
      </c>
      <c r="F24" s="1">
        <v>44638</v>
      </c>
      <c r="G24">
        <f t="shared" si="5"/>
        <v>2.3659770085337706</v>
      </c>
      <c r="H24">
        <f t="shared" si="6"/>
        <v>144.51932813854634</v>
      </c>
    </row>
    <row r="25" spans="1:8" x14ac:dyDescent="0.25">
      <c r="A25" s="1">
        <f t="shared" si="4"/>
        <v>44822</v>
      </c>
      <c r="B25">
        <f t="shared" si="1"/>
        <v>92</v>
      </c>
      <c r="F25" s="1">
        <v>44730</v>
      </c>
      <c r="G25">
        <f t="shared" si="5"/>
        <v>2.4588082951791037</v>
      </c>
      <c r="H25">
        <f t="shared" si="6"/>
        <v>146.97813643372544</v>
      </c>
    </row>
    <row r="26" spans="1:8" x14ac:dyDescent="0.25">
      <c r="A26" s="1">
        <f t="shared" si="4"/>
        <v>44913</v>
      </c>
      <c r="B26">
        <f t="shared" si="1"/>
        <v>91</v>
      </c>
      <c r="F26" s="1">
        <v>44822</v>
      </c>
      <c r="G26">
        <f t="shared" si="5"/>
        <v>2.5006417185025618</v>
      </c>
      <c r="H26">
        <f t="shared" si="6"/>
        <v>149.47877815222799</v>
      </c>
    </row>
    <row r="27" spans="1:8" x14ac:dyDescent="0.25">
      <c r="A27" s="1">
        <f t="shared" si="4"/>
        <v>45003</v>
      </c>
      <c r="B27">
        <f t="shared" si="1"/>
        <v>90</v>
      </c>
      <c r="F27" s="1">
        <v>44913</v>
      </c>
      <c r="G27">
        <f t="shared" si="5"/>
        <v>2.5155435473974257</v>
      </c>
      <c r="H27">
        <f t="shared" si="6"/>
        <v>151.9943216996254</v>
      </c>
    </row>
    <row r="28" spans="1:8" x14ac:dyDescent="0.25">
      <c r="A28" s="1">
        <f t="shared" si="4"/>
        <v>45095</v>
      </c>
      <c r="B28">
        <f t="shared" si="1"/>
        <v>92</v>
      </c>
      <c r="F28" s="1">
        <v>45003</v>
      </c>
      <c r="G28">
        <f t="shared" si="5"/>
        <v>2.5297685050006149</v>
      </c>
      <c r="H28">
        <f t="shared" si="6"/>
        <v>154.52409020462602</v>
      </c>
    </row>
    <row r="29" spans="1:8" x14ac:dyDescent="0.25">
      <c r="A29" s="1">
        <f t="shared" si="4"/>
        <v>45187</v>
      </c>
      <c r="B29">
        <f t="shared" si="1"/>
        <v>92</v>
      </c>
      <c r="F29" s="1">
        <v>45095</v>
      </c>
      <c r="G29">
        <f t="shared" si="5"/>
        <v>2.6290263018376105</v>
      </c>
      <c r="H29">
        <f t="shared" si="6"/>
        <v>157.15311650646362</v>
      </c>
    </row>
    <row r="30" spans="1:8" x14ac:dyDescent="0.25">
      <c r="A30" s="1">
        <f t="shared" si="4"/>
        <v>45278</v>
      </c>
      <c r="B30">
        <f t="shared" si="1"/>
        <v>91</v>
      </c>
      <c r="F30" s="1">
        <v>45187</v>
      </c>
      <c r="G30">
        <f t="shared" si="5"/>
        <v>2.6737557630277786</v>
      </c>
      <c r="H30">
        <f t="shared" si="6"/>
        <v>159.82687226949139</v>
      </c>
    </row>
    <row r="31" spans="1:8" x14ac:dyDescent="0.25">
      <c r="A31" s="1">
        <f t="shared" si="4"/>
        <v>45369</v>
      </c>
      <c r="B31">
        <f t="shared" si="1"/>
        <v>91</v>
      </c>
      <c r="F31" s="1">
        <v>45278</v>
      </c>
      <c r="G31">
        <f t="shared" si="5"/>
        <v>2.689689213466715</v>
      </c>
      <c r="H31">
        <f t="shared" si="6"/>
        <v>162.51656148295811</v>
      </c>
    </row>
    <row r="32" spans="1:8" x14ac:dyDescent="0.25">
      <c r="A32" s="1">
        <f t="shared" si="4"/>
        <v>45461</v>
      </c>
      <c r="B32">
        <f t="shared" si="1"/>
        <v>92</v>
      </c>
      <c r="F32" s="1">
        <v>45369</v>
      </c>
      <c r="G32">
        <f t="shared" si="5"/>
        <v>2.7349533668741652</v>
      </c>
      <c r="H32">
        <f t="shared" si="6"/>
        <v>165.25151484983226</v>
      </c>
    </row>
    <row r="33" spans="1:10" x14ac:dyDescent="0.25">
      <c r="A33" s="1">
        <f t="shared" si="4"/>
        <v>45553</v>
      </c>
      <c r="B33">
        <f t="shared" si="1"/>
        <v>92</v>
      </c>
      <c r="F33" s="1">
        <v>45461</v>
      </c>
      <c r="G33">
        <f t="shared" si="5"/>
        <v>2.8115394718286533</v>
      </c>
      <c r="H33">
        <f t="shared" si="6"/>
        <v>168.06305432166093</v>
      </c>
    </row>
    <row r="34" spans="1:10" x14ac:dyDescent="0.25">
      <c r="A34" s="1">
        <v>45601</v>
      </c>
      <c r="B34">
        <f t="shared" si="1"/>
        <v>48</v>
      </c>
      <c r="F34" s="1">
        <v>45553</v>
      </c>
      <c r="G34">
        <f t="shared" si="5"/>
        <v>2.8593741570890812</v>
      </c>
      <c r="H34">
        <f t="shared" si="6"/>
        <v>170.92242847875002</v>
      </c>
    </row>
    <row r="35" spans="1:10" x14ac:dyDescent="0.25">
      <c r="A35" s="1"/>
      <c r="F35" s="1">
        <v>45601</v>
      </c>
      <c r="G35">
        <f>H34*$G$1*((F35-F34-1)/365)</f>
        <v>1.4856202858872178</v>
      </c>
      <c r="H35">
        <f t="shared" si="6"/>
        <v>172.40804876463724</v>
      </c>
      <c r="I35" t="str">
        <f>TEXT(F35,"dd-mm-yyyy")</f>
        <v>05-11-2024</v>
      </c>
      <c r="J35">
        <f>DATEVALUE(I35)</f>
        <v>45601</v>
      </c>
    </row>
    <row r="36" spans="1:10" x14ac:dyDescent="0.25">
      <c r="A36" s="1"/>
      <c r="F36" s="1"/>
    </row>
    <row r="37" spans="1:10" x14ac:dyDescent="0.25">
      <c r="A37" s="1"/>
      <c r="F37" s="1"/>
    </row>
    <row r="38" spans="1:10" x14ac:dyDescent="0.25">
      <c r="A38" s="1"/>
      <c r="F38" s="1"/>
      <c r="G38" s="4">
        <v>0.28201308129291602</v>
      </c>
      <c r="J38" s="5"/>
    </row>
    <row r="39" spans="1:10" x14ac:dyDescent="0.25">
      <c r="A39" s="1">
        <v>44501</v>
      </c>
      <c r="B39" s="1">
        <v>45360</v>
      </c>
      <c r="C39">
        <v>100</v>
      </c>
      <c r="D39">
        <v>190</v>
      </c>
      <c r="E39" s="3" cm="1">
        <f t="array" ref="E39:E41">TRANSPOSE(derive_annual_interest_rates(A39:A41,B39:B41,C39:C41,D39:D41))</f>
        <v>28.201308129291647</v>
      </c>
      <c r="F39" s="1">
        <v>44501</v>
      </c>
      <c r="H39">
        <v>100</v>
      </c>
      <c r="J39" s="5"/>
    </row>
    <row r="40" spans="1:10" x14ac:dyDescent="0.25">
      <c r="A40" s="1">
        <v>44044</v>
      </c>
      <c r="B40" s="1">
        <v>45601</v>
      </c>
      <c r="C40">
        <v>100</v>
      </c>
      <c r="D40">
        <v>210</v>
      </c>
      <c r="E40" s="3">
        <v>17.776572784782729</v>
      </c>
      <c r="F40" s="1">
        <f>EDATE(F39,3)</f>
        <v>44593</v>
      </c>
      <c r="G40">
        <f>H39*$G$38*((F40-F39+1)/365)</f>
        <v>7.1855387836277238</v>
      </c>
      <c r="H40">
        <f>H39+G40</f>
        <v>107.18553878362772</v>
      </c>
    </row>
    <row r="41" spans="1:10" x14ac:dyDescent="0.25">
      <c r="A41" s="1">
        <v>43222</v>
      </c>
      <c r="B41" s="1">
        <v>45571</v>
      </c>
      <c r="C41">
        <v>100</v>
      </c>
      <c r="D41">
        <v>195</v>
      </c>
      <c r="E41" s="3">
        <v>10.511982915704721</v>
      </c>
      <c r="F41" s="1">
        <f t="shared" ref="F41:F48" si="7">EDATE(F40,3)</f>
        <v>44682</v>
      </c>
      <c r="G41">
        <f>H40*$G$38*((F41-F40)/365)</f>
        <v>7.3705957302868121</v>
      </c>
      <c r="H41">
        <f>H40+G41</f>
        <v>114.55613451391453</v>
      </c>
    </row>
    <row r="42" spans="1:10" x14ac:dyDescent="0.25">
      <c r="F42" s="1">
        <f t="shared" si="7"/>
        <v>44774</v>
      </c>
      <c r="G42">
        <f t="shared" ref="G42:G48" si="8">H41*$G$38*((F42-F41)/365)</f>
        <v>8.1429649855487174</v>
      </c>
      <c r="H42">
        <f t="shared" ref="H42:H49" si="9">H41+G42</f>
        <v>122.69909949946324</v>
      </c>
    </row>
    <row r="43" spans="1:10" x14ac:dyDescent="0.25">
      <c r="F43" s="1">
        <f t="shared" si="7"/>
        <v>44866</v>
      </c>
      <c r="G43">
        <f t="shared" si="8"/>
        <v>8.7217893238282045</v>
      </c>
      <c r="H43">
        <f t="shared" si="9"/>
        <v>131.42088882329145</v>
      </c>
    </row>
    <row r="44" spans="1:10" x14ac:dyDescent="0.25">
      <c r="F44" s="1">
        <f t="shared" si="7"/>
        <v>44958</v>
      </c>
      <c r="G44">
        <f t="shared" si="8"/>
        <v>9.3417580874096871</v>
      </c>
      <c r="H44">
        <f t="shared" si="9"/>
        <v>140.76264691070114</v>
      </c>
    </row>
    <row r="45" spans="1:10" x14ac:dyDescent="0.25">
      <c r="F45" s="1">
        <f>EDATE(F44,3)</f>
        <v>45047</v>
      </c>
      <c r="G45">
        <f t="shared" si="8"/>
        <v>9.6795199807528487</v>
      </c>
      <c r="H45">
        <f t="shared" si="9"/>
        <v>150.44216689145398</v>
      </c>
    </row>
    <row r="46" spans="1:10" x14ac:dyDescent="0.25">
      <c r="F46" s="1">
        <f t="shared" si="7"/>
        <v>45139</v>
      </c>
      <c r="G46">
        <f t="shared" si="8"/>
        <v>10.693842826884024</v>
      </c>
      <c r="H46">
        <f t="shared" si="9"/>
        <v>161.13600971833802</v>
      </c>
    </row>
    <row r="47" spans="1:10" x14ac:dyDescent="0.25">
      <c r="F47" s="1">
        <f>EDATE(F46,3)</f>
        <v>45231</v>
      </c>
      <c r="G47">
        <f t="shared" si="8"/>
        <v>11.453990575145388</v>
      </c>
      <c r="H47">
        <f t="shared" si="9"/>
        <v>172.5900002934834</v>
      </c>
    </row>
    <row r="48" spans="1:10" x14ac:dyDescent="0.25">
      <c r="F48" s="1">
        <f t="shared" si="7"/>
        <v>45323</v>
      </c>
      <c r="G48">
        <f t="shared" si="8"/>
        <v>12.268171715194985</v>
      </c>
      <c r="H48">
        <f t="shared" si="9"/>
        <v>184.85817200867839</v>
      </c>
    </row>
    <row r="49" spans="6:8" x14ac:dyDescent="0.25">
      <c r="F49" s="1">
        <v>45360</v>
      </c>
      <c r="G49">
        <f>H48*$G$38*((F49-F48-1)/365)</f>
        <v>5.1418279913763234</v>
      </c>
      <c r="H49">
        <f t="shared" si="9"/>
        <v>190.00000000005471</v>
      </c>
    </row>
    <row r="50" spans="6:8" x14ac:dyDescent="0.25">
      <c r="F50" s="1"/>
      <c r="G50" s="4">
        <v>0.17776572784782699</v>
      </c>
    </row>
    <row r="51" spans="6:8" x14ac:dyDescent="0.25">
      <c r="F51" s="1">
        <v>44044</v>
      </c>
      <c r="H51">
        <v>100</v>
      </c>
    </row>
    <row r="52" spans="6:8" x14ac:dyDescent="0.25">
      <c r="F52" s="1">
        <f>EDATE(F51,3)</f>
        <v>44136</v>
      </c>
      <c r="G52">
        <f>H51*$G$50*((F52-F51+1)/365)</f>
        <v>4.5293733396843585</v>
      </c>
      <c r="H52">
        <f>H51+G52</f>
        <v>104.52937333968435</v>
      </c>
    </row>
    <row r="53" spans="6:8" x14ac:dyDescent="0.25">
      <c r="F53" s="1">
        <f t="shared" ref="F53:F68" si="10">EDATE(F52,3)</f>
        <v>44228</v>
      </c>
      <c r="G53">
        <f>H52*$G$50*((F53-F52)/365)</f>
        <v>4.6836166911095161</v>
      </c>
      <c r="H53">
        <f t="shared" ref="H53:H69" si="11">H52+G53</f>
        <v>109.21299003079388</v>
      </c>
    </row>
    <row r="54" spans="6:8" x14ac:dyDescent="0.25">
      <c r="F54" s="1">
        <f t="shared" si="10"/>
        <v>44317</v>
      </c>
      <c r="G54">
        <f t="shared" ref="G54:G68" si="12">H53*$G$50*((F54-F53)/365)</f>
        <v>4.7339043096719928</v>
      </c>
      <c r="H54">
        <f t="shared" si="11"/>
        <v>113.94689434046587</v>
      </c>
    </row>
    <row r="55" spans="6:8" x14ac:dyDescent="0.25">
      <c r="F55" s="1">
        <f t="shared" si="10"/>
        <v>44409</v>
      </c>
      <c r="G55">
        <f t="shared" si="12"/>
        <v>5.1055847670569223</v>
      </c>
      <c r="H55">
        <f t="shared" si="11"/>
        <v>119.0524791075228</v>
      </c>
    </row>
    <row r="56" spans="6:8" x14ac:dyDescent="0.25">
      <c r="F56" s="1">
        <f t="shared" si="10"/>
        <v>44501</v>
      </c>
      <c r="G56">
        <f t="shared" si="12"/>
        <v>5.334349192489328</v>
      </c>
      <c r="H56">
        <f t="shared" si="11"/>
        <v>124.38682830001213</v>
      </c>
    </row>
    <row r="57" spans="6:8" x14ac:dyDescent="0.25">
      <c r="F57" s="1">
        <f t="shared" si="10"/>
        <v>44593</v>
      </c>
      <c r="G57">
        <f t="shared" si="12"/>
        <v>5.5733637978190664</v>
      </c>
      <c r="H57">
        <f t="shared" si="11"/>
        <v>129.9601920978312</v>
      </c>
    </row>
    <row r="58" spans="6:8" x14ac:dyDescent="0.25">
      <c r="F58" s="1">
        <f t="shared" si="10"/>
        <v>44682</v>
      </c>
      <c r="G58">
        <f t="shared" si="12"/>
        <v>5.6332045600459706</v>
      </c>
      <c r="H58">
        <f t="shared" si="11"/>
        <v>135.59339665787718</v>
      </c>
    </row>
    <row r="59" spans="6:8" x14ac:dyDescent="0.25">
      <c r="F59" s="1">
        <f>EDATE(F58,3)</f>
        <v>44774</v>
      </c>
      <c r="G59">
        <f t="shared" si="12"/>
        <v>6.0754931891471013</v>
      </c>
      <c r="H59">
        <f t="shared" si="11"/>
        <v>141.66888984702427</v>
      </c>
    </row>
    <row r="60" spans="6:8" x14ac:dyDescent="0.25">
      <c r="F60" s="1">
        <f t="shared" si="10"/>
        <v>44866</v>
      </c>
      <c r="G60">
        <f t="shared" si="12"/>
        <v>6.3477160141605227</v>
      </c>
      <c r="H60">
        <f t="shared" si="11"/>
        <v>148.01660586118479</v>
      </c>
    </row>
    <row r="61" spans="6:8" x14ac:dyDescent="0.25">
      <c r="F61" s="1">
        <f t="shared" si="10"/>
        <v>44958</v>
      </c>
      <c r="G61">
        <f t="shared" si="12"/>
        <v>6.632136246717856</v>
      </c>
      <c r="H61">
        <f t="shared" si="11"/>
        <v>154.64874210790265</v>
      </c>
    </row>
    <row r="62" spans="6:8" x14ac:dyDescent="0.25">
      <c r="F62" s="1">
        <f t="shared" si="10"/>
        <v>45047</v>
      </c>
      <c r="G62">
        <f t="shared" si="12"/>
        <v>6.7033449642165381</v>
      </c>
      <c r="H62">
        <f t="shared" si="11"/>
        <v>161.35208707211919</v>
      </c>
    </row>
    <row r="63" spans="6:8" x14ac:dyDescent="0.25">
      <c r="F63" s="1">
        <f t="shared" si="10"/>
        <v>45139</v>
      </c>
      <c r="G63">
        <f t="shared" si="12"/>
        <v>7.2296552061068295</v>
      </c>
      <c r="H63">
        <f t="shared" si="11"/>
        <v>168.58174227822602</v>
      </c>
    </row>
    <row r="64" spans="6:8" x14ac:dyDescent="0.25">
      <c r="F64" s="1">
        <f>EDATE(F63,3)</f>
        <v>45231</v>
      </c>
      <c r="G64">
        <f t="shared" si="12"/>
        <v>7.5535922269885338</v>
      </c>
      <c r="H64">
        <f t="shared" si="11"/>
        <v>176.13533450521456</v>
      </c>
    </row>
    <row r="65" spans="6:8" x14ac:dyDescent="0.25">
      <c r="F65" s="1">
        <f t="shared" si="10"/>
        <v>45323</v>
      </c>
      <c r="G65">
        <f t="shared" si="12"/>
        <v>7.8920437980813007</v>
      </c>
      <c r="H65">
        <f t="shared" si="11"/>
        <v>184.02737830329585</v>
      </c>
    </row>
    <row r="66" spans="6:8" x14ac:dyDescent="0.25">
      <c r="F66" s="1">
        <f t="shared" si="10"/>
        <v>45413</v>
      </c>
      <c r="G66">
        <f t="shared" si="12"/>
        <v>8.0664067844415097</v>
      </c>
      <c r="H66">
        <f t="shared" si="11"/>
        <v>192.09378508773736</v>
      </c>
    </row>
    <row r="67" spans="6:8" x14ac:dyDescent="0.25">
      <c r="F67" s="1">
        <f>EDATE(F66,3)</f>
        <v>45505</v>
      </c>
      <c r="G67">
        <f t="shared" si="12"/>
        <v>8.6070893697184747</v>
      </c>
      <c r="H67">
        <f t="shared" si="11"/>
        <v>200.70087445745582</v>
      </c>
    </row>
    <row r="68" spans="6:8" x14ac:dyDescent="0.25">
      <c r="F68" s="1">
        <f t="shared" si="10"/>
        <v>45597</v>
      </c>
      <c r="G68">
        <f t="shared" si="12"/>
        <v>8.9927446754561622</v>
      </c>
      <c r="H68">
        <f t="shared" si="11"/>
        <v>209.69361913291198</v>
      </c>
    </row>
    <row r="69" spans="6:8" x14ac:dyDescent="0.25">
      <c r="F69" s="1">
        <v>45601</v>
      </c>
      <c r="G69">
        <f>H68*$G$50*((F69-F68-1)/365)</f>
        <v>0.30638086709759271</v>
      </c>
      <c r="H69">
        <f t="shared" si="11"/>
        <v>210.00000000000958</v>
      </c>
    </row>
    <row r="70" spans="6:8" x14ac:dyDescent="0.25">
      <c r="F7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2024-11-05T04:36:08Z</dcterms:created>
  <dcterms:modified xsi:type="dcterms:W3CDTF">2024-11-05T12:41:09Z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2024-11-05T05:32:23Z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adac9ffc-42bc-41ef-95fd-ceaf2e6bf6c1</vt:lpwstr>
  </property>
  <property fmtid="{D5CDD505-2E9C-101B-9397-08002B2CF9AE}" pid="8" name="MSIP_Label_defa4170-0d19-0005-0004-bc88714345d2_ContentBits">
    <vt:lpwstr>0</vt:lpwstr>
  </property>
</Properties>
</file>